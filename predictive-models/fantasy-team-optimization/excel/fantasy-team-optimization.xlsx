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enedictsantoso/Library/Mobile Documents/com~apple~CloudDocs/Desktop/Education /Undergraduate Universities/Suffolk University 2024 - 2026/Classes:Clubs:etc/Class Term/2026/Spring 2026/ISOM 232 - Sports Analytics in Action/Week 12/HW/"/>
    </mc:Choice>
  </mc:AlternateContent>
  <xr:revisionPtr revIDLastSave="0" documentId="13_ncr:1_{7ABD6EF5-DB4D-1944-A05A-5FDA66C604E5}" xr6:coauthVersionLast="47" xr6:coauthVersionMax="47" xr10:uidLastSave="{00000000-0000-0000-0000-000000000000}"/>
  <bookViews>
    <workbookView xWindow="28960" yWindow="660" windowWidth="38080" windowHeight="20780" xr2:uid="{B653E4AA-07F3-C647-B456-31BB8F0EDEB2}"/>
  </bookViews>
  <sheets>
    <sheet name="PlayerPoints" sheetId="3" r:id="rId1"/>
    <sheet name="Manual-Based" sheetId="1" r:id="rId2"/>
    <sheet name="Solver-Based" sheetId="2" r:id="rId3"/>
  </sheets>
  <definedNames>
    <definedName name="solver_adj" localSheetId="2" hidden="1">'Solver-Based'!$E$3:$E$10</definedName>
    <definedName name="solver_cvg" localSheetId="2" hidden="1">0.0001</definedName>
    <definedName name="solver_drv" localSheetId="2" hidden="1">2</definedName>
    <definedName name="solver_eng" localSheetId="2" hidden="1">2</definedName>
    <definedName name="solver_itr" localSheetId="2" hidden="1">2147483647</definedName>
    <definedName name="solver_lhs1" localSheetId="2" hidden="1">'Solver-Based'!$E$3:$E$10</definedName>
    <definedName name="solver_lhs2" localSheetId="2" hidden="1">'Solver-Based'!$F$11</definedName>
    <definedName name="solver_lhs3" localSheetId="2" hidden="1">'Solver-Based'!$K$3</definedName>
    <definedName name="solver_lhs4" localSheetId="2" hidden="1">'Solver-Based'!$K$4</definedName>
    <definedName name="solver_lhs5" localSheetId="2" hidden="1">'Solver-Based'!$K$5</definedName>
    <definedName name="solver_lhs6" localSheetId="2" hidden="1">'Solver-Based'!$K$6</definedName>
    <definedName name="solver_lin" localSheetId="2" hidden="1">1</definedName>
    <definedName name="solver_mip" localSheetId="2" hidden="1">2147483647</definedName>
    <definedName name="solver_mni" localSheetId="2" hidden="1">30</definedName>
    <definedName name="solver_mrt" localSheetId="2" hidden="1">0.075</definedName>
    <definedName name="solver_msl" localSheetId="2" hidden="1">2</definedName>
    <definedName name="solver_neg" localSheetId="2" hidden="1">2</definedName>
    <definedName name="solver_nod" localSheetId="2" hidden="1">2147483647</definedName>
    <definedName name="solver_num" localSheetId="2" hidden="1">6</definedName>
    <definedName name="solver_opt" localSheetId="2" hidden="1">'Solver-Based'!$G$11</definedName>
    <definedName name="solver_pre" localSheetId="2" hidden="1">0.000001</definedName>
    <definedName name="solver_rbv" localSheetId="2" hidden="1">2</definedName>
    <definedName name="solver_rel1" localSheetId="2" hidden="1">5</definedName>
    <definedName name="solver_rel2" localSheetId="2" hidden="1">1</definedName>
    <definedName name="solver_rel3" localSheetId="2" hidden="1">2</definedName>
    <definedName name="solver_rel4" localSheetId="2" hidden="1">1</definedName>
    <definedName name="solver_rel5" localSheetId="2" hidden="1">1</definedName>
    <definedName name="solver_rel6" localSheetId="2" hidden="1">2</definedName>
    <definedName name="solver_rhs1" localSheetId="2" hidden="1">"binary"</definedName>
    <definedName name="solver_rhs2" localSheetId="2" hidden="1">50</definedName>
    <definedName name="solver_rhs3" localSheetId="2" hidden="1">'Solver-Based'!$L$3</definedName>
    <definedName name="solver_rhs4" localSheetId="2" hidden="1">'Solver-Based'!$L$4</definedName>
    <definedName name="solver_rhs5" localSheetId="2" hidden="1">'Solver-Based'!$L$5</definedName>
    <definedName name="solver_rhs6" localSheetId="2" hidden="1">'Solver-Based'!$L$6</definedName>
    <definedName name="solver_rlx" localSheetId="2" hidden="1">2</definedName>
    <definedName name="solver_rsd" localSheetId="2" hidden="1">0</definedName>
    <definedName name="solver_scl" localSheetId="2" hidden="1">2</definedName>
    <definedName name="solver_sho" localSheetId="2" hidden="1">2</definedName>
    <definedName name="solver_ssz" localSheetId="2" hidden="1">100</definedName>
    <definedName name="solver_tim" localSheetId="2" hidden="1">2147483647</definedName>
    <definedName name="solver_tol" localSheetId="2" hidden="1">0.01</definedName>
    <definedName name="solver_typ" localSheetId="2" hidden="1">1</definedName>
    <definedName name="solver_val" localSheetId="2" hidden="1">0</definedName>
    <definedName name="solver_ver" localSheetId="2" hidden="1">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3" l="1"/>
  <c r="G10" i="3"/>
  <c r="G4" i="3"/>
  <c r="G5" i="3"/>
  <c r="G6" i="3"/>
  <c r="G7" i="3"/>
  <c r="G3" i="3"/>
  <c r="F4" i="3"/>
  <c r="F5" i="3"/>
  <c r="F6" i="3"/>
  <c r="F7" i="3"/>
  <c r="F3" i="3"/>
  <c r="E4" i="3"/>
  <c r="E5" i="3"/>
  <c r="E6" i="3"/>
  <c r="E7" i="3"/>
  <c r="E3" i="3"/>
  <c r="J3" i="3"/>
  <c r="K3" i="3"/>
  <c r="K4" i="2"/>
  <c r="K3" i="2"/>
  <c r="G3" i="2"/>
  <c r="F3" i="2"/>
  <c r="G6" i="2"/>
  <c r="G10" i="2"/>
  <c r="F10" i="2"/>
  <c r="G9" i="2"/>
  <c r="F9" i="2"/>
  <c r="G8" i="2"/>
  <c r="F8" i="2"/>
  <c r="G7" i="2"/>
  <c r="F7" i="2"/>
  <c r="F6" i="2"/>
  <c r="K5" i="2"/>
  <c r="G5" i="2"/>
  <c r="F5" i="2"/>
  <c r="G4" i="2"/>
  <c r="F4" i="2"/>
  <c r="K6" i="2" l="1"/>
  <c r="F11" i="2"/>
  <c r="G11" i="2"/>
  <c r="J4" i="1"/>
  <c r="K4" i="1" s="1"/>
  <c r="J5" i="1"/>
  <c r="K5" i="1" s="1"/>
  <c r="J6" i="1"/>
  <c r="K6" i="1" s="1"/>
  <c r="J7" i="1"/>
  <c r="K7" i="1" s="1"/>
  <c r="J8" i="1"/>
  <c r="K8" i="1" s="1"/>
  <c r="J9" i="1"/>
  <c r="K9" i="1" s="1"/>
  <c r="J10" i="1"/>
  <c r="K10" i="1" s="1"/>
  <c r="J11" i="1"/>
  <c r="K11" i="1" s="1"/>
  <c r="J12" i="1"/>
  <c r="K12" i="1" s="1"/>
  <c r="J13" i="1"/>
  <c r="K13" i="1" s="1"/>
  <c r="J14" i="1"/>
  <c r="K14" i="1" s="1"/>
  <c r="J15" i="1"/>
  <c r="K15" i="1" s="1"/>
  <c r="J16" i="1"/>
  <c r="K16" i="1" s="1"/>
  <c r="J17" i="1"/>
  <c r="K17" i="1" s="1"/>
  <c r="J18" i="1"/>
  <c r="K18" i="1" s="1"/>
  <c r="J19" i="1"/>
  <c r="K19" i="1" s="1"/>
  <c r="J20" i="1"/>
  <c r="K20" i="1" s="1"/>
  <c r="J21" i="1"/>
  <c r="K21" i="1" s="1"/>
  <c r="J22" i="1"/>
  <c r="K22" i="1" s="1"/>
  <c r="J23" i="1"/>
  <c r="K23" i="1" s="1"/>
  <c r="J24" i="1"/>
  <c r="K24" i="1" s="1"/>
  <c r="J25" i="1"/>
  <c r="K25" i="1" s="1"/>
  <c r="J26" i="1"/>
  <c r="K26" i="1" s="1"/>
  <c r="J27" i="1"/>
  <c r="K27" i="1" s="1"/>
  <c r="J28" i="1"/>
  <c r="K28" i="1" s="1"/>
  <c r="J29" i="1"/>
  <c r="K29" i="1" s="1"/>
  <c r="J30" i="1"/>
  <c r="K30" i="1" s="1"/>
  <c r="J31" i="1"/>
  <c r="K31" i="1" s="1"/>
  <c r="J32" i="1"/>
  <c r="K32" i="1" s="1"/>
  <c r="J3" i="1"/>
  <c r="K3" i="1" s="1"/>
</calcChain>
</file>

<file path=xl/sharedStrings.xml><?xml version="1.0" encoding="utf-8"?>
<sst xmlns="http://schemas.openxmlformats.org/spreadsheetml/2006/main" count="58" uniqueCount="42">
  <si>
    <t>Player</t>
  </si>
  <si>
    <t xml:space="preserve">Points </t>
  </si>
  <si>
    <t>Price</t>
  </si>
  <si>
    <t>Q1</t>
  </si>
  <si>
    <t>Q2</t>
  </si>
  <si>
    <t>Q3</t>
  </si>
  <si>
    <t>R1</t>
  </si>
  <si>
    <t>R2</t>
  </si>
  <si>
    <t>WR1</t>
  </si>
  <si>
    <t>WR2</t>
  </si>
  <si>
    <t>WR3</t>
  </si>
  <si>
    <t>Cost</t>
  </si>
  <si>
    <t>Points</t>
  </si>
  <si>
    <t xml:space="preserve">Exp Points Choice </t>
  </si>
  <si>
    <t>Choice</t>
  </si>
  <si>
    <t>Pos</t>
  </si>
  <si>
    <t>Count</t>
  </si>
  <si>
    <t>Max</t>
  </si>
  <si>
    <t>QB1</t>
  </si>
  <si>
    <t>QB</t>
  </si>
  <si>
    <t>QB2</t>
  </si>
  <si>
    <t>RB</t>
  </si>
  <si>
    <t>QB3</t>
  </si>
  <si>
    <t>WR</t>
  </si>
  <si>
    <t>RB1</t>
  </si>
  <si>
    <t>RB2</t>
  </si>
  <si>
    <t>Total</t>
  </si>
  <si>
    <t>Season 1</t>
  </si>
  <si>
    <t>Season 2</t>
  </si>
  <si>
    <t>Proj Points</t>
  </si>
  <si>
    <t>Error</t>
  </si>
  <si>
    <t>Player 1</t>
  </si>
  <si>
    <t>Player 2</t>
  </si>
  <si>
    <t>Player 3</t>
  </si>
  <si>
    <t>Player 4</t>
  </si>
  <si>
    <t>Player 5</t>
  </si>
  <si>
    <t>Slope (m)</t>
  </si>
  <si>
    <t>Intercept (b)</t>
  </si>
  <si>
    <t>Manual Verification</t>
  </si>
  <si>
    <t>Sum of Squared Errors (SSE)</t>
  </si>
  <si>
    <t>Sum of Errors (SE)</t>
  </si>
  <si>
    <t>Square 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</si>
</sst>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0" formatCode="0.0000"/>
    <numFmt numFmtId="171" formatCode="0.000"/>
  </numFmts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0" fillId="0" borderId="2" xfId="0" applyBorder="1"/>
    <xf numFmtId="0" fontId="1" fillId="0" borderId="0" xfId="0" applyFont="1"/>
    <xf numFmtId="0" fontId="1" fillId="0" borderId="1" xfId="0" applyFont="1" applyBorder="1"/>
    <xf numFmtId="0" fontId="2" fillId="0" borderId="0" xfId="0" applyFont="1"/>
    <xf numFmtId="1" fontId="0" fillId="0" borderId="0" xfId="0" applyNumberFormat="1"/>
    <xf numFmtId="2" fontId="0" fillId="0" borderId="0" xfId="0" applyNumberFormat="1"/>
    <xf numFmtId="0" fontId="0" fillId="0" borderId="0" xfId="0" applyAlignment="1">
      <alignment horizontal="right"/>
    </xf>
    <xf numFmtId="170" fontId="0" fillId="0" borderId="0" xfId="0" applyNumberFormat="1"/>
    <xf numFmtId="171" fontId="0" fillId="0" borderId="0" xfId="0" applyNumberFormat="1"/>
  </cellXfs>
  <cellStyles count="1">
    <cellStyle name="Normal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Fantasy Points Regression (Season 1 vs Season 2)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1.4132830001371475E-2"/>
                  <c:y val="-1.864814410578669E-2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11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1100" baseline="0"/>
                      <a:t>y = 0.9075x + 26.425</a:t>
                    </a:r>
                    <a:br>
                      <a:rPr lang="en-US" sz="1100" baseline="0"/>
                    </a:br>
                    <a:r>
                      <a:rPr lang="en-US" sz="1100" baseline="0"/>
                      <a:t>R² = 0.9441</a:t>
                    </a:r>
                    <a:endParaRPr lang="en-US" sz="1100"/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1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PlayerPoints!$C$3:$C$7</c:f>
              <c:numCache>
                <c:formatCode>General</c:formatCode>
                <c:ptCount val="5"/>
                <c:pt idx="0">
                  <c:v>250</c:v>
                </c:pt>
                <c:pt idx="1">
                  <c:v>235</c:v>
                </c:pt>
                <c:pt idx="2">
                  <c:v>223</c:v>
                </c:pt>
                <c:pt idx="3">
                  <c:v>195</c:v>
                </c:pt>
                <c:pt idx="4">
                  <c:v>180</c:v>
                </c:pt>
              </c:numCache>
            </c:numRef>
          </c:xVal>
          <c:yVal>
            <c:numRef>
              <c:f>PlayerPoints!$D$3:$D$7</c:f>
              <c:numCache>
                <c:formatCode>General</c:formatCode>
                <c:ptCount val="5"/>
                <c:pt idx="0">
                  <c:v>245</c:v>
                </c:pt>
                <c:pt idx="1">
                  <c:v>245</c:v>
                </c:pt>
                <c:pt idx="2">
                  <c:v>235</c:v>
                </c:pt>
                <c:pt idx="3">
                  <c:v>205</c:v>
                </c:pt>
                <c:pt idx="4">
                  <c:v>185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2C2-0D4A-B91D-010D551EF5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5155839"/>
        <c:axId val="473075456"/>
      </c:scatterChart>
      <c:valAx>
        <c:axId val="1225155839"/>
        <c:scaling>
          <c:orientation val="minMax"/>
          <c:min val="17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Season 1 Points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3075456"/>
        <c:crosses val="autoZero"/>
        <c:crossBetween val="midCat"/>
      </c:valAx>
      <c:valAx>
        <c:axId val="473075456"/>
        <c:scaling>
          <c:orientation val="minMax"/>
          <c:max val="260"/>
          <c:min val="18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Season 2 Points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51558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31192</xdr:colOff>
      <xdr:row>3</xdr:row>
      <xdr:rowOff>115636</xdr:rowOff>
    </xdr:from>
    <xdr:to>
      <xdr:col>16</xdr:col>
      <xdr:colOff>111404</xdr:colOff>
      <xdr:row>26</xdr:row>
      <xdr:rowOff>167105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FB529DD-3FF4-6913-0CDC-F3F9751A1A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D46A8-9B06-424B-9388-923F259CF71F}">
  <sheetPr>
    <tabColor rgb="FF00B0F0"/>
  </sheetPr>
  <dimension ref="B2:K10"/>
  <sheetViews>
    <sheetView tabSelected="1" zoomScale="114" workbookViewId="0">
      <selection activeCell="S22" sqref="S22"/>
    </sheetView>
  </sheetViews>
  <sheetFormatPr baseColWidth="10" defaultRowHeight="16" x14ac:dyDescent="0.2"/>
  <cols>
    <col min="7" max="7" width="12.83203125" customWidth="1"/>
    <col min="9" max="9" width="19.5" customWidth="1"/>
    <col min="10" max="10" width="15" customWidth="1"/>
    <col min="11" max="11" width="12.5" customWidth="1"/>
  </cols>
  <sheetData>
    <row r="2" spans="2:11" x14ac:dyDescent="0.2">
      <c r="B2" s="5" t="s">
        <v>0</v>
      </c>
      <c r="C2" s="5" t="s">
        <v>27</v>
      </c>
      <c r="D2" s="5" t="s">
        <v>28</v>
      </c>
      <c r="E2" s="5" t="s">
        <v>29</v>
      </c>
      <c r="F2" s="5" t="s">
        <v>30</v>
      </c>
      <c r="G2" s="5" t="s">
        <v>41</v>
      </c>
      <c r="I2" s="5" t="s">
        <v>38</v>
      </c>
      <c r="J2" s="5" t="s">
        <v>36</v>
      </c>
      <c r="K2" s="5" t="s">
        <v>37</v>
      </c>
    </row>
    <row r="3" spans="2:11" x14ac:dyDescent="0.2">
      <c r="B3" t="s">
        <v>31</v>
      </c>
      <c r="C3">
        <v>250</v>
      </c>
      <c r="D3">
        <v>245</v>
      </c>
      <c r="E3" s="6">
        <f>$K$3+$J$3*C3</f>
        <v>253.31212892281596</v>
      </c>
      <c r="F3" s="6">
        <f>D3-E3</f>
        <v>-8.3121289228159583</v>
      </c>
      <c r="G3" s="7">
        <f>F3^2</f>
        <v>69.091487229513589</v>
      </c>
      <c r="J3" s="9">
        <f>SLOPE(D3:D7,C3:C7)</f>
        <v>0.90754877014419</v>
      </c>
      <c r="K3" s="10">
        <f>INTERCEPT(D3:D7,C3:C7)</f>
        <v>26.424936386768451</v>
      </c>
    </row>
    <row r="4" spans="2:11" x14ac:dyDescent="0.2">
      <c r="B4" t="s">
        <v>32</v>
      </c>
      <c r="C4">
        <v>235</v>
      </c>
      <c r="D4">
        <v>245</v>
      </c>
      <c r="E4" s="6">
        <f t="shared" ref="E4:E7" si="0">$K$3+$J$3*C4</f>
        <v>239.6988973706531</v>
      </c>
      <c r="F4" s="6">
        <f t="shared" ref="F4:F7" si="1">D4-E4</f>
        <v>5.3011026293469001</v>
      </c>
      <c r="G4" s="7">
        <f t="shared" ref="G4:G7" si="2">F4^2</f>
        <v>28.101689086868618</v>
      </c>
    </row>
    <row r="5" spans="2:11" x14ac:dyDescent="0.2">
      <c r="B5" t="s">
        <v>33</v>
      </c>
      <c r="C5">
        <v>223</v>
      </c>
      <c r="D5">
        <v>235</v>
      </c>
      <c r="E5" s="6">
        <f t="shared" si="0"/>
        <v>228.80831212892281</v>
      </c>
      <c r="F5" s="6">
        <f t="shared" si="1"/>
        <v>6.1916878710771925</v>
      </c>
      <c r="G5" s="7">
        <f t="shared" si="2"/>
        <v>38.336998692844418</v>
      </c>
    </row>
    <row r="6" spans="2:11" x14ac:dyDescent="0.2">
      <c r="B6" t="s">
        <v>34</v>
      </c>
      <c r="C6">
        <v>195</v>
      </c>
      <c r="D6">
        <v>205</v>
      </c>
      <c r="E6" s="6">
        <f t="shared" si="0"/>
        <v>203.3969465648855</v>
      </c>
      <c r="F6" s="6">
        <f t="shared" si="1"/>
        <v>1.6030534351145036</v>
      </c>
      <c r="G6" s="7">
        <f t="shared" si="2"/>
        <v>2.5697803158324102</v>
      </c>
    </row>
    <row r="7" spans="2:11" x14ac:dyDescent="0.2">
      <c r="B7" t="s">
        <v>35</v>
      </c>
      <c r="C7">
        <v>180</v>
      </c>
      <c r="D7">
        <v>185</v>
      </c>
      <c r="E7" s="6">
        <f t="shared" si="0"/>
        <v>189.78371501272264</v>
      </c>
      <c r="F7" s="6">
        <f t="shared" si="1"/>
        <v>-4.783715012722638</v>
      </c>
      <c r="G7" s="7">
        <f t="shared" si="2"/>
        <v>22.883929322947949</v>
      </c>
    </row>
    <row r="9" spans="2:11" x14ac:dyDescent="0.2">
      <c r="F9" s="8" t="s">
        <v>40</v>
      </c>
      <c r="G9" s="6">
        <f>SUM(F3:F7)</f>
        <v>0</v>
      </c>
    </row>
    <row r="10" spans="2:11" x14ac:dyDescent="0.2">
      <c r="F10" s="8" t="s">
        <v>39</v>
      </c>
      <c r="G10" s="7">
        <f>SUM(G3:G7)</f>
        <v>160.98388464800701</v>
      </c>
    </row>
  </sheetData>
  <phoneticPr fontId="3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5FF7D-A5F0-CE43-AEA6-F126B4056E30}">
  <sheetPr>
    <tabColor rgb="FFFFFF00"/>
  </sheetPr>
  <dimension ref="B2:O32"/>
  <sheetViews>
    <sheetView workbookViewId="0">
      <selection activeCell="K16" sqref="K16"/>
    </sheetView>
  </sheetViews>
  <sheetFormatPr baseColWidth="10" defaultRowHeight="16" x14ac:dyDescent="0.2"/>
  <sheetData>
    <row r="2" spans="2:15" s="3" customFormat="1" x14ac:dyDescent="0.2">
      <c r="B2" s="3" t="s">
        <v>3</v>
      </c>
      <c r="C2" s="3" t="s">
        <v>4</v>
      </c>
      <c r="D2" s="3" t="s">
        <v>5</v>
      </c>
      <c r="E2" s="3" t="s">
        <v>6</v>
      </c>
      <c r="F2" s="3" t="s">
        <v>7</v>
      </c>
      <c r="G2" s="3" t="s">
        <v>8</v>
      </c>
      <c r="H2" s="3" t="s">
        <v>9</v>
      </c>
      <c r="I2" s="3" t="s">
        <v>10</v>
      </c>
      <c r="J2" s="3" t="s">
        <v>11</v>
      </c>
      <c r="K2" s="3" t="s">
        <v>12</v>
      </c>
      <c r="M2" s="4" t="s">
        <v>0</v>
      </c>
      <c r="N2" s="4" t="s">
        <v>1</v>
      </c>
      <c r="O2" s="4" t="s">
        <v>2</v>
      </c>
    </row>
    <row r="3" spans="2:15" x14ac:dyDescent="0.2">
      <c r="B3">
        <v>1</v>
      </c>
      <c r="C3">
        <v>0</v>
      </c>
      <c r="D3">
        <v>0</v>
      </c>
      <c r="E3">
        <v>1</v>
      </c>
      <c r="F3">
        <v>1</v>
      </c>
      <c r="G3">
        <v>0</v>
      </c>
      <c r="H3">
        <v>0</v>
      </c>
      <c r="I3">
        <v>0</v>
      </c>
      <c r="J3">
        <f>B3*$O$3+C3*$O$4+D3*$O$5+E3*$O$6+F3*$O$7+G3*$O$8+H3*$O$9+I3*$O$10</f>
        <v>57</v>
      </c>
      <c r="K3" t="str">
        <f>IF(J3&gt;45,"",B3*$N$3+C3*$N$4+D3*$N$5+E3*$N$6+F3*$N$7+G3*$N$8+H3*$N$9+I3*$N$10)</f>
        <v/>
      </c>
      <c r="M3" s="2" t="s">
        <v>3</v>
      </c>
      <c r="N3">
        <v>250</v>
      </c>
      <c r="O3">
        <v>22</v>
      </c>
    </row>
    <row r="4" spans="2:15" x14ac:dyDescent="0.2">
      <c r="B4">
        <v>1</v>
      </c>
      <c r="C4">
        <v>0</v>
      </c>
      <c r="D4">
        <v>0</v>
      </c>
      <c r="E4">
        <v>1</v>
      </c>
      <c r="F4">
        <v>0</v>
      </c>
      <c r="G4">
        <v>1</v>
      </c>
      <c r="H4">
        <v>0</v>
      </c>
      <c r="I4">
        <v>0</v>
      </c>
      <c r="J4">
        <f t="shared" ref="J4:J32" si="0">B4*$O$3+C4*$O$4+D4*$O$5+E4*$O$6+F4*$O$7+G4*$O$8+H4*$O$9+I4*$O$10</f>
        <v>55</v>
      </c>
      <c r="K4" t="str">
        <f t="shared" ref="K4:K32" si="1">IF(J4&gt;45,"",B4*$N$3+C4*$N$4+D4*$N$5+E4*$N$6+F4*$N$7+G4*$N$8+H4*$N$9+I4*$N$10)</f>
        <v/>
      </c>
      <c r="M4" s="1" t="s">
        <v>4</v>
      </c>
      <c r="N4">
        <v>210</v>
      </c>
      <c r="O4">
        <v>19</v>
      </c>
    </row>
    <row r="5" spans="2:15" x14ac:dyDescent="0.2">
      <c r="B5">
        <v>1</v>
      </c>
      <c r="C5">
        <v>0</v>
      </c>
      <c r="D5">
        <v>0</v>
      </c>
      <c r="E5">
        <v>1</v>
      </c>
      <c r="F5">
        <v>0</v>
      </c>
      <c r="G5">
        <v>0</v>
      </c>
      <c r="H5">
        <v>1</v>
      </c>
      <c r="I5">
        <v>0</v>
      </c>
      <c r="J5">
        <f t="shared" si="0"/>
        <v>54</v>
      </c>
      <c r="K5" t="str">
        <f t="shared" si="1"/>
        <v/>
      </c>
      <c r="M5" s="1" t="s">
        <v>5</v>
      </c>
      <c r="N5">
        <v>190</v>
      </c>
      <c r="O5">
        <v>14</v>
      </c>
    </row>
    <row r="6" spans="2:15" x14ac:dyDescent="0.2">
      <c r="B6">
        <v>1</v>
      </c>
      <c r="C6">
        <v>0</v>
      </c>
      <c r="D6">
        <v>0</v>
      </c>
      <c r="E6">
        <v>1</v>
      </c>
      <c r="F6">
        <v>0</v>
      </c>
      <c r="G6">
        <v>0</v>
      </c>
      <c r="H6">
        <v>0</v>
      </c>
      <c r="I6">
        <v>1</v>
      </c>
      <c r="J6">
        <f t="shared" si="0"/>
        <v>49</v>
      </c>
      <c r="K6" t="str">
        <f t="shared" si="1"/>
        <v/>
      </c>
      <c r="M6" s="1" t="s">
        <v>6</v>
      </c>
      <c r="N6">
        <v>270</v>
      </c>
      <c r="O6">
        <v>20</v>
      </c>
    </row>
    <row r="7" spans="2:15" x14ac:dyDescent="0.2">
      <c r="B7">
        <v>1</v>
      </c>
      <c r="C7">
        <v>0</v>
      </c>
      <c r="D7">
        <v>0</v>
      </c>
      <c r="E7">
        <v>0</v>
      </c>
      <c r="F7">
        <v>1</v>
      </c>
      <c r="G7">
        <v>1</v>
      </c>
      <c r="H7">
        <v>0</v>
      </c>
      <c r="I7">
        <v>0</v>
      </c>
      <c r="J7">
        <f t="shared" si="0"/>
        <v>50</v>
      </c>
      <c r="K7" t="str">
        <f t="shared" si="1"/>
        <v/>
      </c>
      <c r="M7" s="1" t="s">
        <v>7</v>
      </c>
      <c r="N7">
        <v>225</v>
      </c>
      <c r="O7">
        <v>15</v>
      </c>
    </row>
    <row r="8" spans="2:15" x14ac:dyDescent="0.2">
      <c r="B8">
        <v>1</v>
      </c>
      <c r="C8">
        <v>0</v>
      </c>
      <c r="D8">
        <v>0</v>
      </c>
      <c r="E8">
        <v>0</v>
      </c>
      <c r="F8">
        <v>1</v>
      </c>
      <c r="G8">
        <v>0</v>
      </c>
      <c r="H8">
        <v>1</v>
      </c>
      <c r="I8">
        <v>0</v>
      </c>
      <c r="J8">
        <f t="shared" si="0"/>
        <v>49</v>
      </c>
      <c r="K8" t="str">
        <f t="shared" si="1"/>
        <v/>
      </c>
      <c r="M8" s="1" t="s">
        <v>8</v>
      </c>
      <c r="N8">
        <v>230</v>
      </c>
      <c r="O8">
        <v>13</v>
      </c>
    </row>
    <row r="9" spans="2:15" x14ac:dyDescent="0.2">
      <c r="B9">
        <v>1</v>
      </c>
      <c r="C9">
        <v>0</v>
      </c>
      <c r="D9">
        <v>0</v>
      </c>
      <c r="E9">
        <v>0</v>
      </c>
      <c r="F9">
        <v>1</v>
      </c>
      <c r="G9">
        <v>0</v>
      </c>
      <c r="H9">
        <v>0</v>
      </c>
      <c r="I9">
        <v>1</v>
      </c>
      <c r="J9">
        <f t="shared" si="0"/>
        <v>44</v>
      </c>
      <c r="K9">
        <f t="shared" si="1"/>
        <v>625</v>
      </c>
      <c r="M9" s="1" t="s">
        <v>9</v>
      </c>
      <c r="N9">
        <v>210</v>
      </c>
      <c r="O9">
        <v>12</v>
      </c>
    </row>
    <row r="10" spans="2:15" x14ac:dyDescent="0.2">
      <c r="B10">
        <v>1</v>
      </c>
      <c r="C10">
        <v>0</v>
      </c>
      <c r="D10">
        <v>0</v>
      </c>
      <c r="E10">
        <v>0</v>
      </c>
      <c r="F10">
        <v>0</v>
      </c>
      <c r="G10">
        <v>1</v>
      </c>
      <c r="H10">
        <v>1</v>
      </c>
      <c r="I10">
        <v>0</v>
      </c>
      <c r="J10">
        <f t="shared" si="0"/>
        <v>47</v>
      </c>
      <c r="K10" t="str">
        <f t="shared" si="1"/>
        <v/>
      </c>
      <c r="M10" s="1" t="s">
        <v>10</v>
      </c>
      <c r="N10">
        <v>150</v>
      </c>
      <c r="O10">
        <v>7</v>
      </c>
    </row>
    <row r="11" spans="2:15" x14ac:dyDescent="0.2">
      <c r="B11">
        <v>1</v>
      </c>
      <c r="C11">
        <v>0</v>
      </c>
      <c r="D11">
        <v>0</v>
      </c>
      <c r="E11">
        <v>0</v>
      </c>
      <c r="F11">
        <v>0</v>
      </c>
      <c r="G11">
        <v>1</v>
      </c>
      <c r="H11">
        <v>0</v>
      </c>
      <c r="I11">
        <v>1</v>
      </c>
      <c r="J11">
        <f t="shared" si="0"/>
        <v>42</v>
      </c>
      <c r="K11">
        <f t="shared" si="1"/>
        <v>630</v>
      </c>
    </row>
    <row r="12" spans="2:15" x14ac:dyDescent="0.2">
      <c r="B12">
        <v>1</v>
      </c>
      <c r="C12">
        <v>0</v>
      </c>
      <c r="D12">
        <v>0</v>
      </c>
      <c r="E12">
        <v>0</v>
      </c>
      <c r="F12">
        <v>0</v>
      </c>
      <c r="G12">
        <v>0</v>
      </c>
      <c r="H12">
        <v>1</v>
      </c>
      <c r="I12">
        <v>1</v>
      </c>
      <c r="J12">
        <f t="shared" si="0"/>
        <v>41</v>
      </c>
      <c r="K12">
        <f t="shared" si="1"/>
        <v>610</v>
      </c>
    </row>
    <row r="13" spans="2:15" x14ac:dyDescent="0.2">
      <c r="B13">
        <v>0</v>
      </c>
      <c r="C13">
        <v>1</v>
      </c>
      <c r="D13">
        <v>0</v>
      </c>
      <c r="E13">
        <v>1</v>
      </c>
      <c r="F13">
        <v>1</v>
      </c>
      <c r="G13">
        <v>0</v>
      </c>
      <c r="H13">
        <v>0</v>
      </c>
      <c r="I13">
        <v>0</v>
      </c>
      <c r="J13">
        <f t="shared" si="0"/>
        <v>54</v>
      </c>
      <c r="K13" t="str">
        <f t="shared" si="1"/>
        <v/>
      </c>
    </row>
    <row r="14" spans="2:15" x14ac:dyDescent="0.2">
      <c r="B14">
        <v>0</v>
      </c>
      <c r="C14">
        <v>1</v>
      </c>
      <c r="D14">
        <v>0</v>
      </c>
      <c r="E14">
        <v>1</v>
      </c>
      <c r="F14">
        <v>0</v>
      </c>
      <c r="G14">
        <v>1</v>
      </c>
      <c r="H14">
        <v>0</v>
      </c>
      <c r="I14">
        <v>0</v>
      </c>
      <c r="J14">
        <f t="shared" si="0"/>
        <v>52</v>
      </c>
      <c r="K14" t="str">
        <f t="shared" si="1"/>
        <v/>
      </c>
    </row>
    <row r="15" spans="2:15" x14ac:dyDescent="0.2">
      <c r="B15">
        <v>0</v>
      </c>
      <c r="C15">
        <v>1</v>
      </c>
      <c r="D15">
        <v>0</v>
      </c>
      <c r="E15">
        <v>1</v>
      </c>
      <c r="F15">
        <v>0</v>
      </c>
      <c r="G15">
        <v>0</v>
      </c>
      <c r="H15">
        <v>1</v>
      </c>
      <c r="I15">
        <v>0</v>
      </c>
      <c r="J15">
        <f t="shared" si="0"/>
        <v>51</v>
      </c>
      <c r="K15" t="str">
        <f t="shared" si="1"/>
        <v/>
      </c>
    </row>
    <row r="16" spans="2:15" x14ac:dyDescent="0.2">
      <c r="B16">
        <v>0</v>
      </c>
      <c r="C16">
        <v>1</v>
      </c>
      <c r="D16">
        <v>0</v>
      </c>
      <c r="E16">
        <v>1</v>
      </c>
      <c r="F16">
        <v>0</v>
      </c>
      <c r="G16">
        <v>0</v>
      </c>
      <c r="H16">
        <v>0</v>
      </c>
      <c r="I16">
        <v>1</v>
      </c>
      <c r="J16">
        <f t="shared" si="0"/>
        <v>46</v>
      </c>
      <c r="K16" t="str">
        <f t="shared" si="1"/>
        <v/>
      </c>
    </row>
    <row r="17" spans="2:11" x14ac:dyDescent="0.2">
      <c r="B17">
        <v>0</v>
      </c>
      <c r="C17">
        <v>1</v>
      </c>
      <c r="D17">
        <v>0</v>
      </c>
      <c r="E17">
        <v>0</v>
      </c>
      <c r="F17">
        <v>1</v>
      </c>
      <c r="G17">
        <v>1</v>
      </c>
      <c r="H17">
        <v>0</v>
      </c>
      <c r="I17">
        <v>0</v>
      </c>
      <c r="J17">
        <f t="shared" si="0"/>
        <v>47</v>
      </c>
      <c r="K17" t="str">
        <f t="shared" si="1"/>
        <v/>
      </c>
    </row>
    <row r="18" spans="2:11" x14ac:dyDescent="0.2">
      <c r="B18">
        <v>0</v>
      </c>
      <c r="C18">
        <v>1</v>
      </c>
      <c r="D18">
        <v>0</v>
      </c>
      <c r="E18">
        <v>0</v>
      </c>
      <c r="F18">
        <v>1</v>
      </c>
      <c r="G18">
        <v>0</v>
      </c>
      <c r="H18">
        <v>1</v>
      </c>
      <c r="I18">
        <v>0</v>
      </c>
      <c r="J18">
        <f t="shared" si="0"/>
        <v>46</v>
      </c>
      <c r="K18" t="str">
        <f t="shared" si="1"/>
        <v/>
      </c>
    </row>
    <row r="19" spans="2:11" x14ac:dyDescent="0.2">
      <c r="B19">
        <v>0</v>
      </c>
      <c r="C19">
        <v>1</v>
      </c>
      <c r="D19">
        <v>0</v>
      </c>
      <c r="E19">
        <v>0</v>
      </c>
      <c r="F19">
        <v>1</v>
      </c>
      <c r="G19">
        <v>0</v>
      </c>
      <c r="H19">
        <v>0</v>
      </c>
      <c r="I19">
        <v>1</v>
      </c>
      <c r="J19">
        <f t="shared" si="0"/>
        <v>41</v>
      </c>
      <c r="K19">
        <f t="shared" si="1"/>
        <v>585</v>
      </c>
    </row>
    <row r="20" spans="2:11" x14ac:dyDescent="0.2">
      <c r="B20">
        <v>0</v>
      </c>
      <c r="C20">
        <v>1</v>
      </c>
      <c r="D20">
        <v>0</v>
      </c>
      <c r="E20">
        <v>0</v>
      </c>
      <c r="F20">
        <v>0</v>
      </c>
      <c r="G20">
        <v>1</v>
      </c>
      <c r="H20">
        <v>1</v>
      </c>
      <c r="I20">
        <v>0</v>
      </c>
      <c r="J20">
        <f t="shared" si="0"/>
        <v>44</v>
      </c>
      <c r="K20">
        <f t="shared" si="1"/>
        <v>650</v>
      </c>
    </row>
    <row r="21" spans="2:11" x14ac:dyDescent="0.2">
      <c r="B21">
        <v>0</v>
      </c>
      <c r="C21">
        <v>1</v>
      </c>
      <c r="D21">
        <v>0</v>
      </c>
      <c r="E21">
        <v>0</v>
      </c>
      <c r="F21">
        <v>0</v>
      </c>
      <c r="G21">
        <v>1</v>
      </c>
      <c r="H21">
        <v>0</v>
      </c>
      <c r="I21">
        <v>1</v>
      </c>
      <c r="J21">
        <f t="shared" si="0"/>
        <v>39</v>
      </c>
      <c r="K21">
        <f t="shared" si="1"/>
        <v>590</v>
      </c>
    </row>
    <row r="22" spans="2:11" x14ac:dyDescent="0.2">
      <c r="B22">
        <v>0</v>
      </c>
      <c r="C22">
        <v>1</v>
      </c>
      <c r="D22">
        <v>0</v>
      </c>
      <c r="E22">
        <v>0</v>
      </c>
      <c r="F22">
        <v>0</v>
      </c>
      <c r="G22">
        <v>0</v>
      </c>
      <c r="H22">
        <v>1</v>
      </c>
      <c r="I22">
        <v>1</v>
      </c>
      <c r="J22">
        <f t="shared" si="0"/>
        <v>38</v>
      </c>
      <c r="K22">
        <f t="shared" si="1"/>
        <v>570</v>
      </c>
    </row>
    <row r="23" spans="2:11" x14ac:dyDescent="0.2">
      <c r="B23">
        <v>0</v>
      </c>
      <c r="C23">
        <v>0</v>
      </c>
      <c r="D23">
        <v>1</v>
      </c>
      <c r="E23">
        <v>1</v>
      </c>
      <c r="F23">
        <v>1</v>
      </c>
      <c r="G23">
        <v>0</v>
      </c>
      <c r="H23">
        <v>0</v>
      </c>
      <c r="I23">
        <v>0</v>
      </c>
      <c r="J23">
        <f t="shared" si="0"/>
        <v>49</v>
      </c>
      <c r="K23" t="str">
        <f t="shared" si="1"/>
        <v/>
      </c>
    </row>
    <row r="24" spans="2:11" x14ac:dyDescent="0.2">
      <c r="B24">
        <v>0</v>
      </c>
      <c r="C24">
        <v>0</v>
      </c>
      <c r="D24">
        <v>1</v>
      </c>
      <c r="E24">
        <v>1</v>
      </c>
      <c r="F24">
        <v>0</v>
      </c>
      <c r="G24">
        <v>1</v>
      </c>
      <c r="H24">
        <v>0</v>
      </c>
      <c r="I24">
        <v>0</v>
      </c>
      <c r="J24">
        <f t="shared" si="0"/>
        <v>47</v>
      </c>
      <c r="K24" t="str">
        <f t="shared" si="1"/>
        <v/>
      </c>
    </row>
    <row r="25" spans="2:11" x14ac:dyDescent="0.2">
      <c r="B25">
        <v>0</v>
      </c>
      <c r="C25">
        <v>0</v>
      </c>
      <c r="D25">
        <v>1</v>
      </c>
      <c r="E25">
        <v>1</v>
      </c>
      <c r="F25">
        <v>0</v>
      </c>
      <c r="G25">
        <v>0</v>
      </c>
      <c r="H25">
        <v>1</v>
      </c>
      <c r="I25">
        <v>0</v>
      </c>
      <c r="J25">
        <f t="shared" si="0"/>
        <v>46</v>
      </c>
      <c r="K25" t="str">
        <f t="shared" si="1"/>
        <v/>
      </c>
    </row>
    <row r="26" spans="2:11" x14ac:dyDescent="0.2">
      <c r="B26">
        <v>0</v>
      </c>
      <c r="C26">
        <v>0</v>
      </c>
      <c r="D26">
        <v>1</v>
      </c>
      <c r="E26">
        <v>1</v>
      </c>
      <c r="F26">
        <v>0</v>
      </c>
      <c r="G26">
        <v>0</v>
      </c>
      <c r="H26">
        <v>0</v>
      </c>
      <c r="I26">
        <v>1</v>
      </c>
      <c r="J26">
        <f t="shared" si="0"/>
        <v>41</v>
      </c>
      <c r="K26">
        <f t="shared" si="1"/>
        <v>610</v>
      </c>
    </row>
    <row r="27" spans="2:11" x14ac:dyDescent="0.2">
      <c r="B27">
        <v>0</v>
      </c>
      <c r="C27">
        <v>0</v>
      </c>
      <c r="D27">
        <v>1</v>
      </c>
      <c r="E27">
        <v>0</v>
      </c>
      <c r="F27">
        <v>1</v>
      </c>
      <c r="G27">
        <v>1</v>
      </c>
      <c r="H27">
        <v>0</v>
      </c>
      <c r="I27">
        <v>0</v>
      </c>
      <c r="J27">
        <f t="shared" si="0"/>
        <v>42</v>
      </c>
      <c r="K27">
        <f t="shared" si="1"/>
        <v>645</v>
      </c>
    </row>
    <row r="28" spans="2:11" x14ac:dyDescent="0.2">
      <c r="B28">
        <v>0</v>
      </c>
      <c r="C28">
        <v>0</v>
      </c>
      <c r="D28">
        <v>1</v>
      </c>
      <c r="E28">
        <v>0</v>
      </c>
      <c r="F28">
        <v>1</v>
      </c>
      <c r="G28">
        <v>0</v>
      </c>
      <c r="H28">
        <v>1</v>
      </c>
      <c r="I28">
        <v>0</v>
      </c>
      <c r="J28">
        <f t="shared" si="0"/>
        <v>41</v>
      </c>
      <c r="K28">
        <f t="shared" si="1"/>
        <v>625</v>
      </c>
    </row>
    <row r="29" spans="2:11" x14ac:dyDescent="0.2">
      <c r="B29">
        <v>0</v>
      </c>
      <c r="C29">
        <v>0</v>
      </c>
      <c r="D29">
        <v>1</v>
      </c>
      <c r="E29">
        <v>0</v>
      </c>
      <c r="F29">
        <v>1</v>
      </c>
      <c r="G29">
        <v>0</v>
      </c>
      <c r="H29">
        <v>0</v>
      </c>
      <c r="I29">
        <v>1</v>
      </c>
      <c r="J29">
        <f t="shared" si="0"/>
        <v>36</v>
      </c>
      <c r="K29">
        <f t="shared" si="1"/>
        <v>565</v>
      </c>
    </row>
    <row r="30" spans="2:11" x14ac:dyDescent="0.2">
      <c r="B30">
        <v>0</v>
      </c>
      <c r="C30">
        <v>0</v>
      </c>
      <c r="D30">
        <v>1</v>
      </c>
      <c r="E30">
        <v>0</v>
      </c>
      <c r="F30">
        <v>0</v>
      </c>
      <c r="G30">
        <v>1</v>
      </c>
      <c r="H30">
        <v>1</v>
      </c>
      <c r="I30">
        <v>0</v>
      </c>
      <c r="J30">
        <f t="shared" si="0"/>
        <v>39</v>
      </c>
      <c r="K30">
        <f t="shared" si="1"/>
        <v>630</v>
      </c>
    </row>
    <row r="31" spans="2:11" x14ac:dyDescent="0.2">
      <c r="B31">
        <v>0</v>
      </c>
      <c r="C31">
        <v>0</v>
      </c>
      <c r="D31">
        <v>1</v>
      </c>
      <c r="E31">
        <v>0</v>
      </c>
      <c r="F31">
        <v>0</v>
      </c>
      <c r="G31">
        <v>1</v>
      </c>
      <c r="H31">
        <v>0</v>
      </c>
      <c r="I31">
        <v>1</v>
      </c>
      <c r="J31">
        <f t="shared" si="0"/>
        <v>34</v>
      </c>
      <c r="K31">
        <f t="shared" si="1"/>
        <v>570</v>
      </c>
    </row>
    <row r="32" spans="2:11" x14ac:dyDescent="0.2">
      <c r="B32">
        <v>0</v>
      </c>
      <c r="C32">
        <v>0</v>
      </c>
      <c r="D32">
        <v>1</v>
      </c>
      <c r="E32">
        <v>0</v>
      </c>
      <c r="F32">
        <v>0</v>
      </c>
      <c r="G32">
        <v>0</v>
      </c>
      <c r="H32">
        <v>1</v>
      </c>
      <c r="I32">
        <v>1</v>
      </c>
      <c r="J32">
        <f t="shared" si="0"/>
        <v>33</v>
      </c>
      <c r="K32">
        <f t="shared" si="1"/>
        <v>550</v>
      </c>
    </row>
  </sheetData>
  <conditionalFormatting sqref="J3:J32">
    <cfRule type="cellIs" dxfId="1" priority="2" operator="lessThan">
      <formula>50</formula>
    </cfRule>
  </conditionalFormatting>
  <conditionalFormatting sqref="K3:K32">
    <cfRule type="top10" dxfId="0" priority="1" rank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6B7EF-2F80-7845-87EB-8A71C2E9F730}">
  <sheetPr>
    <tabColor theme="9"/>
  </sheetPr>
  <dimension ref="B2:L11"/>
  <sheetViews>
    <sheetView workbookViewId="0">
      <selection activeCell="F14" sqref="F14"/>
    </sheetView>
  </sheetViews>
  <sheetFormatPr baseColWidth="10" defaultRowHeight="16" x14ac:dyDescent="0.2"/>
  <cols>
    <col min="4" max="4" width="16.33203125" bestFit="1" customWidth="1"/>
  </cols>
  <sheetData>
    <row r="2" spans="2:12" x14ac:dyDescent="0.2">
      <c r="B2" s="3" t="s">
        <v>0</v>
      </c>
      <c r="C2" s="3" t="s">
        <v>2</v>
      </c>
      <c r="D2" s="3" t="s">
        <v>13</v>
      </c>
      <c r="E2" s="3" t="s">
        <v>14</v>
      </c>
      <c r="F2" s="3" t="s">
        <v>11</v>
      </c>
      <c r="G2" s="3" t="s">
        <v>12</v>
      </c>
      <c r="J2" s="3" t="s">
        <v>15</v>
      </c>
      <c r="K2" s="3" t="s">
        <v>16</v>
      </c>
      <c r="L2" s="3" t="s">
        <v>17</v>
      </c>
    </row>
    <row r="3" spans="2:12" x14ac:dyDescent="0.2">
      <c r="B3" t="s">
        <v>18</v>
      </c>
      <c r="C3">
        <v>22</v>
      </c>
      <c r="D3">
        <v>250</v>
      </c>
      <c r="E3">
        <v>1</v>
      </c>
      <c r="F3">
        <f>C3*E3</f>
        <v>22</v>
      </c>
      <c r="G3">
        <f>E3*D3</f>
        <v>250</v>
      </c>
      <c r="J3" t="s">
        <v>19</v>
      </c>
      <c r="K3">
        <f>SUM(E3:E5)</f>
        <v>1</v>
      </c>
      <c r="L3">
        <v>1</v>
      </c>
    </row>
    <row r="4" spans="2:12" x14ac:dyDescent="0.2">
      <c r="B4" t="s">
        <v>20</v>
      </c>
      <c r="C4">
        <v>19</v>
      </c>
      <c r="D4">
        <v>210</v>
      </c>
      <c r="E4">
        <v>0</v>
      </c>
      <c r="F4">
        <f t="shared" ref="F4:F10" si="0">C4*E4</f>
        <v>0</v>
      </c>
      <c r="G4">
        <f t="shared" ref="G4:G10" si="1">E4*D4</f>
        <v>0</v>
      </c>
      <c r="J4" t="s">
        <v>21</v>
      </c>
      <c r="K4">
        <f>SUM(E6:E7)</f>
        <v>1</v>
      </c>
      <c r="L4">
        <v>2</v>
      </c>
    </row>
    <row r="5" spans="2:12" x14ac:dyDescent="0.2">
      <c r="B5" t="s">
        <v>22</v>
      </c>
      <c r="C5">
        <v>14</v>
      </c>
      <c r="D5">
        <v>190</v>
      </c>
      <c r="E5">
        <v>0</v>
      </c>
      <c r="F5">
        <f t="shared" si="0"/>
        <v>0</v>
      </c>
      <c r="G5">
        <f t="shared" si="1"/>
        <v>0</v>
      </c>
      <c r="J5" t="s">
        <v>23</v>
      </c>
      <c r="K5">
        <f>SUM(E8:E10)</f>
        <v>1</v>
      </c>
      <c r="L5">
        <v>2</v>
      </c>
    </row>
    <row r="6" spans="2:12" x14ac:dyDescent="0.2">
      <c r="B6" t="s">
        <v>24</v>
      </c>
      <c r="C6">
        <v>20</v>
      </c>
      <c r="D6">
        <v>270</v>
      </c>
      <c r="E6">
        <v>0</v>
      </c>
      <c r="F6">
        <f t="shared" si="0"/>
        <v>0</v>
      </c>
      <c r="G6">
        <f>E6*D6</f>
        <v>0</v>
      </c>
      <c r="K6">
        <f>SUM(K3:K5)</f>
        <v>3</v>
      </c>
      <c r="L6">
        <v>3</v>
      </c>
    </row>
    <row r="7" spans="2:12" x14ac:dyDescent="0.2">
      <c r="B7" t="s">
        <v>25</v>
      </c>
      <c r="C7">
        <v>15</v>
      </c>
      <c r="D7">
        <v>225</v>
      </c>
      <c r="E7">
        <v>1</v>
      </c>
      <c r="F7">
        <f t="shared" si="0"/>
        <v>15</v>
      </c>
      <c r="G7">
        <f t="shared" si="1"/>
        <v>225</v>
      </c>
    </row>
    <row r="8" spans="2:12" x14ac:dyDescent="0.2">
      <c r="B8" t="s">
        <v>8</v>
      </c>
      <c r="C8">
        <v>13</v>
      </c>
      <c r="D8">
        <v>230</v>
      </c>
      <c r="E8">
        <v>1</v>
      </c>
      <c r="F8">
        <f t="shared" si="0"/>
        <v>13</v>
      </c>
      <c r="G8">
        <f t="shared" si="1"/>
        <v>230</v>
      </c>
    </row>
    <row r="9" spans="2:12" x14ac:dyDescent="0.2">
      <c r="B9" t="s">
        <v>9</v>
      </c>
      <c r="C9">
        <v>12</v>
      </c>
      <c r="D9">
        <v>210</v>
      </c>
      <c r="E9">
        <v>0</v>
      </c>
      <c r="F9">
        <f t="shared" si="0"/>
        <v>0</v>
      </c>
      <c r="G9">
        <f t="shared" si="1"/>
        <v>0</v>
      </c>
    </row>
    <row r="10" spans="2:12" x14ac:dyDescent="0.2">
      <c r="B10" t="s">
        <v>10</v>
      </c>
      <c r="C10">
        <v>7</v>
      </c>
      <c r="D10">
        <v>150</v>
      </c>
      <c r="E10">
        <v>0</v>
      </c>
      <c r="F10">
        <f t="shared" si="0"/>
        <v>0</v>
      </c>
      <c r="G10">
        <f t="shared" si="1"/>
        <v>0</v>
      </c>
    </row>
    <row r="11" spans="2:12" x14ac:dyDescent="0.2">
      <c r="E11" s="3" t="s">
        <v>26</v>
      </c>
      <c r="F11" s="3">
        <f>SUM(F3:F10)</f>
        <v>50</v>
      </c>
      <c r="G11" s="3">
        <f>SUM(G3:G10)</f>
        <v>705</v>
      </c>
      <c r="H1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PlayerPoints</vt:lpstr>
      <vt:lpstr>Manual-Based</vt:lpstr>
      <vt:lpstr>Solver-Based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Benedict  Santoso</dc:creator>
  <cp:lastModifiedBy>Benedict  Santoso</cp:lastModifiedBy>
  <dcterms:created xsi:type="dcterms:W3CDTF">2026-03-25T14:29:23Z</dcterms:created>
  <dcterms:modified xsi:type="dcterms:W3CDTF">2026-03-27T14:27:53Z</dcterms:modified>
</cp:coreProperties>
</file>