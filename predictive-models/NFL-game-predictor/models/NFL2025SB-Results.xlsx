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benedictsantoso/Library/Mobile Documents/com~apple~CloudDocs/Desktop/Education /Undergraduate Universities/Suffolk University 2024 - 2026/Classes:Clubs:etc/Class Term/2026/Spring 2026/ISOM 232 - Sports Analytics in Action/Sport Modeliing/NFL - Superbowl/2025 (predictor)/"/>
    </mc:Choice>
  </mc:AlternateContent>
  <xr:revisionPtr revIDLastSave="0" documentId="13_ncr:1_{2325C058-956B-694F-8593-24F3F5582142}" xr6:coauthVersionLast="47" xr6:coauthVersionMax="47" xr10:uidLastSave="{00000000-0000-0000-0000-000000000000}"/>
  <bookViews>
    <workbookView xWindow="28960" yWindow="660" windowWidth="38080" windowHeight="20780" activeTab="1" xr2:uid="{E37A7E5B-AB86-D34D-97DC-4D425B08ABFD}"/>
  </bookViews>
  <sheets>
    <sheet name="NFL Solver Model" sheetId="3" r:id="rId1"/>
    <sheet name="NFL2025Results" sheetId="2" r:id="rId2"/>
  </sheets>
  <definedNames>
    <definedName name="ExternalData_1" localSheetId="0" hidden="1">'NFL Solver Model'!$D$6:$G$278</definedName>
    <definedName name="ExternalData_1" localSheetId="1" hidden="1">NFL2025Results!$A$1:$D$273</definedName>
    <definedName name="HomeEdge">'NFL Solver Model'!$B$1</definedName>
    <definedName name="Ratings">'NFL Solver Model'!$B$7:$B$38</definedName>
    <definedName name="solver_adj" localSheetId="0" hidden="1">'NFL Solver Model'!$B$7:$B$38,'NFL Solver Model'!$B$1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'NFL Solver Model'!$B$3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1</definedName>
    <definedName name="solver_opt" localSheetId="0" hidden="1">'NFL Solver Model'!$J$4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hs1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2</definedName>
    <definedName name="TeamRating">'NFL Solver Model'!$A$7:$B$38</definedName>
    <definedName name="Teams">'NFL Solver Model'!$A$7:$A$38</definedName>
  </definedNames>
  <calcPr calcId="191029"/>
  <pivotCaches>
    <pivotCache cacheId="6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3" l="1"/>
  <c r="N4" i="3"/>
  <c r="N3" i="3"/>
  <c r="N2" i="3"/>
  <c r="B3" i="3"/>
  <c r="A7" i="3" a="1"/>
  <c r="A7" i="3" s="1"/>
  <c r="F3" i="3" s="1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I264" i="3" l="1"/>
  <c r="J264" i="3" s="1"/>
  <c r="I240" i="3"/>
  <c r="J240" i="3" s="1"/>
  <c r="I224" i="3"/>
  <c r="J224" i="3" s="1"/>
  <c r="I200" i="3"/>
  <c r="J200" i="3" s="1"/>
  <c r="I192" i="3"/>
  <c r="J192" i="3" s="1"/>
  <c r="I144" i="3"/>
  <c r="J144" i="3" s="1"/>
  <c r="I271" i="3"/>
  <c r="J271" i="3" s="1"/>
  <c r="I247" i="3"/>
  <c r="J247" i="3" s="1"/>
  <c r="I223" i="3"/>
  <c r="J223" i="3" s="1"/>
  <c r="I183" i="3"/>
  <c r="J183" i="3" s="1"/>
  <c r="I159" i="3"/>
  <c r="J159" i="3" s="1"/>
  <c r="I135" i="3"/>
  <c r="J135" i="3" s="1"/>
  <c r="I111" i="3"/>
  <c r="J111" i="3" s="1"/>
  <c r="I87" i="3"/>
  <c r="J87" i="3" s="1"/>
  <c r="I55" i="3"/>
  <c r="J55" i="3" s="1"/>
  <c r="I47" i="3"/>
  <c r="J47" i="3" s="1"/>
  <c r="I23" i="3"/>
  <c r="J23" i="3" s="1"/>
  <c r="I268" i="3"/>
  <c r="J268" i="3" s="1"/>
  <c r="I260" i="3"/>
  <c r="J260" i="3" s="1"/>
  <c r="I252" i="3"/>
  <c r="J252" i="3" s="1"/>
  <c r="I244" i="3"/>
  <c r="J244" i="3" s="1"/>
  <c r="I236" i="3"/>
  <c r="J236" i="3" s="1"/>
  <c r="I228" i="3"/>
  <c r="J228" i="3" s="1"/>
  <c r="I220" i="3"/>
  <c r="J220" i="3" s="1"/>
  <c r="I212" i="3"/>
  <c r="J212" i="3" s="1"/>
  <c r="I204" i="3"/>
  <c r="J204" i="3" s="1"/>
  <c r="I196" i="3"/>
  <c r="J196" i="3" s="1"/>
  <c r="I188" i="3"/>
  <c r="J188" i="3" s="1"/>
  <c r="I180" i="3"/>
  <c r="J180" i="3" s="1"/>
  <c r="I172" i="3"/>
  <c r="J172" i="3" s="1"/>
  <c r="I164" i="3"/>
  <c r="J164" i="3" s="1"/>
  <c r="I156" i="3"/>
  <c r="J156" i="3" s="1"/>
  <c r="I148" i="3"/>
  <c r="J148" i="3" s="1"/>
  <c r="I140" i="3"/>
  <c r="J140" i="3" s="1"/>
  <c r="I132" i="3"/>
  <c r="J132" i="3" s="1"/>
  <c r="I124" i="3"/>
  <c r="J124" i="3" s="1"/>
  <c r="I116" i="3"/>
  <c r="J116" i="3" s="1"/>
  <c r="I108" i="3"/>
  <c r="J108" i="3" s="1"/>
  <c r="I100" i="3"/>
  <c r="J100" i="3" s="1"/>
  <c r="I92" i="3"/>
  <c r="J92" i="3" s="1"/>
  <c r="I84" i="3"/>
  <c r="J84" i="3" s="1"/>
  <c r="I76" i="3"/>
  <c r="J76" i="3" s="1"/>
  <c r="I68" i="3"/>
  <c r="J68" i="3" s="1"/>
  <c r="I60" i="3"/>
  <c r="J60" i="3" s="1"/>
  <c r="I52" i="3"/>
  <c r="J52" i="3" s="1"/>
  <c r="I44" i="3"/>
  <c r="J44" i="3" s="1"/>
  <c r="I36" i="3"/>
  <c r="J36" i="3" s="1"/>
  <c r="I28" i="3"/>
  <c r="J28" i="3" s="1"/>
  <c r="I20" i="3"/>
  <c r="J20" i="3" s="1"/>
  <c r="I12" i="3"/>
  <c r="J12" i="3" s="1"/>
  <c r="I275" i="3"/>
  <c r="J275" i="3" s="1"/>
  <c r="I267" i="3"/>
  <c r="J267" i="3" s="1"/>
  <c r="I259" i="3"/>
  <c r="J259" i="3" s="1"/>
  <c r="I251" i="3"/>
  <c r="J251" i="3" s="1"/>
  <c r="I243" i="3"/>
  <c r="J243" i="3" s="1"/>
  <c r="I235" i="3"/>
  <c r="J235" i="3" s="1"/>
  <c r="I227" i="3"/>
  <c r="J227" i="3" s="1"/>
  <c r="I219" i="3"/>
  <c r="J219" i="3" s="1"/>
  <c r="I211" i="3"/>
  <c r="J211" i="3" s="1"/>
  <c r="I203" i="3"/>
  <c r="J203" i="3" s="1"/>
  <c r="I195" i="3"/>
  <c r="J195" i="3" s="1"/>
  <c r="I187" i="3"/>
  <c r="J187" i="3" s="1"/>
  <c r="I179" i="3"/>
  <c r="J179" i="3" s="1"/>
  <c r="I171" i="3"/>
  <c r="J171" i="3" s="1"/>
  <c r="I163" i="3"/>
  <c r="J163" i="3" s="1"/>
  <c r="I155" i="3"/>
  <c r="J155" i="3" s="1"/>
  <c r="I147" i="3"/>
  <c r="J147" i="3" s="1"/>
  <c r="I139" i="3"/>
  <c r="J139" i="3" s="1"/>
  <c r="I131" i="3"/>
  <c r="J131" i="3" s="1"/>
  <c r="I123" i="3"/>
  <c r="J123" i="3" s="1"/>
  <c r="I115" i="3"/>
  <c r="J115" i="3" s="1"/>
  <c r="I107" i="3"/>
  <c r="J107" i="3" s="1"/>
  <c r="I99" i="3"/>
  <c r="J99" i="3" s="1"/>
  <c r="I91" i="3"/>
  <c r="J91" i="3" s="1"/>
  <c r="I83" i="3"/>
  <c r="J83" i="3" s="1"/>
  <c r="I75" i="3"/>
  <c r="J75" i="3" s="1"/>
  <c r="I67" i="3"/>
  <c r="J67" i="3" s="1"/>
  <c r="I59" i="3"/>
  <c r="J59" i="3" s="1"/>
  <c r="I51" i="3"/>
  <c r="J51" i="3" s="1"/>
  <c r="I43" i="3"/>
  <c r="J43" i="3" s="1"/>
  <c r="I35" i="3"/>
  <c r="J35" i="3" s="1"/>
  <c r="I27" i="3"/>
  <c r="J27" i="3" s="1"/>
  <c r="I19" i="3"/>
  <c r="J19" i="3" s="1"/>
  <c r="I11" i="3"/>
  <c r="J11" i="3" s="1"/>
  <c r="I10" i="3"/>
  <c r="J10" i="3" s="1"/>
  <c r="I272" i="3"/>
  <c r="J272" i="3" s="1"/>
  <c r="I248" i="3"/>
  <c r="J248" i="3" s="1"/>
  <c r="I216" i="3"/>
  <c r="J216" i="3" s="1"/>
  <c r="I176" i="3"/>
  <c r="J176" i="3" s="1"/>
  <c r="I152" i="3"/>
  <c r="J152" i="3" s="1"/>
  <c r="I263" i="3"/>
  <c r="J263" i="3" s="1"/>
  <c r="I239" i="3"/>
  <c r="J239" i="3" s="1"/>
  <c r="I215" i="3"/>
  <c r="J215" i="3" s="1"/>
  <c r="I191" i="3"/>
  <c r="J191" i="3" s="1"/>
  <c r="I167" i="3"/>
  <c r="J167" i="3" s="1"/>
  <c r="I143" i="3"/>
  <c r="J143" i="3" s="1"/>
  <c r="I119" i="3"/>
  <c r="J119" i="3" s="1"/>
  <c r="I95" i="3"/>
  <c r="J95" i="3" s="1"/>
  <c r="I71" i="3"/>
  <c r="J71" i="3" s="1"/>
  <c r="I31" i="3"/>
  <c r="J31" i="3" s="1"/>
  <c r="I276" i="3"/>
  <c r="J276" i="3" s="1"/>
  <c r="I274" i="3"/>
  <c r="J274" i="3" s="1"/>
  <c r="I266" i="3"/>
  <c r="J266" i="3" s="1"/>
  <c r="I258" i="3"/>
  <c r="J258" i="3" s="1"/>
  <c r="I250" i="3"/>
  <c r="J250" i="3" s="1"/>
  <c r="I242" i="3"/>
  <c r="J242" i="3" s="1"/>
  <c r="I234" i="3"/>
  <c r="J234" i="3" s="1"/>
  <c r="I226" i="3"/>
  <c r="J226" i="3" s="1"/>
  <c r="I218" i="3"/>
  <c r="J218" i="3" s="1"/>
  <c r="I210" i="3"/>
  <c r="J210" i="3" s="1"/>
  <c r="I202" i="3"/>
  <c r="J202" i="3" s="1"/>
  <c r="I194" i="3"/>
  <c r="J194" i="3" s="1"/>
  <c r="I186" i="3"/>
  <c r="J186" i="3" s="1"/>
  <c r="I178" i="3"/>
  <c r="J178" i="3" s="1"/>
  <c r="I170" i="3"/>
  <c r="J170" i="3" s="1"/>
  <c r="I162" i="3"/>
  <c r="J162" i="3" s="1"/>
  <c r="I154" i="3"/>
  <c r="J154" i="3" s="1"/>
  <c r="I146" i="3"/>
  <c r="J146" i="3" s="1"/>
  <c r="I138" i="3"/>
  <c r="J138" i="3" s="1"/>
  <c r="I130" i="3"/>
  <c r="J130" i="3" s="1"/>
  <c r="I122" i="3"/>
  <c r="J122" i="3" s="1"/>
  <c r="I114" i="3"/>
  <c r="J114" i="3" s="1"/>
  <c r="I106" i="3"/>
  <c r="J106" i="3" s="1"/>
  <c r="I98" i="3"/>
  <c r="J98" i="3" s="1"/>
  <c r="I90" i="3"/>
  <c r="J90" i="3" s="1"/>
  <c r="I82" i="3"/>
  <c r="J82" i="3" s="1"/>
  <c r="I74" i="3"/>
  <c r="J74" i="3" s="1"/>
  <c r="I66" i="3"/>
  <c r="J66" i="3" s="1"/>
  <c r="I58" i="3"/>
  <c r="J58" i="3" s="1"/>
  <c r="I50" i="3"/>
  <c r="J50" i="3" s="1"/>
  <c r="I42" i="3"/>
  <c r="J42" i="3" s="1"/>
  <c r="I34" i="3"/>
  <c r="J34" i="3" s="1"/>
  <c r="I26" i="3"/>
  <c r="J26" i="3" s="1"/>
  <c r="I18" i="3"/>
  <c r="J18" i="3" s="1"/>
  <c r="I273" i="3"/>
  <c r="J273" i="3" s="1"/>
  <c r="I265" i="3"/>
  <c r="J265" i="3" s="1"/>
  <c r="I257" i="3"/>
  <c r="J257" i="3" s="1"/>
  <c r="I249" i="3"/>
  <c r="J249" i="3" s="1"/>
  <c r="I241" i="3"/>
  <c r="J241" i="3" s="1"/>
  <c r="I233" i="3"/>
  <c r="J233" i="3" s="1"/>
  <c r="I225" i="3"/>
  <c r="J225" i="3" s="1"/>
  <c r="I217" i="3"/>
  <c r="J217" i="3" s="1"/>
  <c r="I209" i="3"/>
  <c r="J209" i="3" s="1"/>
  <c r="I201" i="3"/>
  <c r="J201" i="3" s="1"/>
  <c r="I193" i="3"/>
  <c r="J193" i="3" s="1"/>
  <c r="I185" i="3"/>
  <c r="J185" i="3" s="1"/>
  <c r="I177" i="3"/>
  <c r="J177" i="3" s="1"/>
  <c r="I169" i="3"/>
  <c r="J169" i="3" s="1"/>
  <c r="I161" i="3"/>
  <c r="J161" i="3" s="1"/>
  <c r="I153" i="3"/>
  <c r="J153" i="3" s="1"/>
  <c r="I145" i="3"/>
  <c r="J145" i="3" s="1"/>
  <c r="I137" i="3"/>
  <c r="J137" i="3" s="1"/>
  <c r="I129" i="3"/>
  <c r="J129" i="3" s="1"/>
  <c r="I121" i="3"/>
  <c r="J121" i="3" s="1"/>
  <c r="I113" i="3"/>
  <c r="J113" i="3" s="1"/>
  <c r="I105" i="3"/>
  <c r="J105" i="3" s="1"/>
  <c r="I97" i="3"/>
  <c r="J97" i="3" s="1"/>
  <c r="I89" i="3"/>
  <c r="J89" i="3" s="1"/>
  <c r="I81" i="3"/>
  <c r="J81" i="3" s="1"/>
  <c r="I73" i="3"/>
  <c r="J73" i="3" s="1"/>
  <c r="I65" i="3"/>
  <c r="J65" i="3" s="1"/>
  <c r="I57" i="3"/>
  <c r="J57" i="3" s="1"/>
  <c r="I49" i="3"/>
  <c r="J49" i="3" s="1"/>
  <c r="I41" i="3"/>
  <c r="J41" i="3" s="1"/>
  <c r="I33" i="3"/>
  <c r="J33" i="3" s="1"/>
  <c r="I25" i="3"/>
  <c r="J25" i="3" s="1"/>
  <c r="I17" i="3"/>
  <c r="J17" i="3" s="1"/>
  <c r="I9" i="3"/>
  <c r="J9" i="3" s="1"/>
  <c r="I256" i="3"/>
  <c r="J256" i="3" s="1"/>
  <c r="I232" i="3"/>
  <c r="J232" i="3" s="1"/>
  <c r="I208" i="3"/>
  <c r="J208" i="3" s="1"/>
  <c r="I184" i="3"/>
  <c r="J184" i="3" s="1"/>
  <c r="I168" i="3"/>
  <c r="J168" i="3" s="1"/>
  <c r="I160" i="3"/>
  <c r="J160" i="3" s="1"/>
  <c r="I136" i="3"/>
  <c r="J136" i="3" s="1"/>
  <c r="I128" i="3"/>
  <c r="J128" i="3" s="1"/>
  <c r="I120" i="3"/>
  <c r="J120" i="3" s="1"/>
  <c r="I112" i="3"/>
  <c r="J112" i="3" s="1"/>
  <c r="I104" i="3"/>
  <c r="J104" i="3" s="1"/>
  <c r="I96" i="3"/>
  <c r="J96" i="3" s="1"/>
  <c r="I88" i="3"/>
  <c r="J88" i="3" s="1"/>
  <c r="I80" i="3"/>
  <c r="J80" i="3" s="1"/>
  <c r="I72" i="3"/>
  <c r="J72" i="3" s="1"/>
  <c r="I64" i="3"/>
  <c r="J64" i="3" s="1"/>
  <c r="I56" i="3"/>
  <c r="J56" i="3" s="1"/>
  <c r="I48" i="3"/>
  <c r="J48" i="3" s="1"/>
  <c r="I40" i="3"/>
  <c r="J40" i="3" s="1"/>
  <c r="I32" i="3"/>
  <c r="J32" i="3" s="1"/>
  <c r="I24" i="3"/>
  <c r="J24" i="3" s="1"/>
  <c r="I16" i="3"/>
  <c r="J16" i="3" s="1"/>
  <c r="I8" i="3"/>
  <c r="J8" i="3" s="1"/>
  <c r="I7" i="3"/>
  <c r="J7" i="3" s="1"/>
  <c r="J4" i="3" s="1"/>
  <c r="I14" i="3"/>
  <c r="J14" i="3" s="1"/>
  <c r="I255" i="3"/>
  <c r="J255" i="3" s="1"/>
  <c r="I231" i="3"/>
  <c r="J231" i="3" s="1"/>
  <c r="I207" i="3"/>
  <c r="J207" i="3" s="1"/>
  <c r="I199" i="3"/>
  <c r="J199" i="3" s="1"/>
  <c r="I175" i="3"/>
  <c r="J175" i="3" s="1"/>
  <c r="I151" i="3"/>
  <c r="J151" i="3" s="1"/>
  <c r="I127" i="3"/>
  <c r="J127" i="3" s="1"/>
  <c r="I103" i="3"/>
  <c r="J103" i="3" s="1"/>
  <c r="I79" i="3"/>
  <c r="J79" i="3" s="1"/>
  <c r="I63" i="3"/>
  <c r="J63" i="3" s="1"/>
  <c r="I39" i="3"/>
  <c r="J39" i="3" s="1"/>
  <c r="I15" i="3"/>
  <c r="J15" i="3" s="1"/>
  <c r="I278" i="3"/>
  <c r="J278" i="3" s="1"/>
  <c r="I270" i="3"/>
  <c r="J270" i="3" s="1"/>
  <c r="I262" i="3"/>
  <c r="J262" i="3" s="1"/>
  <c r="I254" i="3"/>
  <c r="J254" i="3" s="1"/>
  <c r="I246" i="3"/>
  <c r="J246" i="3" s="1"/>
  <c r="I238" i="3"/>
  <c r="J238" i="3" s="1"/>
  <c r="I230" i="3"/>
  <c r="J230" i="3" s="1"/>
  <c r="I222" i="3"/>
  <c r="J222" i="3" s="1"/>
  <c r="I214" i="3"/>
  <c r="J214" i="3" s="1"/>
  <c r="I206" i="3"/>
  <c r="J206" i="3" s="1"/>
  <c r="I198" i="3"/>
  <c r="J198" i="3" s="1"/>
  <c r="I190" i="3"/>
  <c r="J190" i="3" s="1"/>
  <c r="I182" i="3"/>
  <c r="J182" i="3" s="1"/>
  <c r="I174" i="3"/>
  <c r="J174" i="3" s="1"/>
  <c r="I166" i="3"/>
  <c r="J166" i="3" s="1"/>
  <c r="I158" i="3"/>
  <c r="J158" i="3" s="1"/>
  <c r="I150" i="3"/>
  <c r="J150" i="3" s="1"/>
  <c r="I142" i="3"/>
  <c r="J142" i="3" s="1"/>
  <c r="I134" i="3"/>
  <c r="J134" i="3" s="1"/>
  <c r="I126" i="3"/>
  <c r="J126" i="3" s="1"/>
  <c r="I118" i="3"/>
  <c r="J118" i="3" s="1"/>
  <c r="I110" i="3"/>
  <c r="J110" i="3" s="1"/>
  <c r="I102" i="3"/>
  <c r="J102" i="3" s="1"/>
  <c r="I94" i="3"/>
  <c r="J94" i="3" s="1"/>
  <c r="I86" i="3"/>
  <c r="J86" i="3" s="1"/>
  <c r="I78" i="3"/>
  <c r="J78" i="3" s="1"/>
  <c r="I70" i="3"/>
  <c r="J70" i="3" s="1"/>
  <c r="I62" i="3"/>
  <c r="J62" i="3" s="1"/>
  <c r="I54" i="3"/>
  <c r="J54" i="3" s="1"/>
  <c r="I46" i="3"/>
  <c r="J46" i="3" s="1"/>
  <c r="I38" i="3"/>
  <c r="J38" i="3" s="1"/>
  <c r="I30" i="3"/>
  <c r="J30" i="3" s="1"/>
  <c r="I22" i="3"/>
  <c r="J22" i="3" s="1"/>
  <c r="I277" i="3"/>
  <c r="J277" i="3" s="1"/>
  <c r="I269" i="3"/>
  <c r="J269" i="3" s="1"/>
  <c r="I261" i="3"/>
  <c r="J261" i="3" s="1"/>
  <c r="I253" i="3"/>
  <c r="J253" i="3" s="1"/>
  <c r="I245" i="3"/>
  <c r="J245" i="3" s="1"/>
  <c r="I237" i="3"/>
  <c r="J237" i="3" s="1"/>
  <c r="I229" i="3"/>
  <c r="J229" i="3" s="1"/>
  <c r="I221" i="3"/>
  <c r="J221" i="3" s="1"/>
  <c r="I213" i="3"/>
  <c r="J213" i="3" s="1"/>
  <c r="I205" i="3"/>
  <c r="J205" i="3" s="1"/>
  <c r="I197" i="3"/>
  <c r="J197" i="3" s="1"/>
  <c r="I189" i="3"/>
  <c r="J189" i="3" s="1"/>
  <c r="I181" i="3"/>
  <c r="J181" i="3" s="1"/>
  <c r="I173" i="3"/>
  <c r="J173" i="3" s="1"/>
  <c r="I165" i="3"/>
  <c r="J165" i="3" s="1"/>
  <c r="I157" i="3"/>
  <c r="J157" i="3" s="1"/>
  <c r="I149" i="3"/>
  <c r="J149" i="3" s="1"/>
  <c r="I141" i="3"/>
  <c r="J141" i="3" s="1"/>
  <c r="I133" i="3"/>
  <c r="J133" i="3" s="1"/>
  <c r="I125" i="3"/>
  <c r="J125" i="3" s="1"/>
  <c r="I117" i="3"/>
  <c r="J117" i="3" s="1"/>
  <c r="I109" i="3"/>
  <c r="J109" i="3" s="1"/>
  <c r="I101" i="3"/>
  <c r="J101" i="3" s="1"/>
  <c r="I93" i="3"/>
  <c r="J93" i="3" s="1"/>
  <c r="I85" i="3"/>
  <c r="J85" i="3" s="1"/>
  <c r="I77" i="3"/>
  <c r="J77" i="3" s="1"/>
  <c r="I69" i="3"/>
  <c r="J69" i="3" s="1"/>
  <c r="I61" i="3"/>
  <c r="J61" i="3" s="1"/>
  <c r="I53" i="3"/>
  <c r="J53" i="3" s="1"/>
  <c r="I45" i="3"/>
  <c r="J45" i="3" s="1"/>
  <c r="I37" i="3"/>
  <c r="J37" i="3" s="1"/>
  <c r="I29" i="3"/>
  <c r="J29" i="3" s="1"/>
  <c r="I21" i="3"/>
  <c r="J21" i="3" s="1"/>
  <c r="I13" i="3"/>
  <c r="J13" i="3" s="1"/>
  <c r="F2" i="3"/>
  <c r="F4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E0BA8C-3454-454A-A590-98943E212921}" keepAlive="1" name="Query - NFL2025Results" description="Connection to the 'NFL2025Results' query in the workbook." type="5" refreshedVersion="8" background="1" saveData="1">
    <dbPr connection="Provider=Microsoft.Mashup.OleDb.1;Data Source=$Workbook$;Location=NFL2025Results;Extended Properties=&quot;&quot;" command="SELECT * FROM [NFL2025Results]"/>
  </connection>
  <connection id="2" xr16:uid="{3C7C4AEF-AA01-F447-AC3A-7E89B88CAF69}" keepAlive="1" name="Query - NFL2025Results (2)" description="Connection to the 'NFL2025Results (2)' query in the workbook." type="5" refreshedVersion="8" background="1" saveData="1">
    <dbPr connection="Provider=Microsoft.Mashup.OleDb.1;Data Source=$Workbook$;Location=&quot;NFL2025Results (2)&quot;;Extended Properties=&quot;&quot;" command="SELECT * FROM [NFL2025Results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<sst xmlns="http://schemas.openxmlformats.org/spreadsheetml/2006/main" count="2237" uniqueCount="98">
  <si>
    <t>Home Team</t>
  </si>
  <si>
    <t>Away Team</t>
  </si>
  <si>
    <t>Home Points</t>
  </si>
  <si>
    <t>Away Points</t>
  </si>
  <si>
    <t>Philadelphia Eagles</t>
  </si>
  <si>
    <t>Dallas Cowboys</t>
  </si>
  <si>
    <t>24</t>
  </si>
  <si>
    <t>20</t>
  </si>
  <si>
    <t>Los Angeles Chargers</t>
  </si>
  <si>
    <t>Kansas City Chiefs</t>
  </si>
  <si>
    <t>27</t>
  </si>
  <si>
    <t>21</t>
  </si>
  <si>
    <t>Tampa Bay Buccaneers</t>
  </si>
  <si>
    <t>Atlanta Falcons</t>
  </si>
  <si>
    <t>23</t>
  </si>
  <si>
    <t>Jacksonville Jaguars</t>
  </si>
  <si>
    <t>Carolina Panthers</t>
  </si>
  <si>
    <t>26</t>
  </si>
  <si>
    <t>10</t>
  </si>
  <si>
    <t>Cincinnati Bengals</t>
  </si>
  <si>
    <t>Cleveland Browns</t>
  </si>
  <si>
    <t>17</t>
  </si>
  <si>
    <t>16</t>
  </si>
  <si>
    <t>Indianapolis Colts</t>
  </si>
  <si>
    <t>Miami Dolphins</t>
  </si>
  <si>
    <t>33</t>
  </si>
  <si>
    <t>8</t>
  </si>
  <si>
    <t>Arizona Cardinals</t>
  </si>
  <si>
    <t>New Orleans Saints</t>
  </si>
  <si>
    <t>13</t>
  </si>
  <si>
    <t>Las Vegas Raiders</t>
  </si>
  <si>
    <t>New England Patriots</t>
  </si>
  <si>
    <t>Washington Commanders</t>
  </si>
  <si>
    <t>New York Giants</t>
  </si>
  <si>
    <t>6</t>
  </si>
  <si>
    <t>Pittsburgh Steelers</t>
  </si>
  <si>
    <t>New York Jets</t>
  </si>
  <si>
    <t>34</t>
  </si>
  <si>
    <t>32</t>
  </si>
  <si>
    <t>Denver Broncos</t>
  </si>
  <si>
    <t>Tennessee Titans</t>
  </si>
  <si>
    <t>12</t>
  </si>
  <si>
    <t>San Francisco 49ers</t>
  </si>
  <si>
    <t>Seattle Seahawks</t>
  </si>
  <si>
    <t>Green Bay Packers</t>
  </si>
  <si>
    <t>Detroit Lions</t>
  </si>
  <si>
    <t>Los Angeles Rams</t>
  </si>
  <si>
    <t>Houston Texans</t>
  </si>
  <si>
    <t>14</t>
  </si>
  <si>
    <t>9</t>
  </si>
  <si>
    <t>Buffalo Bills</t>
  </si>
  <si>
    <t>Baltimore Ravens</t>
  </si>
  <si>
    <t>41</t>
  </si>
  <si>
    <t>40</t>
  </si>
  <si>
    <t>Minnesota Vikings</t>
  </si>
  <si>
    <t>Chicago Bears</t>
  </si>
  <si>
    <t>18</t>
  </si>
  <si>
    <t>30</t>
  </si>
  <si>
    <t>52</t>
  </si>
  <si>
    <t>31</t>
  </si>
  <si>
    <t>37</t>
  </si>
  <si>
    <t>19</t>
  </si>
  <si>
    <t>22</t>
  </si>
  <si>
    <t>29</t>
  </si>
  <si>
    <t>28</t>
  </si>
  <si>
    <t>3</t>
  </si>
  <si>
    <t>0</t>
  </si>
  <si>
    <t>48</t>
  </si>
  <si>
    <t>44</t>
  </si>
  <si>
    <t>15</t>
  </si>
  <si>
    <t>38</t>
  </si>
  <si>
    <t>42</t>
  </si>
  <si>
    <t>25</t>
  </si>
  <si>
    <t>35</t>
  </si>
  <si>
    <t>11</t>
  </si>
  <si>
    <t>7</t>
  </si>
  <si>
    <t>39</t>
  </si>
  <si>
    <t>47</t>
  </si>
  <si>
    <t>36</t>
  </si>
  <si>
    <t>45</t>
  </si>
  <si>
    <t>Team</t>
  </si>
  <si>
    <t>Rating</t>
  </si>
  <si>
    <t>Home Forecast</t>
  </si>
  <si>
    <t>Squared Error</t>
  </si>
  <si>
    <t>Home Margin</t>
  </si>
  <si>
    <t>Home Edge</t>
  </si>
  <si>
    <t>Row Labels</t>
  </si>
  <si>
    <t>Grand Total</t>
  </si>
  <si>
    <t>SSE</t>
  </si>
  <si>
    <t>Average Rating</t>
  </si>
  <si>
    <t>Choosen Team</t>
  </si>
  <si>
    <t>Predicted Margin</t>
  </si>
  <si>
    <t>Number of Teams</t>
  </si>
  <si>
    <t>Metric</t>
  </si>
  <si>
    <t>Value</t>
  </si>
  <si>
    <t>Home Advantage (points)</t>
  </si>
  <si>
    <t>Average Rating (normalized)</t>
  </si>
  <si>
    <t>SSE (sum of squared errors)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</si>
</sst>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b/>
      <i/>
      <sz val="16"/>
      <color theme="1"/>
      <name val="Aptos Narrow"/>
      <scheme val="minor"/>
    </font>
    <font>
      <b/>
      <sz val="16"/>
      <color theme="1"/>
      <name val="Aptos Narrow"/>
      <scheme val="minor"/>
    </font>
    <font>
      <b/>
      <i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scheme val="minor"/>
      </font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edict Santoso" refreshedDate="46058.840257407406" createdVersion="8" refreshedVersion="8" minRefreshableVersion="3" recordCount="272" xr:uid="{69EC58DC-8C00-0F48-A175-CD77B5C73E8A}">
  <cacheSource type="worksheet">
    <worksheetSource name="NFL2025Results3[[Home Team]:[Home Margin]]"/>
  </cacheSource>
  <cacheFields count="5">
    <cacheField name="Home Team" numFmtId="0">
      <sharedItems count="32">
        <s v="Philadelphia Eagles"/>
        <s v="Los Angeles Chargers"/>
        <s v="Tampa Bay Buccaneers"/>
        <s v="Jacksonville Jaguars"/>
        <s v="Cincinnati Bengals"/>
        <s v="Indianapolis Colts"/>
        <s v="Arizona Cardinals"/>
        <s v="Las Vegas Raiders"/>
        <s v="Washington Commanders"/>
        <s v="Pittsburgh Steelers"/>
        <s v="Denver Broncos"/>
        <s v="San Francisco 49ers"/>
        <s v="Green Bay Packers"/>
        <s v="Los Angeles Rams"/>
        <s v="Buffalo Bills"/>
        <s v="Minnesota Vikings"/>
        <s v="Detroit Lions"/>
        <s v="Baltimore Ravens"/>
        <s v="Dallas Cowboys"/>
        <s v="New England Patriots"/>
        <s v="Seattle Seahawks"/>
        <s v="Atlanta Falcons"/>
        <s v="Carolina Panthers"/>
        <s v="Cleveland Browns"/>
        <s v="Chicago Bears"/>
        <s v="Kansas City Chiefs"/>
        <s v="Houston Texans"/>
        <s v="New York Giants"/>
        <s v="Miami Dolphins"/>
        <s v="New Orleans Saints"/>
        <s v="Tennessee Titans"/>
        <s v="New York Jets"/>
      </sharedItems>
    </cacheField>
    <cacheField name="Away Team" numFmtId="0">
      <sharedItems/>
    </cacheField>
    <cacheField name="Home Points" numFmtId="0">
      <sharedItems/>
    </cacheField>
    <cacheField name="Away Points" numFmtId="0">
      <sharedItems/>
    </cacheField>
    <cacheField name="Home Margin" numFmtId="0">
      <sharedItems containsSemiMixedTypes="0" containsString="0" containsNumber="1" containsInteger="1" minValue="0" maxValue="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2">
  <r>
    <x v="0"/>
    <s v="Dallas Cowboys"/>
    <s v="24"/>
    <s v="20"/>
    <n v="4"/>
  </r>
  <r>
    <x v="1"/>
    <s v="Kansas City Chiefs"/>
    <s v="27"/>
    <s v="21"/>
    <n v="6"/>
  </r>
  <r>
    <x v="2"/>
    <s v="Atlanta Falcons"/>
    <s v="23"/>
    <s v="20"/>
    <n v="3"/>
  </r>
  <r>
    <x v="3"/>
    <s v="Carolina Panthers"/>
    <s v="26"/>
    <s v="10"/>
    <n v="16"/>
  </r>
  <r>
    <x v="4"/>
    <s v="Cleveland Browns"/>
    <s v="17"/>
    <s v="16"/>
    <n v="1"/>
  </r>
  <r>
    <x v="5"/>
    <s v="Miami Dolphins"/>
    <s v="33"/>
    <s v="8"/>
    <n v="25"/>
  </r>
  <r>
    <x v="6"/>
    <s v="New Orleans Saints"/>
    <s v="20"/>
    <s v="13"/>
    <n v="7"/>
  </r>
  <r>
    <x v="7"/>
    <s v="New England Patriots"/>
    <s v="20"/>
    <s v="13"/>
    <n v="7"/>
  </r>
  <r>
    <x v="8"/>
    <s v="New York Giants"/>
    <s v="21"/>
    <s v="6"/>
    <n v="15"/>
  </r>
  <r>
    <x v="9"/>
    <s v="New York Jets"/>
    <s v="34"/>
    <s v="32"/>
    <n v="2"/>
  </r>
  <r>
    <x v="10"/>
    <s v="Tennessee Titans"/>
    <s v="20"/>
    <s v="12"/>
    <n v="8"/>
  </r>
  <r>
    <x v="11"/>
    <s v="Seattle Seahawks"/>
    <s v="17"/>
    <s v="13"/>
    <n v="4"/>
  </r>
  <r>
    <x v="12"/>
    <s v="Detroit Lions"/>
    <s v="27"/>
    <s v="13"/>
    <n v="14"/>
  </r>
  <r>
    <x v="13"/>
    <s v="Houston Texans"/>
    <s v="14"/>
    <s v="9"/>
    <n v="5"/>
  </r>
  <r>
    <x v="14"/>
    <s v="Baltimore Ravens"/>
    <s v="41"/>
    <s v="40"/>
    <n v="1"/>
  </r>
  <r>
    <x v="15"/>
    <s v="Chicago Bears"/>
    <s v="27"/>
    <s v="24"/>
    <n v="3"/>
  </r>
  <r>
    <x v="12"/>
    <s v="Washington Commanders"/>
    <s v="27"/>
    <s v="18"/>
    <n v="9"/>
  </r>
  <r>
    <x v="14"/>
    <s v="New York Jets"/>
    <s v="30"/>
    <s v="10"/>
    <n v="20"/>
  </r>
  <r>
    <x v="16"/>
    <s v="Chicago Bears"/>
    <s v="52"/>
    <s v="21"/>
    <n v="31"/>
  </r>
  <r>
    <x v="4"/>
    <s v="Jacksonville Jaguars"/>
    <s v="31"/>
    <s v="27"/>
    <n v="4"/>
  </r>
  <r>
    <x v="17"/>
    <s v="Cleveland Browns"/>
    <s v="41"/>
    <s v="17"/>
    <n v="24"/>
  </r>
  <r>
    <x v="18"/>
    <s v="New York Giants"/>
    <s v="40"/>
    <s v="37"/>
    <n v="3"/>
  </r>
  <r>
    <x v="19"/>
    <s v="Miami Dolphins"/>
    <s v="33"/>
    <s v="27"/>
    <n v="6"/>
  </r>
  <r>
    <x v="11"/>
    <s v="New Orleans Saints"/>
    <s v="26"/>
    <s v="21"/>
    <n v="5"/>
  </r>
  <r>
    <x v="13"/>
    <s v="Tennessee Titans"/>
    <s v="33"/>
    <s v="19"/>
    <n v="14"/>
  </r>
  <r>
    <x v="20"/>
    <s v="Pittsburgh Steelers"/>
    <s v="31"/>
    <s v="17"/>
    <n v="14"/>
  </r>
  <r>
    <x v="6"/>
    <s v="Carolina Panthers"/>
    <s v="27"/>
    <s v="22"/>
    <n v="5"/>
  </r>
  <r>
    <x v="5"/>
    <s v="Denver Broncos"/>
    <s v="29"/>
    <s v="28"/>
    <n v="1"/>
  </r>
  <r>
    <x v="0"/>
    <s v="Kansas City Chiefs"/>
    <s v="20"/>
    <s v="17"/>
    <n v="3"/>
  </r>
  <r>
    <x v="21"/>
    <s v="Minnesota Vikings"/>
    <s v="22"/>
    <s v="6"/>
    <n v="16"/>
  </r>
  <r>
    <x v="2"/>
    <s v="Houston Texans"/>
    <s v="20"/>
    <s v="19"/>
    <n v="1"/>
  </r>
  <r>
    <x v="1"/>
    <s v="Las Vegas Raiders"/>
    <s v="20"/>
    <s v="9"/>
    <n v="11"/>
  </r>
  <r>
    <x v="14"/>
    <s v="Miami Dolphins"/>
    <s v="31"/>
    <s v="21"/>
    <n v="10"/>
  </r>
  <r>
    <x v="22"/>
    <s v="Atlanta Falcons"/>
    <s v="30"/>
    <s v="0"/>
    <n v="30"/>
  </r>
  <r>
    <x v="15"/>
    <s v="Cincinnati Bengals"/>
    <s v="48"/>
    <s v="10"/>
    <n v="38"/>
  </r>
  <r>
    <x v="23"/>
    <s v="Green Bay Packers"/>
    <s v="13"/>
    <s v="10"/>
    <n v="3"/>
  </r>
  <r>
    <x v="5"/>
    <s v="Tennessee Titans"/>
    <s v="41"/>
    <s v="20"/>
    <n v="21"/>
  </r>
  <r>
    <x v="3"/>
    <s v="Houston Texans"/>
    <s v="17"/>
    <s v="10"/>
    <n v="7"/>
  </r>
  <r>
    <x v="9"/>
    <s v="New England Patriots"/>
    <s v="21"/>
    <s v="14"/>
    <n v="7"/>
  </r>
  <r>
    <x v="2"/>
    <s v="New York Jets"/>
    <s v="29"/>
    <s v="27"/>
    <n v="2"/>
  </r>
  <r>
    <x v="0"/>
    <s v="Los Angeles Rams"/>
    <s v="33"/>
    <s v="26"/>
    <n v="7"/>
  </r>
  <r>
    <x v="8"/>
    <s v="Las Vegas Raiders"/>
    <s v="41"/>
    <s v="24"/>
    <n v="17"/>
  </r>
  <r>
    <x v="1"/>
    <s v="Denver Broncos"/>
    <s v="23"/>
    <s v="20"/>
    <n v="3"/>
  </r>
  <r>
    <x v="20"/>
    <s v="New Orleans Saints"/>
    <s v="44"/>
    <s v="13"/>
    <n v="31"/>
  </r>
  <r>
    <x v="24"/>
    <s v="Dallas Cowboys"/>
    <s v="31"/>
    <s v="14"/>
    <n v="17"/>
  </r>
  <r>
    <x v="11"/>
    <s v="Arizona Cardinals"/>
    <s v="16"/>
    <s v="15"/>
    <n v="1"/>
  </r>
  <r>
    <x v="25"/>
    <s v="New York Giants"/>
    <s v="22"/>
    <s v="9"/>
    <n v="13"/>
  </r>
  <r>
    <x v="16"/>
    <s v="Baltimore Ravens"/>
    <s v="38"/>
    <s v="30"/>
    <n v="8"/>
  </r>
  <r>
    <x v="20"/>
    <s v="Arizona Cardinals"/>
    <s v="23"/>
    <s v="20"/>
    <n v="3"/>
  </r>
  <r>
    <x v="9"/>
    <s v="Minnesota Vikings"/>
    <s v="24"/>
    <s v="21"/>
    <n v="3"/>
  </r>
  <r>
    <x v="21"/>
    <s v="Washington Commanders"/>
    <s v="34"/>
    <s v="27"/>
    <n v="7"/>
  </r>
  <r>
    <x v="14"/>
    <s v="New Orleans Saints"/>
    <s v="31"/>
    <s v="19"/>
    <n v="12"/>
  </r>
  <r>
    <x v="19"/>
    <s v="Carolina Panthers"/>
    <s v="42"/>
    <s v="13"/>
    <n v="29"/>
  </r>
  <r>
    <x v="16"/>
    <s v="Cleveland Browns"/>
    <s v="34"/>
    <s v="10"/>
    <n v="24"/>
  </r>
  <r>
    <x v="26"/>
    <s v="Tennessee Titans"/>
    <s v="26"/>
    <s v="0"/>
    <n v="26"/>
  </r>
  <r>
    <x v="27"/>
    <s v="Los Angeles Chargers"/>
    <s v="21"/>
    <s v="18"/>
    <n v="3"/>
  </r>
  <r>
    <x v="0"/>
    <s v="Tampa Bay Buccaneers"/>
    <s v="31"/>
    <s v="25"/>
    <n v="6"/>
  </r>
  <r>
    <x v="13"/>
    <s v="Indianapolis Colts"/>
    <s v="27"/>
    <s v="20"/>
    <n v="7"/>
  </r>
  <r>
    <x v="3"/>
    <s v="San Francisco 49ers"/>
    <s v="26"/>
    <s v="21"/>
    <n v="5"/>
  </r>
  <r>
    <x v="24"/>
    <s v="Las Vegas Raiders"/>
    <s v="25"/>
    <s v="24"/>
    <n v="1"/>
  </r>
  <r>
    <x v="25"/>
    <s v="Baltimore Ravens"/>
    <s v="37"/>
    <s v="20"/>
    <n v="17"/>
  </r>
  <r>
    <x v="12"/>
    <s v="Dallas Cowboys"/>
    <s v="40"/>
    <s v="40"/>
    <n v="0"/>
  </r>
  <r>
    <x v="28"/>
    <s v="New York Jets"/>
    <s v="27"/>
    <s v="21"/>
    <n v="6"/>
  </r>
  <r>
    <x v="10"/>
    <s v="Cincinnati Bengals"/>
    <s v="28"/>
    <s v="3"/>
    <n v="25"/>
  </r>
  <r>
    <x v="11"/>
    <s v="Los Angeles Rams"/>
    <s v="26"/>
    <s v="23"/>
    <n v="3"/>
  </r>
  <r>
    <x v="15"/>
    <s v="Cleveland Browns"/>
    <s v="21"/>
    <s v="17"/>
    <n v="4"/>
  </r>
  <r>
    <x v="22"/>
    <s v="Miami Dolphins"/>
    <s v="27"/>
    <s v="24"/>
    <n v="3"/>
  </r>
  <r>
    <x v="5"/>
    <s v="Las Vegas Raiders"/>
    <s v="40"/>
    <s v="6"/>
    <n v="34"/>
  </r>
  <r>
    <x v="18"/>
    <s v="New York Jets"/>
    <s v="37"/>
    <s v="22"/>
    <n v="15"/>
  </r>
  <r>
    <x v="10"/>
    <s v="Philadelphia Eagles"/>
    <s v="21"/>
    <s v="17"/>
    <n v="4"/>
  </r>
  <r>
    <x v="26"/>
    <s v="Baltimore Ravens"/>
    <s v="44"/>
    <s v="10"/>
    <n v="34"/>
  </r>
  <r>
    <x v="29"/>
    <s v="New York Giants"/>
    <s v="26"/>
    <s v="14"/>
    <n v="12"/>
  </r>
  <r>
    <x v="30"/>
    <s v="Arizona Cardinals"/>
    <s v="22"/>
    <s v="21"/>
    <n v="1"/>
  </r>
  <r>
    <x v="2"/>
    <s v="Seattle Seahawks"/>
    <s v="38"/>
    <s v="35"/>
    <n v="3"/>
  </r>
  <r>
    <x v="16"/>
    <s v="Cincinnati Bengals"/>
    <s v="37"/>
    <s v="24"/>
    <n v="13"/>
  </r>
  <r>
    <x v="8"/>
    <s v="Los Angeles Chargers"/>
    <s v="27"/>
    <s v="10"/>
    <n v="17"/>
  </r>
  <r>
    <x v="19"/>
    <s v="Buffalo Bills"/>
    <s v="23"/>
    <s v="20"/>
    <n v="3"/>
  </r>
  <r>
    <x v="3"/>
    <s v="Kansas City Chiefs"/>
    <s v="31"/>
    <s v="28"/>
    <n v="3"/>
  </r>
  <r>
    <x v="27"/>
    <s v="Philadelphia Eagles"/>
    <s v="34"/>
    <s v="17"/>
    <n v="17"/>
  </r>
  <r>
    <x v="10"/>
    <s v="New York Jets"/>
    <s v="13"/>
    <s v="11"/>
    <n v="2"/>
  </r>
  <r>
    <x v="22"/>
    <s v="Dallas Cowboys"/>
    <s v="30"/>
    <s v="27"/>
    <n v="3"/>
  </r>
  <r>
    <x v="9"/>
    <s v="Cleveland Browns"/>
    <s v="23"/>
    <s v="9"/>
    <n v="14"/>
  </r>
  <r>
    <x v="5"/>
    <s v="Arizona Cardinals"/>
    <s v="31"/>
    <s v="27"/>
    <n v="4"/>
  </r>
  <r>
    <x v="20"/>
    <s v="Jacksonville Jaguars"/>
    <s v="20"/>
    <s v="12"/>
    <n v="8"/>
  </r>
  <r>
    <x v="1"/>
    <s v="Miami Dolphins"/>
    <s v="29"/>
    <s v="27"/>
    <n v="2"/>
  </r>
  <r>
    <x v="19"/>
    <s v="New Orleans Saints"/>
    <s v="25"/>
    <s v="19"/>
    <n v="6"/>
  </r>
  <r>
    <x v="13"/>
    <s v="Baltimore Ravens"/>
    <s v="17"/>
    <s v="3"/>
    <n v="14"/>
  </r>
  <r>
    <x v="7"/>
    <s v="Tennessee Titans"/>
    <s v="20"/>
    <s v="10"/>
    <n v="10"/>
  </r>
  <r>
    <x v="12"/>
    <s v="Cincinnati Bengals"/>
    <s v="27"/>
    <s v="18"/>
    <n v="9"/>
  </r>
  <r>
    <x v="2"/>
    <s v="San Francisco 49ers"/>
    <s v="30"/>
    <s v="19"/>
    <n v="11"/>
  </r>
  <r>
    <x v="25"/>
    <s v="Detroit Lions"/>
    <s v="30"/>
    <s v="17"/>
    <n v="13"/>
  </r>
  <r>
    <x v="21"/>
    <s v="Buffalo Bills"/>
    <s v="24"/>
    <s v="14"/>
    <n v="10"/>
  </r>
  <r>
    <x v="24"/>
    <s v="Washington Commanders"/>
    <s v="25"/>
    <s v="24"/>
    <n v="1"/>
  </r>
  <r>
    <x v="4"/>
    <s v="Pittsburgh Steelers"/>
    <s v="33"/>
    <s v="31"/>
    <n v="2"/>
  </r>
  <r>
    <x v="13"/>
    <s v="Jacksonville Jaguars"/>
    <s v="35"/>
    <s v="7"/>
    <n v="28"/>
  </r>
  <r>
    <x v="24"/>
    <s v="New Orleans Saints"/>
    <s v="26"/>
    <s v="14"/>
    <n v="12"/>
  </r>
  <r>
    <x v="0"/>
    <s v="Minnesota Vikings"/>
    <s v="28"/>
    <s v="22"/>
    <n v="6"/>
  </r>
  <r>
    <x v="22"/>
    <s v="New York Jets"/>
    <s v="13"/>
    <s v="6"/>
    <n v="7"/>
  </r>
  <r>
    <x v="23"/>
    <s v="Miami Dolphins"/>
    <s v="31"/>
    <s v="6"/>
    <n v="25"/>
  </r>
  <r>
    <x v="25"/>
    <s v="Las Vegas Raiders"/>
    <s v="31"/>
    <s v="0"/>
    <n v="31"/>
  </r>
  <r>
    <x v="19"/>
    <s v="Tennessee Titans"/>
    <s v="31"/>
    <s v="13"/>
    <n v="18"/>
  </r>
  <r>
    <x v="5"/>
    <s v="Los Angeles Chargers"/>
    <s v="38"/>
    <s v="24"/>
    <n v="14"/>
  </r>
  <r>
    <x v="10"/>
    <s v="New York Giants"/>
    <s v="33"/>
    <s v="32"/>
    <n v="1"/>
  </r>
  <r>
    <x v="12"/>
    <s v="Arizona Cardinals"/>
    <s v="27"/>
    <s v="23"/>
    <n v="4"/>
  </r>
  <r>
    <x v="18"/>
    <s v="Washington Commanders"/>
    <s v="44"/>
    <s v="22"/>
    <n v="22"/>
  </r>
  <r>
    <x v="11"/>
    <s v="Atlanta Falcons"/>
    <s v="20"/>
    <s v="10"/>
    <n v="10"/>
  </r>
  <r>
    <x v="16"/>
    <s v="Tampa Bay Buccaneers"/>
    <s v="24"/>
    <s v="9"/>
    <n v="15"/>
  </r>
  <r>
    <x v="20"/>
    <s v="Houston Texans"/>
    <s v="27"/>
    <s v="19"/>
    <n v="8"/>
  </r>
  <r>
    <x v="1"/>
    <s v="Minnesota Vikings"/>
    <s v="37"/>
    <s v="10"/>
    <n v="27"/>
  </r>
  <r>
    <x v="28"/>
    <s v="Atlanta Falcons"/>
    <s v="34"/>
    <s v="10"/>
    <n v="24"/>
  </r>
  <r>
    <x v="14"/>
    <s v="Carolina Panthers"/>
    <s v="40"/>
    <s v="9"/>
    <n v="31"/>
  </r>
  <r>
    <x v="17"/>
    <s v="Chicago Bears"/>
    <s v="30"/>
    <s v="16"/>
    <n v="14"/>
  </r>
  <r>
    <x v="26"/>
    <s v="San Francisco 49ers"/>
    <s v="26"/>
    <s v="15"/>
    <n v="11"/>
  </r>
  <r>
    <x v="31"/>
    <s v="Cincinnati Bengals"/>
    <s v="39"/>
    <s v="38"/>
    <n v="1"/>
  </r>
  <r>
    <x v="19"/>
    <s v="Cleveland Browns"/>
    <s v="32"/>
    <s v="13"/>
    <n v="19"/>
  </r>
  <r>
    <x v="0"/>
    <s v="New York Giants"/>
    <s v="38"/>
    <s v="20"/>
    <n v="18"/>
  </r>
  <r>
    <x v="2"/>
    <s v="New Orleans Saints"/>
    <s v="23"/>
    <s v="3"/>
    <n v="20"/>
  </r>
  <r>
    <x v="5"/>
    <s v="Tennessee Titans"/>
    <s v="38"/>
    <s v="14"/>
    <n v="24"/>
  </r>
  <r>
    <x v="10"/>
    <s v="Dallas Cowboys"/>
    <s v="44"/>
    <s v="24"/>
    <n v="20"/>
  </r>
  <r>
    <x v="12"/>
    <s v="Pittsburgh Steelers"/>
    <s v="35"/>
    <s v="25"/>
    <n v="10"/>
  </r>
  <r>
    <x v="25"/>
    <s v="Washington Commanders"/>
    <s v="28"/>
    <s v="7"/>
    <n v="21"/>
  </r>
  <r>
    <x v="17"/>
    <s v="Miami Dolphins"/>
    <s v="28"/>
    <s v="6"/>
    <n v="22"/>
  </r>
  <r>
    <x v="19"/>
    <s v="Atlanta Falcons"/>
    <s v="24"/>
    <s v="23"/>
    <n v="1"/>
  </r>
  <r>
    <x v="24"/>
    <s v="Cincinnati Bengals"/>
    <s v="47"/>
    <s v="42"/>
    <n v="5"/>
  </r>
  <r>
    <x v="15"/>
    <s v="Detroit Lions"/>
    <s v="27"/>
    <s v="24"/>
    <n v="3"/>
  </r>
  <r>
    <x v="22"/>
    <s v="Green Bay Packers"/>
    <s v="16"/>
    <s v="13"/>
    <n v="3"/>
  </r>
  <r>
    <x v="9"/>
    <s v="Indianapolis Colts"/>
    <s v="27"/>
    <s v="20"/>
    <n v="7"/>
  </r>
  <r>
    <x v="10"/>
    <s v="Houston Texans"/>
    <s v="18"/>
    <s v="15"/>
    <n v="3"/>
  </r>
  <r>
    <x v="11"/>
    <s v="New York Giants"/>
    <s v="34"/>
    <s v="24"/>
    <n v="10"/>
  </r>
  <r>
    <x v="1"/>
    <s v="Tennessee Titans"/>
    <s v="27"/>
    <s v="20"/>
    <n v="7"/>
  </r>
  <r>
    <x v="3"/>
    <s v="Las Vegas Raiders"/>
    <s v="30"/>
    <s v="29"/>
    <n v="1"/>
  </r>
  <r>
    <x v="13"/>
    <s v="New Orleans Saints"/>
    <s v="34"/>
    <s v="10"/>
    <n v="24"/>
  </r>
  <r>
    <x v="14"/>
    <s v="Kansas City Chiefs"/>
    <s v="28"/>
    <s v="21"/>
    <n v="7"/>
  </r>
  <r>
    <x v="20"/>
    <s v="Washington Commanders"/>
    <s v="38"/>
    <s v="14"/>
    <n v="24"/>
  </r>
  <r>
    <x v="6"/>
    <s v="Dallas Cowboys"/>
    <s v="27"/>
    <s v="17"/>
    <n v="10"/>
  </r>
  <r>
    <x v="10"/>
    <s v="Las Vegas Raiders"/>
    <s v="10"/>
    <s v="7"/>
    <n v="3"/>
  </r>
  <r>
    <x v="5"/>
    <s v="Atlanta Falcons"/>
    <s v="31"/>
    <s v="25"/>
    <n v="6"/>
  </r>
  <r>
    <x v="28"/>
    <s v="Buffalo Bills"/>
    <s v="30"/>
    <s v="13"/>
    <n v="17"/>
  </r>
  <r>
    <x v="24"/>
    <s v="New York Giants"/>
    <s v="24"/>
    <s v="20"/>
    <n v="4"/>
  </r>
  <r>
    <x v="31"/>
    <s v="Cleveland Browns"/>
    <s v="27"/>
    <s v="20"/>
    <n v="7"/>
  </r>
  <r>
    <x v="26"/>
    <s v="Jacksonville Jaguars"/>
    <s v="36"/>
    <s v="29"/>
    <n v="7"/>
  </r>
  <r>
    <x v="17"/>
    <s v="Minnesota Vikings"/>
    <s v="27"/>
    <s v="19"/>
    <n v="8"/>
  </r>
  <r>
    <x v="29"/>
    <s v="Carolina Panthers"/>
    <s v="17"/>
    <s v="7"/>
    <n v="10"/>
  </r>
  <r>
    <x v="19"/>
    <s v="Tampa Bay Buccaneers"/>
    <s v="28"/>
    <s v="23"/>
    <n v="5"/>
  </r>
  <r>
    <x v="20"/>
    <s v="Arizona Cardinals"/>
    <s v="44"/>
    <s v="22"/>
    <n v="22"/>
  </r>
  <r>
    <x v="16"/>
    <s v="Washington Commanders"/>
    <s v="44"/>
    <s v="22"/>
    <n v="22"/>
  </r>
  <r>
    <x v="13"/>
    <s v="San Francisco 49ers"/>
    <s v="42"/>
    <s v="26"/>
    <n v="16"/>
  </r>
  <r>
    <x v="1"/>
    <s v="Pittsburgh Steelers"/>
    <s v="25"/>
    <s v="10"/>
    <n v="15"/>
  </r>
  <r>
    <x v="0"/>
    <s v="Green Bay Packers"/>
    <s v="10"/>
    <s v="7"/>
    <n v="3"/>
  </r>
  <r>
    <x v="19"/>
    <s v="New York Jets"/>
    <s v="27"/>
    <s v="14"/>
    <n v="13"/>
  </r>
  <r>
    <x v="28"/>
    <s v="Washington Commanders"/>
    <s v="16"/>
    <s v="13"/>
    <n v="3"/>
  </r>
  <r>
    <x v="22"/>
    <s v="Atlanta Falcons"/>
    <s v="30"/>
    <s v="27"/>
    <n v="3"/>
  </r>
  <r>
    <x v="14"/>
    <s v="Tampa Bay Buccaneers"/>
    <s v="44"/>
    <s v="32"/>
    <n v="12"/>
  </r>
  <r>
    <x v="24"/>
    <s v="Minnesota Vikings"/>
    <s v="19"/>
    <s v="17"/>
    <n v="2"/>
  </r>
  <r>
    <x v="9"/>
    <s v="Cincinnati Bengals"/>
    <s v="34"/>
    <s v="12"/>
    <n v="22"/>
  </r>
  <r>
    <x v="12"/>
    <s v="New York Giants"/>
    <s v="27"/>
    <s v="20"/>
    <n v="7"/>
  </r>
  <r>
    <x v="26"/>
    <s v="Tennessee Titans"/>
    <s v="16"/>
    <s v="13"/>
    <n v="3"/>
  </r>
  <r>
    <x v="3"/>
    <s v="Los Angeles Chargers"/>
    <s v="35"/>
    <s v="6"/>
    <n v="29"/>
  </r>
  <r>
    <x v="11"/>
    <s v="Arizona Cardinals"/>
    <s v="41"/>
    <s v="22"/>
    <n v="19"/>
  </r>
  <r>
    <x v="13"/>
    <s v="Seattle Seahawks"/>
    <s v="21"/>
    <s v="19"/>
    <n v="2"/>
  </r>
  <r>
    <x v="17"/>
    <s v="Cleveland Browns"/>
    <s v="23"/>
    <s v="16"/>
    <n v="7"/>
  </r>
  <r>
    <x v="10"/>
    <s v="Kansas City Chiefs"/>
    <s v="22"/>
    <s v="19"/>
    <n v="3"/>
  </r>
  <r>
    <x v="0"/>
    <s v="Detroit Lions"/>
    <s v="16"/>
    <s v="9"/>
    <n v="7"/>
  </r>
  <r>
    <x v="18"/>
    <s v="Las Vegas Raiders"/>
    <s v="33"/>
    <s v="16"/>
    <n v="17"/>
  </r>
  <r>
    <x v="26"/>
    <s v="Buffalo Bills"/>
    <s v="23"/>
    <s v="19"/>
    <n v="4"/>
  </r>
  <r>
    <x v="24"/>
    <s v="Pittsburgh Steelers"/>
    <s v="31"/>
    <s v="28"/>
    <n v="3"/>
  </r>
  <r>
    <x v="19"/>
    <s v="Cincinnati Bengals"/>
    <s v="26"/>
    <s v="20"/>
    <n v="6"/>
  </r>
  <r>
    <x v="25"/>
    <s v="Indianapolis Colts"/>
    <s v="23"/>
    <s v="20"/>
    <n v="3"/>
  </r>
  <r>
    <x v="16"/>
    <s v="New York Giants"/>
    <s v="34"/>
    <s v="27"/>
    <n v="7"/>
  </r>
  <r>
    <x v="12"/>
    <s v="Minnesota Vikings"/>
    <s v="23"/>
    <s v="6"/>
    <n v="17"/>
  </r>
  <r>
    <x v="17"/>
    <s v="New York Jets"/>
    <s v="23"/>
    <s v="10"/>
    <n v="13"/>
  </r>
  <r>
    <x v="20"/>
    <s v="Tennessee Titans"/>
    <s v="30"/>
    <s v="24"/>
    <n v="6"/>
  </r>
  <r>
    <x v="23"/>
    <s v="Las Vegas Raiders"/>
    <s v="24"/>
    <s v="10"/>
    <n v="14"/>
  </r>
  <r>
    <x v="3"/>
    <s v="Arizona Cardinals"/>
    <s v="27"/>
    <s v="24"/>
    <n v="3"/>
  </r>
  <r>
    <x v="21"/>
    <s v="New Orleans Saints"/>
    <s v="24"/>
    <s v="10"/>
    <n v="14"/>
  </r>
  <r>
    <x v="18"/>
    <s v="Philadelphia Eagles"/>
    <s v="24"/>
    <s v="21"/>
    <n v="3"/>
  </r>
  <r>
    <x v="13"/>
    <s v="Tampa Bay Buccaneers"/>
    <s v="34"/>
    <s v="7"/>
    <n v="27"/>
  </r>
  <r>
    <x v="11"/>
    <s v="Carolina Panthers"/>
    <s v="20"/>
    <s v="9"/>
    <n v="11"/>
  </r>
  <r>
    <x v="12"/>
    <s v="Detroit Lions"/>
    <s v="31"/>
    <s v="24"/>
    <n v="7"/>
  </r>
  <r>
    <x v="18"/>
    <s v="Kansas City Chiefs"/>
    <s v="31"/>
    <s v="28"/>
    <n v="3"/>
  </r>
  <r>
    <x v="4"/>
    <s v="Baltimore Ravens"/>
    <s v="32"/>
    <s v="14"/>
    <n v="18"/>
  </r>
  <r>
    <x v="24"/>
    <s v="Philadelphia Eagles"/>
    <s v="24"/>
    <s v="15"/>
    <n v="9"/>
  </r>
  <r>
    <x v="31"/>
    <s v="Atlanta Falcons"/>
    <s v="27"/>
    <s v="24"/>
    <n v="3"/>
  </r>
  <r>
    <x v="11"/>
    <s v="Cleveland Browns"/>
    <s v="26"/>
    <s v="8"/>
    <n v="18"/>
  </r>
  <r>
    <x v="26"/>
    <s v="Indianapolis Colts"/>
    <s v="20"/>
    <s v="16"/>
    <n v="4"/>
  </r>
  <r>
    <x v="2"/>
    <s v="Arizona Cardinals"/>
    <s v="20"/>
    <s v="17"/>
    <n v="3"/>
  </r>
  <r>
    <x v="3"/>
    <s v="Tennessee Titans"/>
    <s v="25"/>
    <s v="3"/>
    <n v="22"/>
  </r>
  <r>
    <x v="28"/>
    <s v="New Orleans Saints"/>
    <s v="21"/>
    <s v="17"/>
    <n v="4"/>
  </r>
  <r>
    <x v="22"/>
    <s v="Los Angeles Rams"/>
    <s v="31"/>
    <s v="28"/>
    <n v="3"/>
  </r>
  <r>
    <x v="20"/>
    <s v="Minnesota Vikings"/>
    <s v="26"/>
    <s v="0"/>
    <n v="26"/>
  </r>
  <r>
    <x v="14"/>
    <s v="Pittsburgh Steelers"/>
    <s v="26"/>
    <s v="7"/>
    <n v="19"/>
  </r>
  <r>
    <x v="1"/>
    <s v="Las Vegas Raiders"/>
    <s v="31"/>
    <s v="14"/>
    <n v="17"/>
  </r>
  <r>
    <x v="10"/>
    <s v="Washington Commanders"/>
    <s v="27"/>
    <s v="26"/>
    <n v="1"/>
  </r>
  <r>
    <x v="19"/>
    <s v="New York Giants"/>
    <s v="33"/>
    <s v="15"/>
    <n v="18"/>
  </r>
  <r>
    <x v="16"/>
    <s v="Dallas Cowboys"/>
    <s v="44"/>
    <s v="30"/>
    <n v="14"/>
  </r>
  <r>
    <x v="20"/>
    <s v="Atlanta Falcons"/>
    <s v="37"/>
    <s v="9"/>
    <n v="28"/>
  </r>
  <r>
    <x v="14"/>
    <s v="Cincinnati Bengals"/>
    <s v="39"/>
    <s v="34"/>
    <n v="5"/>
  </r>
  <r>
    <x v="30"/>
    <s v="Cleveland Browns"/>
    <s v="31"/>
    <s v="29"/>
    <n v="2"/>
  </r>
  <r>
    <x v="3"/>
    <s v="Indianapolis Colts"/>
    <s v="36"/>
    <s v="19"/>
    <n v="17"/>
  </r>
  <r>
    <x v="28"/>
    <s v="New York Jets"/>
    <s v="34"/>
    <s v="10"/>
    <n v="24"/>
  </r>
  <r>
    <x v="15"/>
    <s v="Washington Commanders"/>
    <s v="31"/>
    <s v="0"/>
    <n v="31"/>
  </r>
  <r>
    <x v="29"/>
    <s v="Tampa Bay Buccaneers"/>
    <s v="24"/>
    <s v="20"/>
    <n v="4"/>
  </r>
  <r>
    <x v="9"/>
    <s v="Baltimore Ravens"/>
    <s v="27"/>
    <s v="22"/>
    <n v="5"/>
  </r>
  <r>
    <x v="10"/>
    <s v="Las Vegas Raiders"/>
    <s v="24"/>
    <s v="17"/>
    <n v="7"/>
  </r>
  <r>
    <x v="12"/>
    <s v="Chicago Bears"/>
    <s v="28"/>
    <s v="21"/>
    <n v="7"/>
  </r>
  <r>
    <x v="13"/>
    <s v="Arizona Cardinals"/>
    <s v="45"/>
    <s v="17"/>
    <n v="28"/>
  </r>
  <r>
    <x v="26"/>
    <s v="Kansas City Chiefs"/>
    <s v="20"/>
    <s v="10"/>
    <n v="10"/>
  </r>
  <r>
    <x v="1"/>
    <s v="Philadelphia Eagles"/>
    <s v="22"/>
    <s v="19"/>
    <n v="3"/>
  </r>
  <r>
    <x v="21"/>
    <s v="Tampa Bay Buccaneers"/>
    <s v="29"/>
    <s v="28"/>
    <n v="1"/>
  </r>
  <r>
    <x v="14"/>
    <s v="New England Patriots"/>
    <s v="35"/>
    <s v="31"/>
    <n v="4"/>
  </r>
  <r>
    <x v="24"/>
    <s v="Cleveland Browns"/>
    <s v="31"/>
    <s v="3"/>
    <n v="28"/>
  </r>
  <r>
    <x v="17"/>
    <s v="Cincinnati Bengals"/>
    <s v="24"/>
    <s v="0"/>
    <n v="24"/>
  </r>
  <r>
    <x v="26"/>
    <s v="Arizona Cardinals"/>
    <s v="40"/>
    <s v="20"/>
    <n v="20"/>
  </r>
  <r>
    <x v="3"/>
    <s v="New York Jets"/>
    <s v="48"/>
    <s v="20"/>
    <n v="28"/>
  </r>
  <r>
    <x v="1"/>
    <s v="Kansas City Chiefs"/>
    <s v="16"/>
    <s v="13"/>
    <n v="3"/>
  </r>
  <r>
    <x v="8"/>
    <s v="New York Giants"/>
    <s v="29"/>
    <s v="21"/>
    <n v="8"/>
  </r>
  <r>
    <x v="0"/>
    <s v="Las Vegas Raiders"/>
    <s v="31"/>
    <s v="0"/>
    <n v="31"/>
  </r>
  <r>
    <x v="29"/>
    <s v="Carolina Panthers"/>
    <s v="20"/>
    <s v="17"/>
    <n v="3"/>
  </r>
  <r>
    <x v="20"/>
    <s v="Indianapolis Colts"/>
    <s v="18"/>
    <s v="16"/>
    <n v="2"/>
  </r>
  <r>
    <x v="10"/>
    <s v="Green Bay Packers"/>
    <s v="34"/>
    <s v="26"/>
    <n v="8"/>
  </r>
  <r>
    <x v="13"/>
    <s v="Detroit Lions"/>
    <s v="41"/>
    <s v="34"/>
    <n v="7"/>
  </r>
  <r>
    <x v="11"/>
    <s v="Tennessee Titans"/>
    <s v="37"/>
    <s v="24"/>
    <n v="13"/>
  </r>
  <r>
    <x v="15"/>
    <s v="Dallas Cowboys"/>
    <s v="34"/>
    <s v="26"/>
    <n v="8"/>
  </r>
  <r>
    <x v="9"/>
    <s v="Miami Dolphins"/>
    <s v="28"/>
    <s v="15"/>
    <n v="13"/>
  </r>
  <r>
    <x v="20"/>
    <s v="Los Angeles Rams"/>
    <s v="38"/>
    <s v="37"/>
    <n v="1"/>
  </r>
  <r>
    <x v="0"/>
    <s v="Washington Commanders"/>
    <s v="29"/>
    <s v="18"/>
    <n v="11"/>
  </r>
  <r>
    <x v="24"/>
    <s v="Green Bay Packers"/>
    <s v="22"/>
    <s v="16"/>
    <n v="6"/>
  </r>
  <r>
    <x v="14"/>
    <s v="Cleveland Browns"/>
    <s v="23"/>
    <s v="20"/>
    <n v="3"/>
  </r>
  <r>
    <x v="22"/>
    <s v="Tampa Bay Buccaneers"/>
    <s v="23"/>
    <s v="20"/>
    <n v="3"/>
  </r>
  <r>
    <x v="4"/>
    <s v="Miami Dolphins"/>
    <s v="45"/>
    <s v="21"/>
    <n v="24"/>
  </r>
  <r>
    <x v="1"/>
    <s v="Dallas Cowboys"/>
    <s v="34"/>
    <s v="17"/>
    <n v="17"/>
  </r>
  <r>
    <x v="30"/>
    <s v="Kansas City Chiefs"/>
    <s v="26"/>
    <s v="9"/>
    <n v="17"/>
  </r>
  <r>
    <x v="15"/>
    <s v="New York Giants"/>
    <s v="16"/>
    <s v="13"/>
    <n v="3"/>
  </r>
  <r>
    <x v="29"/>
    <s v="New York Jets"/>
    <s v="29"/>
    <s v="6"/>
    <n v="23"/>
  </r>
  <r>
    <x v="21"/>
    <s v="Arizona Cardinals"/>
    <s v="26"/>
    <s v="19"/>
    <n v="7"/>
  </r>
  <r>
    <x v="3"/>
    <s v="Denver Broncos"/>
    <s v="34"/>
    <s v="20"/>
    <n v="14"/>
  </r>
  <r>
    <x v="9"/>
    <s v="Detroit Lions"/>
    <s v="29"/>
    <s v="24"/>
    <n v="5"/>
  </r>
  <r>
    <x v="26"/>
    <s v="Las Vegas Raiders"/>
    <s v="23"/>
    <s v="21"/>
    <n v="2"/>
  </r>
  <r>
    <x v="19"/>
    <s v="Baltimore Ravens"/>
    <s v="28"/>
    <s v="24"/>
    <n v="4"/>
  </r>
  <r>
    <x v="11"/>
    <s v="Indianapolis Colts"/>
    <s v="48"/>
    <s v="27"/>
    <n v="21"/>
  </r>
  <r>
    <x v="18"/>
    <s v="Washington Commanders"/>
    <s v="30"/>
    <s v="23"/>
    <n v="7"/>
  </r>
  <r>
    <x v="15"/>
    <s v="Detroit Lions"/>
    <s v="23"/>
    <s v="10"/>
    <n v="13"/>
  </r>
  <r>
    <x v="10"/>
    <s v="Kansas City Chiefs"/>
    <s v="20"/>
    <s v="13"/>
    <n v="7"/>
  </r>
  <r>
    <x v="26"/>
    <s v="Los Angeles Chargers"/>
    <s v="20"/>
    <s v="16"/>
    <n v="4"/>
  </r>
  <r>
    <x v="17"/>
    <s v="Green Bay Packers"/>
    <s v="41"/>
    <s v="24"/>
    <n v="17"/>
  </r>
  <r>
    <x v="20"/>
    <s v="Carolina Panthers"/>
    <s v="27"/>
    <s v="10"/>
    <n v="17"/>
  </r>
  <r>
    <x v="4"/>
    <s v="Arizona Cardinals"/>
    <s v="37"/>
    <s v="14"/>
    <n v="23"/>
  </r>
  <r>
    <x v="23"/>
    <s v="Pittsburgh Steelers"/>
    <s v="13"/>
    <s v="6"/>
    <n v="7"/>
  </r>
  <r>
    <x v="3"/>
    <s v="Indianapolis Colts"/>
    <s v="23"/>
    <s v="17"/>
    <n v="6"/>
  </r>
  <r>
    <x v="28"/>
    <s v="Tampa Bay Buccaneers"/>
    <s v="20"/>
    <s v="17"/>
    <n v="3"/>
  </r>
  <r>
    <x v="29"/>
    <s v="Tennessee Titans"/>
    <s v="34"/>
    <s v="26"/>
    <n v="8"/>
  </r>
  <r>
    <x v="19"/>
    <s v="New York Jets"/>
    <s v="42"/>
    <s v="10"/>
    <n v="32"/>
  </r>
  <r>
    <x v="27"/>
    <s v="Las Vegas Raiders"/>
    <s v="34"/>
    <s v="10"/>
    <n v="24"/>
  </r>
  <r>
    <x v="0"/>
    <s v="Buffalo Bills"/>
    <s v="13"/>
    <s v="12"/>
    <n v="1"/>
  </r>
  <r>
    <x v="11"/>
    <s v="Chicago Bears"/>
    <s v="42"/>
    <s v="38"/>
    <n v="4"/>
  </r>
  <r>
    <x v="21"/>
    <s v="Los Angeles Rams"/>
    <s v="27"/>
    <s v="24"/>
    <n v="3"/>
  </r>
  <r>
    <x v="2"/>
    <s v="Carolina Panthers"/>
    <s v="16"/>
    <s v="14"/>
    <n v="2"/>
  </r>
  <r>
    <x v="20"/>
    <s v="San Francisco 49ers"/>
    <s v="13"/>
    <s v="3"/>
    <n v="10"/>
  </r>
  <r>
    <x v="21"/>
    <s v="New Orleans Saints"/>
    <s v="19"/>
    <s v="17"/>
    <n v="2"/>
  </r>
  <r>
    <x v="23"/>
    <s v="Cincinnati Bengals"/>
    <s v="20"/>
    <s v="18"/>
    <n v="2"/>
  </r>
  <r>
    <x v="26"/>
    <s v="Indianapolis Colts"/>
    <s v="38"/>
    <s v="30"/>
    <n v="8"/>
  </r>
  <r>
    <x v="27"/>
    <s v="Dallas Cowboys"/>
    <s v="34"/>
    <s v="17"/>
    <n v="17"/>
  </r>
  <r>
    <x v="15"/>
    <s v="Green Bay Packers"/>
    <s v="16"/>
    <s v="3"/>
    <n v="13"/>
  </r>
  <r>
    <x v="3"/>
    <s v="Tennessee Titans"/>
    <s v="41"/>
    <s v="7"/>
    <n v="34"/>
  </r>
  <r>
    <x v="14"/>
    <s v="New York Jets"/>
    <s v="35"/>
    <s v="8"/>
    <n v="27"/>
  </r>
  <r>
    <x v="16"/>
    <s v="Chicago Bears"/>
    <s v="19"/>
    <s v="16"/>
    <n v="3"/>
  </r>
  <r>
    <x v="13"/>
    <s v="Arizona Cardinals"/>
    <s v="37"/>
    <s v="20"/>
    <n v="17"/>
  </r>
  <r>
    <x v="10"/>
    <s v="Los Angeles Chargers"/>
    <s v="19"/>
    <s v="3"/>
    <n v="16"/>
  </r>
  <r>
    <x v="7"/>
    <s v="Kansas City Chiefs"/>
    <s v="14"/>
    <s v="12"/>
    <n v="2"/>
  </r>
  <r>
    <x v="19"/>
    <s v="Miami Dolphins"/>
    <s v="38"/>
    <s v="10"/>
    <n v="28"/>
  </r>
  <r>
    <x v="8"/>
    <s v="Philadelphia Eagles"/>
    <s v="24"/>
    <s v="17"/>
    <n v="7"/>
  </r>
  <r>
    <x v="9"/>
    <s v="Baltimore Ravens"/>
    <s v="26"/>
    <s v="24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F4FE00-D613-934D-BC5A-10DCF8A2349B}" name="PivotTable12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9:M42" firstHeaderRow="1" firstDataRow="1" firstDataCol="1"/>
  <pivotFields count="5">
    <pivotField axis="axisRow" showAll="0">
      <items count="33">
        <item x="6"/>
        <item x="21"/>
        <item x="17"/>
        <item x="14"/>
        <item x="22"/>
        <item x="24"/>
        <item x="4"/>
        <item x="23"/>
        <item x="18"/>
        <item x="10"/>
        <item x="16"/>
        <item x="12"/>
        <item x="26"/>
        <item x="5"/>
        <item x="3"/>
        <item x="25"/>
        <item x="7"/>
        <item x="1"/>
        <item x="13"/>
        <item x="28"/>
        <item x="15"/>
        <item x="19"/>
        <item x="29"/>
        <item x="27"/>
        <item x="31"/>
        <item x="0"/>
        <item x="9"/>
        <item x="11"/>
        <item x="20"/>
        <item x="2"/>
        <item x="30"/>
        <item x="8"/>
        <item t="default"/>
      </items>
    </pivotField>
    <pivotField showAll="0"/>
    <pivotField showAll="0"/>
    <pivotField showAll="0"/>
    <pivotField showAll="0"/>
  </pivotFields>
  <rowFields count="1">
    <field x="0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D758A93-8C3A-6D42-B503-487CFBDBF621}" autoFormatId="16" applyNumberFormats="0" applyBorderFormats="0" applyFontFormats="0" applyPatternFormats="0" applyAlignmentFormats="0" applyWidthHeightFormats="0">
  <queryTableRefresh nextId="14" unboundColumnsRight="3">
    <queryTableFields count="7">
      <queryTableField id="7" name="Home Team" tableColumnId="7"/>
      <queryTableField id="8" name="Away Team" tableColumnId="8"/>
      <queryTableField id="9" name="Home Points" tableColumnId="9"/>
      <queryTableField id="10" name="Away Points" tableColumnId="10"/>
      <queryTableField id="13" dataBound="0" tableColumnId="3"/>
      <queryTableField id="11" dataBound="0" tableColumnId="1"/>
      <queryTableField id="12" dataBound="0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C7E2751-3590-6E4E-8E16-3F204814A8EF}" autoFormatId="16" applyNumberFormats="0" applyBorderFormats="0" applyFontFormats="0" applyPatternFormats="0" applyAlignmentFormats="0" applyWidthHeightFormats="0">
  <queryTableRefresh nextId="11">
    <queryTableFields count="4">
      <queryTableField id="7" name="Home Team" tableColumnId="7"/>
      <queryTableField id="8" name="Away Team" tableColumnId="8"/>
      <queryTableField id="9" name="Home Points" tableColumnId="9"/>
      <queryTableField id="10" name="Away Poin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57A045-D3C4-A54E-8C8D-467083A96232}" name="NFL2025Results3" displayName="NFL2025Results3" ref="D6:J278" tableType="queryTable" totalsRowShown="0">
  <autoFilter ref="D6:J278" xr:uid="{A757A045-D3C4-A54E-8C8D-467083A96232}"/>
  <tableColumns count="7">
    <tableColumn id="7" xr3:uid="{282283D1-318F-E749-9C70-88657B0873F1}" uniqueName="7" name="Home Team" queryTableFieldId="7"/>
    <tableColumn id="8" xr3:uid="{910D9AC9-8FC9-3347-87D2-4544B95C3BB2}" uniqueName="8" name="Away Team" queryTableFieldId="8"/>
    <tableColumn id="9" xr3:uid="{A0B06FFA-3046-7A4A-9B63-F16728D6530C}" uniqueName="9" name="Home Points" queryTableFieldId="9"/>
    <tableColumn id="10" xr3:uid="{B554FCA2-67D0-784D-9F90-2BDDBF8AF6C8}" uniqueName="10" name="Away Points" queryTableFieldId="10"/>
    <tableColumn id="3" xr3:uid="{325DD62A-BB5B-6A45-8842-CDA70FCCB894}" uniqueName="3" name="Home Margin" queryTableFieldId="13" dataDxfId="5">
      <calculatedColumnFormula>NFL2025Results3[[#This Row],[Home Points]]-NFL2025Results3[[#This Row],[Away Points]]</calculatedColumnFormula>
    </tableColumn>
    <tableColumn id="1" xr3:uid="{6004F359-A428-3340-B411-80DF667F3C73}" uniqueName="1" name="Home Forecast" queryTableFieldId="11" dataDxfId="4">
      <calculatedColumnFormula>VLOOKUP(NFL2025Results3[[#This Row],[Home Team]],TeamRating,2,FALSE)-VLOOKUP(NFL2025Results3[[#This Row],[Away Team]],TeamRating,2,FALSE)+HomeEdge</calculatedColumnFormula>
    </tableColumn>
    <tableColumn id="2" xr3:uid="{FCD742BB-4DC1-FD44-815A-1D4CE1DA3351}" uniqueName="2" name="Squared Error" queryTableFieldId="12" dataDxfId="3">
      <calculatedColumnFormula>(NFL2025Results3[[#This Row],[Home Margin]]-NFL2025Results3[[#This Row],[Home Forecast]])^2</calculatedColumnFormula>
    </tableColumn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0ED09E-A341-4543-BD9C-E532786DA893}" name="Table3" displayName="Table3" ref="E1:F4" totalsRowShown="0" headerRowDxfId="2">
  <autoFilter ref="E1:F4" xr:uid="{5A0ED09E-A341-4543-BD9C-E532786DA893}"/>
  <tableColumns count="2">
    <tableColumn id="1" xr3:uid="{E37E4A20-ABDB-E148-8FCA-3868B7B9799F}" name="Choosen Team"/>
    <tableColumn id="2" xr3:uid="{98378EE2-EFD8-D24B-A5EA-5D0F5B5BFE9F}" name="Rati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BA71C0-6DA7-A04A-8B67-285539DBBB2F}" name="Table4" displayName="Table4" ref="M1:N5" totalsRowShown="0" headerRowDxfId="1">
  <autoFilter ref="M1:N5" xr:uid="{F4BA71C0-6DA7-A04A-8B67-285539DBBB2F}"/>
  <tableColumns count="2">
    <tableColumn id="1" xr3:uid="{DC16C8FF-DC9E-C84D-9D68-6363CA58030D}" name="Metric" dataDxfId="0"/>
    <tableColumn id="2" xr3:uid="{D6790598-E537-124C-8492-878FB073815A}" name="Value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6F2AD9-921B-4042-B5E1-78F72A03502A}" name="NFL2025Results" displayName="NFL2025Results" ref="A1:D273" tableType="queryTable" totalsRowShown="0">
  <autoFilter ref="A1:D273" xr:uid="{C76F2AD9-921B-4042-B5E1-78F72A03502A}"/>
  <tableColumns count="4">
    <tableColumn id="7" xr3:uid="{3C27A506-1D44-5943-8EEA-1B58E0C493DF}" uniqueName="7" name="Home Team" queryTableFieldId="7"/>
    <tableColumn id="8" xr3:uid="{67F6DE98-BE84-5D44-8589-A500CFB00D21}" uniqueName="8" name="Away Team" queryTableFieldId="8"/>
    <tableColumn id="9" xr3:uid="{77C33E37-5639-BC46-B378-0A3A8A666453}" uniqueName="9" name="Home Points" queryTableFieldId="9"/>
    <tableColumn id="10" xr3:uid="{C656340F-E106-764C-83BF-678BB16BF075}" uniqueName="10" name="Away Points" queryTableFieldId="1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A8E4D-7C99-C640-A65A-49642F3FBAD7}">
  <dimension ref="A1:N278"/>
  <sheetViews>
    <sheetView workbookViewId="0">
      <selection activeCell="N9" sqref="N9"/>
    </sheetView>
  </sheetViews>
  <sheetFormatPr baseColWidth="10" defaultRowHeight="16" x14ac:dyDescent="0.2"/>
  <cols>
    <col min="1" max="1" width="23.5" customWidth="1"/>
    <col min="4" max="8" width="24" customWidth="1"/>
    <col min="9" max="10" width="22.6640625" customWidth="1"/>
    <col min="13" max="13" width="24.6640625" bestFit="1" customWidth="1"/>
    <col min="14" max="14" width="13.83203125" customWidth="1"/>
  </cols>
  <sheetData>
    <row r="1" spans="1:14" ht="22" x14ac:dyDescent="0.3">
      <c r="A1" t="s">
        <v>85</v>
      </c>
      <c r="B1">
        <v>9.8219290750682617</v>
      </c>
      <c r="E1" s="5" t="s">
        <v>90</v>
      </c>
      <c r="F1" s="6" t="s">
        <v>81</v>
      </c>
      <c r="M1" s="7" t="s">
        <v>93</v>
      </c>
      <c r="N1" s="7" t="s">
        <v>94</v>
      </c>
    </row>
    <row r="2" spans="1:14" x14ac:dyDescent="0.2">
      <c r="E2" s="4" t="s">
        <v>43</v>
      </c>
      <c r="F2">
        <f>VLOOKUP(E2,TeamRating,2,FALSE)</f>
        <v>5.5571307753720181</v>
      </c>
      <c r="M2" s="8" t="s">
        <v>95</v>
      </c>
      <c r="N2">
        <f>HomeEdge</f>
        <v>9.8219290750682617</v>
      </c>
    </row>
    <row r="3" spans="1:14" x14ac:dyDescent="0.2">
      <c r="A3" s="1" t="s">
        <v>89</v>
      </c>
      <c r="B3">
        <f>AVERAGE(Ratings)</f>
        <v>-1.1796119636642288E-16</v>
      </c>
      <c r="E3" s="4" t="s">
        <v>31</v>
      </c>
      <c r="F3">
        <f>VLOOKUP(E3,TeamRating,2,FALSE)</f>
        <v>1.3799989882766981</v>
      </c>
      <c r="M3" s="8" t="s">
        <v>96</v>
      </c>
      <c r="N3">
        <f>B3</f>
        <v>-1.1796119636642288E-16</v>
      </c>
    </row>
    <row r="4" spans="1:14" x14ac:dyDescent="0.2">
      <c r="E4" s="1" t="s">
        <v>91</v>
      </c>
      <c r="F4" s="1">
        <f>F2-F3</f>
        <v>4.1771317870953197</v>
      </c>
      <c r="I4" s="1" t="s">
        <v>88</v>
      </c>
      <c r="J4">
        <f>SUM(NFL2025Results3[Squared Error])</f>
        <v>17434.945603175653</v>
      </c>
      <c r="M4" s="8" t="s">
        <v>97</v>
      </c>
      <c r="N4">
        <f>J4</f>
        <v>17434.945603175653</v>
      </c>
    </row>
    <row r="5" spans="1:14" x14ac:dyDescent="0.2">
      <c r="M5" s="1" t="s">
        <v>92</v>
      </c>
      <c r="N5">
        <f>COUNTA(Teams)</f>
        <v>32</v>
      </c>
    </row>
    <row r="6" spans="1:14" x14ac:dyDescent="0.2">
      <c r="A6" s="1" t="s">
        <v>80</v>
      </c>
      <c r="B6" s="1" t="s">
        <v>81</v>
      </c>
      <c r="D6" t="s">
        <v>0</v>
      </c>
      <c r="E6" t="s">
        <v>1</v>
      </c>
      <c r="F6" t="s">
        <v>2</v>
      </c>
      <c r="G6" t="s">
        <v>3</v>
      </c>
      <c r="H6" t="s">
        <v>84</v>
      </c>
      <c r="I6" t="s">
        <v>82</v>
      </c>
      <c r="J6" t="s">
        <v>83</v>
      </c>
    </row>
    <row r="7" spans="1:14" x14ac:dyDescent="0.2">
      <c r="A7" t="str" cm="1">
        <f t="array" ref="A7:A38">M10:M41</f>
        <v>Arizona Cardinals</v>
      </c>
      <c r="B7">
        <v>-0.1651332175395297</v>
      </c>
      <c r="D7" t="s">
        <v>4</v>
      </c>
      <c r="E7" t="s">
        <v>5</v>
      </c>
      <c r="F7" t="s">
        <v>6</v>
      </c>
      <c r="G7" t="s">
        <v>7</v>
      </c>
      <c r="H7">
        <f>NFL2025Results3[[#This Row],[Home Points]]-NFL2025Results3[[#This Row],[Away Points]]</f>
        <v>4</v>
      </c>
      <c r="I7">
        <f>VLOOKUP(NFL2025Results3[[#This Row],[Home Team]],TeamRating,2,FALSE)-VLOOKUP(NFL2025Results3[[#This Row],[Away Team]],TeamRating,2,FALSE)+HomeEdge</f>
        <v>11.551759038062986</v>
      </c>
      <c r="J7">
        <f>(NFL2025Results3[[#This Row],[Home Margin]]-NFL2025Results3[[#This Row],[Home Forecast]])^2</f>
        <v>57.029064568966</v>
      </c>
    </row>
    <row r="8" spans="1:14" x14ac:dyDescent="0.2">
      <c r="A8" t="str">
        <v>Atlanta Falcons</v>
      </c>
      <c r="B8">
        <v>-2.618898194620761</v>
      </c>
      <c r="D8" t="s">
        <v>8</v>
      </c>
      <c r="E8" t="s">
        <v>9</v>
      </c>
      <c r="F8" t="s">
        <v>10</v>
      </c>
      <c r="G8" t="s">
        <v>11</v>
      </c>
      <c r="H8">
        <f>NFL2025Results3[[#This Row],[Home Points]]-NFL2025Results3[[#This Row],[Away Points]]</f>
        <v>6</v>
      </c>
      <c r="I8">
        <f>VLOOKUP(NFL2025Results3[[#This Row],[Home Team]],TeamRating,2,FALSE)-VLOOKUP(NFL2025Results3[[#This Row],[Away Team]],TeamRating,2,FALSE)+HomeEdge</f>
        <v>3.6969191638865375</v>
      </c>
      <c r="J8">
        <f>(NFL2025Results3[[#This Row],[Home Margin]]-NFL2025Results3[[#This Row],[Home Forecast]])^2</f>
        <v>5.3041813376730857</v>
      </c>
    </row>
    <row r="9" spans="1:14" x14ac:dyDescent="0.2">
      <c r="A9" t="str">
        <v>Baltimore Ravens</v>
      </c>
      <c r="B9">
        <v>1.9773477742605687</v>
      </c>
      <c r="D9" t="s">
        <v>12</v>
      </c>
      <c r="E9" t="s">
        <v>13</v>
      </c>
      <c r="F9" t="s">
        <v>14</v>
      </c>
      <c r="G9" t="s">
        <v>7</v>
      </c>
      <c r="H9">
        <f>NFL2025Results3[[#This Row],[Home Points]]-NFL2025Results3[[#This Row],[Away Points]]</f>
        <v>3</v>
      </c>
      <c r="I9">
        <f>VLOOKUP(NFL2025Results3[[#This Row],[Home Team]],TeamRating,2,FALSE)-VLOOKUP(NFL2025Results3[[#This Row],[Away Team]],TeamRating,2,FALSE)+HomeEdge</f>
        <v>10.969201793257797</v>
      </c>
      <c r="J9">
        <f>(NFL2025Results3[[#This Row],[Home Margin]]-NFL2025Results3[[#This Row],[Home Forecast]])^2</f>
        <v>63.508177221663288</v>
      </c>
      <c r="M9" s="2" t="s">
        <v>86</v>
      </c>
    </row>
    <row r="10" spans="1:14" x14ac:dyDescent="0.2">
      <c r="A10" t="str">
        <v>Buffalo Bills</v>
      </c>
      <c r="B10">
        <v>1.4049949415367715</v>
      </c>
      <c r="D10" t="s">
        <v>15</v>
      </c>
      <c r="E10" t="s">
        <v>16</v>
      </c>
      <c r="F10" t="s">
        <v>17</v>
      </c>
      <c r="G10" t="s">
        <v>18</v>
      </c>
      <c r="H10">
        <f>NFL2025Results3[[#This Row],[Home Points]]-NFL2025Results3[[#This Row],[Away Points]]</f>
        <v>16</v>
      </c>
      <c r="I10">
        <f>VLOOKUP(NFL2025Results3[[#This Row],[Home Team]],TeamRating,2,FALSE)-VLOOKUP(NFL2025Results3[[#This Row],[Away Team]],TeamRating,2,FALSE)+HomeEdge</f>
        <v>17.084672464901672</v>
      </c>
      <c r="J10">
        <f>(NFL2025Results3[[#This Row],[Home Margin]]-NFL2025Results3[[#This Row],[Home Forecast]])^2</f>
        <v>1.1765143561158691</v>
      </c>
      <c r="M10" s="3" t="s">
        <v>27</v>
      </c>
    </row>
    <row r="11" spans="1:14" x14ac:dyDescent="0.2">
      <c r="A11" t="str">
        <v>Carolina Panthers</v>
      </c>
      <c r="B11">
        <v>-3.7773089299510194</v>
      </c>
      <c r="D11" t="s">
        <v>19</v>
      </c>
      <c r="E11" t="s">
        <v>20</v>
      </c>
      <c r="F11" t="s">
        <v>21</v>
      </c>
      <c r="G11" t="s">
        <v>22</v>
      </c>
      <c r="H11">
        <f>NFL2025Results3[[#This Row],[Home Points]]-NFL2025Results3[[#This Row],[Away Points]]</f>
        <v>1</v>
      </c>
      <c r="I11">
        <f>VLOOKUP(NFL2025Results3[[#This Row],[Home Team]],TeamRating,2,FALSE)-VLOOKUP(NFL2025Results3[[#This Row],[Away Team]],TeamRating,2,FALSE)+HomeEdge</f>
        <v>10.395385624388343</v>
      </c>
      <c r="J11">
        <f>(NFL2025Results3[[#This Row],[Home Margin]]-NFL2025Results3[[#This Row],[Home Forecast]])^2</f>
        <v>88.27327103096313</v>
      </c>
      <c r="M11" s="3" t="s">
        <v>13</v>
      </c>
    </row>
    <row r="12" spans="1:14" x14ac:dyDescent="0.2">
      <c r="A12" t="str">
        <v>Chicago Bears</v>
      </c>
      <c r="B12">
        <v>-1.5426011734570422</v>
      </c>
      <c r="D12" t="s">
        <v>23</v>
      </c>
      <c r="E12" t="s">
        <v>24</v>
      </c>
      <c r="F12" t="s">
        <v>25</v>
      </c>
      <c r="G12" t="s">
        <v>26</v>
      </c>
      <c r="H12">
        <f>NFL2025Results3[[#This Row],[Home Points]]-NFL2025Results3[[#This Row],[Away Points]]</f>
        <v>25</v>
      </c>
      <c r="I12">
        <f>VLOOKUP(NFL2025Results3[[#This Row],[Home Team]],TeamRating,2,FALSE)-VLOOKUP(NFL2025Results3[[#This Row],[Away Team]],TeamRating,2,FALSE)+HomeEdge</f>
        <v>18.27328132395634</v>
      </c>
      <c r="J12">
        <f>(NFL2025Results3[[#This Row],[Home Margin]]-NFL2025Results3[[#This Row],[Home Forecast]])^2</f>
        <v>45.248744146634571</v>
      </c>
      <c r="M12" s="3" t="s">
        <v>51</v>
      </c>
    </row>
    <row r="13" spans="1:14" x14ac:dyDescent="0.2">
      <c r="A13" t="str">
        <v>Cincinnati Bengals</v>
      </c>
      <c r="B13">
        <v>-2.1501632622932783</v>
      </c>
      <c r="D13" t="s">
        <v>27</v>
      </c>
      <c r="E13" t="s">
        <v>28</v>
      </c>
      <c r="F13" t="s">
        <v>7</v>
      </c>
      <c r="G13" t="s">
        <v>29</v>
      </c>
      <c r="H13">
        <f>NFL2025Results3[[#This Row],[Home Points]]-NFL2025Results3[[#This Row],[Away Points]]</f>
        <v>7</v>
      </c>
      <c r="I13">
        <f>VLOOKUP(NFL2025Results3[[#This Row],[Home Team]],TeamRating,2,FALSE)-VLOOKUP(NFL2025Results3[[#This Row],[Away Team]],TeamRating,2,FALSE)+HomeEdge</f>
        <v>12.065765864777823</v>
      </c>
      <c r="J13">
        <f>(NFL2025Results3[[#This Row],[Home Margin]]-NFL2025Results3[[#This Row],[Home Forecast]])^2</f>
        <v>25.66198379674821</v>
      </c>
      <c r="M13" s="3" t="s">
        <v>50</v>
      </c>
    </row>
    <row r="14" spans="1:14" x14ac:dyDescent="0.2">
      <c r="A14" t="str">
        <v>Cleveland Browns</v>
      </c>
      <c r="B14">
        <v>-2.7236198116133585</v>
      </c>
      <c r="D14" t="s">
        <v>30</v>
      </c>
      <c r="E14" t="s">
        <v>31</v>
      </c>
      <c r="F14" t="s">
        <v>7</v>
      </c>
      <c r="G14" t="s">
        <v>29</v>
      </c>
      <c r="H14">
        <f>NFL2025Results3[[#This Row],[Home Points]]-NFL2025Results3[[#This Row],[Away Points]]</f>
        <v>7</v>
      </c>
      <c r="I14">
        <f>VLOOKUP(NFL2025Results3[[#This Row],[Home Team]],TeamRating,2,FALSE)-VLOOKUP(NFL2025Results3[[#This Row],[Away Team]],TeamRating,2,FALSE)+HomeEdge</f>
        <v>4.1967833347446666</v>
      </c>
      <c r="J14">
        <f>(NFL2025Results3[[#This Row],[Home Margin]]-NFL2025Results3[[#This Row],[Home Forecast]])^2</f>
        <v>7.8580236723652321</v>
      </c>
      <c r="M14" s="3" t="s">
        <v>16</v>
      </c>
    </row>
    <row r="15" spans="1:14" x14ac:dyDescent="0.2">
      <c r="A15" t="str">
        <v>Dallas Cowboys</v>
      </c>
      <c r="B15">
        <v>-1.1161074094381247</v>
      </c>
      <c r="D15" t="s">
        <v>32</v>
      </c>
      <c r="E15" t="s">
        <v>33</v>
      </c>
      <c r="F15" t="s">
        <v>11</v>
      </c>
      <c r="G15" t="s">
        <v>34</v>
      </c>
      <c r="H15">
        <f>NFL2025Results3[[#This Row],[Home Points]]-NFL2025Results3[[#This Row],[Away Points]]</f>
        <v>15</v>
      </c>
      <c r="I15">
        <f>VLOOKUP(NFL2025Results3[[#This Row],[Home Team]],TeamRating,2,FALSE)-VLOOKUP(NFL2025Results3[[#This Row],[Away Team]],TeamRating,2,FALSE)+HomeEdge</f>
        <v>6.7881354525117468</v>
      </c>
      <c r="J15">
        <f>(NFL2025Results3[[#This Row],[Home Margin]]-NFL2025Results3[[#This Row],[Home Forecast]])^2</f>
        <v>67.434719346294472</v>
      </c>
      <c r="M15" s="3" t="s">
        <v>55</v>
      </c>
    </row>
    <row r="16" spans="1:14" x14ac:dyDescent="0.2">
      <c r="A16" t="str">
        <v>Denver Broncos</v>
      </c>
      <c r="B16">
        <v>-1.1454254478037054</v>
      </c>
      <c r="D16" t="s">
        <v>35</v>
      </c>
      <c r="E16" t="s">
        <v>36</v>
      </c>
      <c r="F16" t="s">
        <v>37</v>
      </c>
      <c r="G16" t="s">
        <v>38</v>
      </c>
      <c r="H16">
        <f>NFL2025Results3[[#This Row],[Home Points]]-NFL2025Results3[[#This Row],[Away Points]]</f>
        <v>2</v>
      </c>
      <c r="I16">
        <f>VLOOKUP(NFL2025Results3[[#This Row],[Home Team]],TeamRating,2,FALSE)-VLOOKUP(NFL2025Results3[[#This Row],[Away Team]],TeamRating,2,FALSE)+HomeEdge</f>
        <v>15.027383964942596</v>
      </c>
      <c r="J16">
        <f>(NFL2025Results3[[#This Row],[Home Margin]]-NFL2025Results3[[#This Row],[Home Forecast]])^2</f>
        <v>169.71273297004345</v>
      </c>
      <c r="M16" s="3" t="s">
        <v>19</v>
      </c>
    </row>
    <row r="17" spans="1:13" x14ac:dyDescent="0.2">
      <c r="A17" t="str">
        <v>Detroit Lions</v>
      </c>
      <c r="B17">
        <v>3.5883138201691289</v>
      </c>
      <c r="D17" t="s">
        <v>39</v>
      </c>
      <c r="E17" t="s">
        <v>40</v>
      </c>
      <c r="F17" t="s">
        <v>7</v>
      </c>
      <c r="G17" t="s">
        <v>41</v>
      </c>
      <c r="H17">
        <f>NFL2025Results3[[#This Row],[Home Points]]-NFL2025Results3[[#This Row],[Away Points]]</f>
        <v>8</v>
      </c>
      <c r="I17">
        <f>VLOOKUP(NFL2025Results3[[#This Row],[Home Team]],TeamRating,2,FALSE)-VLOOKUP(NFL2025Results3[[#This Row],[Away Team]],TeamRating,2,FALSE)+HomeEdge</f>
        <v>11.861875759199666</v>
      </c>
      <c r="J17">
        <f>(NFL2025Results3[[#This Row],[Home Margin]]-NFL2025Results3[[#This Row],[Home Forecast]])^2</f>
        <v>14.914084379493998</v>
      </c>
      <c r="M17" s="3" t="s">
        <v>20</v>
      </c>
    </row>
    <row r="18" spans="1:13" x14ac:dyDescent="0.2">
      <c r="A18" t="str">
        <v>Green Bay Packers</v>
      </c>
      <c r="B18">
        <v>-0.22155453496879698</v>
      </c>
      <c r="D18" t="s">
        <v>42</v>
      </c>
      <c r="E18" t="s">
        <v>43</v>
      </c>
      <c r="F18" t="s">
        <v>21</v>
      </c>
      <c r="G18" t="s">
        <v>29</v>
      </c>
      <c r="H18">
        <f>NFL2025Results3[[#This Row],[Home Points]]-NFL2025Results3[[#This Row],[Away Points]]</f>
        <v>4</v>
      </c>
      <c r="I18">
        <f>VLOOKUP(NFL2025Results3[[#This Row],[Home Team]],TeamRating,2,FALSE)-VLOOKUP(NFL2025Results3[[#This Row],[Away Team]],TeamRating,2,FALSE)+HomeEdge</f>
        <v>5.3107036359301976</v>
      </c>
      <c r="J18">
        <f>(NFL2025Results3[[#This Row],[Home Margin]]-NFL2025Results3[[#This Row],[Home Forecast]])^2</f>
        <v>1.7179440212406398</v>
      </c>
      <c r="M18" s="3" t="s">
        <v>5</v>
      </c>
    </row>
    <row r="19" spans="1:13" x14ac:dyDescent="0.2">
      <c r="A19" t="str">
        <v>Houston Texans</v>
      </c>
      <c r="B19">
        <v>3.7493639005934813</v>
      </c>
      <c r="D19" t="s">
        <v>44</v>
      </c>
      <c r="E19" t="s">
        <v>45</v>
      </c>
      <c r="F19" t="s">
        <v>10</v>
      </c>
      <c r="G19" t="s">
        <v>29</v>
      </c>
      <c r="H19">
        <f>NFL2025Results3[[#This Row],[Home Points]]-NFL2025Results3[[#This Row],[Away Points]]</f>
        <v>14</v>
      </c>
      <c r="I19">
        <f>VLOOKUP(NFL2025Results3[[#This Row],[Home Team]],TeamRating,2,FALSE)-VLOOKUP(NFL2025Results3[[#This Row],[Away Team]],TeamRating,2,FALSE)+HomeEdge</f>
        <v>6.0120607199303358</v>
      </c>
      <c r="J19">
        <f>(NFL2025Results3[[#This Row],[Home Margin]]-NFL2025Results3[[#This Row],[Home Forecast]])^2</f>
        <v>63.807173942079864</v>
      </c>
      <c r="M19" s="3" t="s">
        <v>39</v>
      </c>
    </row>
    <row r="20" spans="1:13" x14ac:dyDescent="0.2">
      <c r="A20" t="str">
        <v>Indianapolis Colts</v>
      </c>
      <c r="B20">
        <v>4.4753935350336791</v>
      </c>
      <c r="D20" t="s">
        <v>46</v>
      </c>
      <c r="E20" t="s">
        <v>47</v>
      </c>
      <c r="F20" t="s">
        <v>48</v>
      </c>
      <c r="G20" t="s">
        <v>49</v>
      </c>
      <c r="H20">
        <f>NFL2025Results3[[#This Row],[Home Points]]-NFL2025Results3[[#This Row],[Away Points]]</f>
        <v>5</v>
      </c>
      <c r="I20">
        <f>VLOOKUP(NFL2025Results3[[#This Row],[Home Team]],TeamRating,2,FALSE)-VLOOKUP(NFL2025Results3[[#This Row],[Away Team]],TeamRating,2,FALSE)+HomeEdge</f>
        <v>13.165194025101908</v>
      </c>
      <c r="J20">
        <f>(NFL2025Results3[[#This Row],[Home Margin]]-NFL2025Results3[[#This Row],[Home Forecast]])^2</f>
        <v>66.67039346755989</v>
      </c>
      <c r="M20" s="3" t="s">
        <v>45</v>
      </c>
    </row>
    <row r="21" spans="1:13" x14ac:dyDescent="0.2">
      <c r="A21" t="str">
        <v>Jacksonville Jaguars</v>
      </c>
      <c r="B21">
        <v>3.4854344598823888</v>
      </c>
      <c r="D21" t="s">
        <v>50</v>
      </c>
      <c r="E21" t="s">
        <v>51</v>
      </c>
      <c r="F21" t="s">
        <v>52</v>
      </c>
      <c r="G21" t="s">
        <v>53</v>
      </c>
      <c r="H21">
        <f>NFL2025Results3[[#This Row],[Home Points]]-NFL2025Results3[[#This Row],[Away Points]]</f>
        <v>1</v>
      </c>
      <c r="I21">
        <f>VLOOKUP(NFL2025Results3[[#This Row],[Home Team]],TeamRating,2,FALSE)-VLOOKUP(NFL2025Results3[[#This Row],[Away Team]],TeamRating,2,FALSE)+HomeEdge</f>
        <v>9.2495762423444639</v>
      </c>
      <c r="J21">
        <f>(NFL2025Results3[[#This Row],[Home Margin]]-NFL2025Results3[[#This Row],[Home Forecast]])^2</f>
        <v>68.0555081782542</v>
      </c>
      <c r="M21" s="3" t="s">
        <v>44</v>
      </c>
    </row>
    <row r="22" spans="1:13" x14ac:dyDescent="0.2">
      <c r="A22" t="str">
        <v>Kansas City Chiefs</v>
      </c>
      <c r="B22">
        <v>5.0176294962247932</v>
      </c>
      <c r="D22" t="s">
        <v>54</v>
      </c>
      <c r="E22" t="s">
        <v>55</v>
      </c>
      <c r="F22" t="s">
        <v>10</v>
      </c>
      <c r="G22" t="s">
        <v>6</v>
      </c>
      <c r="H22">
        <f>NFL2025Results3[[#This Row],[Home Points]]-NFL2025Results3[[#This Row],[Away Points]]</f>
        <v>3</v>
      </c>
      <c r="I22">
        <f>VLOOKUP(NFL2025Results3[[#This Row],[Home Team]],TeamRating,2,FALSE)-VLOOKUP(NFL2025Results3[[#This Row],[Away Team]],TeamRating,2,FALSE)+HomeEdge</f>
        <v>11.488643156845299</v>
      </c>
      <c r="J22">
        <f>(NFL2025Results3[[#This Row],[Home Margin]]-NFL2025Results3[[#This Row],[Home Forecast]])^2</f>
        <v>72.057062644256533</v>
      </c>
      <c r="M22" s="3" t="s">
        <v>47</v>
      </c>
    </row>
    <row r="23" spans="1:13" x14ac:dyDescent="0.2">
      <c r="A23" t="str">
        <v>Las Vegas Raiders</v>
      </c>
      <c r="B23">
        <v>-4.2451467520468968</v>
      </c>
      <c r="D23" t="s">
        <v>44</v>
      </c>
      <c r="E23" t="s">
        <v>32</v>
      </c>
      <c r="F23" t="s">
        <v>10</v>
      </c>
      <c r="G23" t="s">
        <v>56</v>
      </c>
      <c r="H23">
        <f>NFL2025Results3[[#This Row],[Home Points]]-NFL2025Results3[[#This Row],[Away Points]]</f>
        <v>9</v>
      </c>
      <c r="I23">
        <f>VLOOKUP(NFL2025Results3[[#This Row],[Home Team]],TeamRating,2,FALSE)-VLOOKUP(NFL2025Results3[[#This Row],[Away Team]],TeamRating,2,FALSE)+HomeEdge</f>
        <v>11.043562698601702</v>
      </c>
      <c r="J23">
        <f>(NFL2025Results3[[#This Row],[Home Margin]]-NFL2025Results3[[#This Row],[Home Forecast]])^2</f>
        <v>4.1761485031162726</v>
      </c>
      <c r="M23" s="3" t="s">
        <v>23</v>
      </c>
    </row>
    <row r="24" spans="1:13" x14ac:dyDescent="0.2">
      <c r="A24" t="str">
        <v>Los Angeles Chargers</v>
      </c>
      <c r="B24">
        <v>-1.1073804149569313</v>
      </c>
      <c r="D24" t="s">
        <v>50</v>
      </c>
      <c r="E24" t="s">
        <v>36</v>
      </c>
      <c r="F24" t="s">
        <v>57</v>
      </c>
      <c r="G24" t="s">
        <v>18</v>
      </c>
      <c r="H24">
        <f>NFL2025Results3[[#This Row],[Home Points]]-NFL2025Results3[[#This Row],[Away Points]]</f>
        <v>20</v>
      </c>
      <c r="I24">
        <f>VLOOKUP(NFL2025Results3[[#This Row],[Home Team]],TeamRating,2,FALSE)-VLOOKUP(NFL2025Results3[[#This Row],[Away Team]],TeamRating,2,FALSE)+HomeEdge</f>
        <v>17.731716045282191</v>
      </c>
      <c r="J24">
        <f>(NFL2025Results3[[#This Row],[Home Margin]]-NFL2025Results3[[#This Row],[Home Forecast]])^2</f>
        <v>5.1451120992302641</v>
      </c>
      <c r="M24" s="3" t="s">
        <v>15</v>
      </c>
    </row>
    <row r="25" spans="1:13" x14ac:dyDescent="0.2">
      <c r="A25" t="str">
        <v>Los Angeles Rams</v>
      </c>
      <c r="B25">
        <v>7.0926288506271273</v>
      </c>
      <c r="D25" t="s">
        <v>45</v>
      </c>
      <c r="E25" t="s">
        <v>55</v>
      </c>
      <c r="F25" t="s">
        <v>58</v>
      </c>
      <c r="G25" t="s">
        <v>11</v>
      </c>
      <c r="H25">
        <f>NFL2025Results3[[#This Row],[Home Points]]-NFL2025Results3[[#This Row],[Away Points]]</f>
        <v>31</v>
      </c>
      <c r="I25">
        <f>VLOOKUP(NFL2025Results3[[#This Row],[Home Team]],TeamRating,2,FALSE)-VLOOKUP(NFL2025Results3[[#This Row],[Away Team]],TeamRating,2,FALSE)+HomeEdge</f>
        <v>14.952844068694432</v>
      </c>
      <c r="J25">
        <f>(NFL2025Results3[[#This Row],[Home Margin]]-NFL2025Results3[[#This Row],[Home Forecast]])^2</f>
        <v>257.51121348363546</v>
      </c>
      <c r="M25" s="3" t="s">
        <v>9</v>
      </c>
    </row>
    <row r="26" spans="1:13" x14ac:dyDescent="0.2">
      <c r="A26" t="str">
        <v>Miami Dolphins</v>
      </c>
      <c r="B26">
        <v>-3.9759587138543981</v>
      </c>
      <c r="D26" t="s">
        <v>19</v>
      </c>
      <c r="E26" t="s">
        <v>15</v>
      </c>
      <c r="F26" t="s">
        <v>59</v>
      </c>
      <c r="G26" t="s">
        <v>10</v>
      </c>
      <c r="H26">
        <f>NFL2025Results3[[#This Row],[Home Points]]-NFL2025Results3[[#This Row],[Away Points]]</f>
        <v>4</v>
      </c>
      <c r="I26">
        <f>VLOOKUP(NFL2025Results3[[#This Row],[Home Team]],TeamRating,2,FALSE)-VLOOKUP(NFL2025Results3[[#This Row],[Away Team]],TeamRating,2,FALSE)+HomeEdge</f>
        <v>4.1863313528925943</v>
      </c>
      <c r="J26">
        <f>(NFL2025Results3[[#This Row],[Home Margin]]-NFL2025Results3[[#This Row],[Home Forecast]])^2</f>
        <v>3.4719373070784501E-2</v>
      </c>
      <c r="M26" s="3" t="s">
        <v>30</v>
      </c>
    </row>
    <row r="27" spans="1:13" x14ac:dyDescent="0.2">
      <c r="A27" t="str">
        <v>Minnesota Vikings</v>
      </c>
      <c r="B27">
        <v>0.12411290831999501</v>
      </c>
      <c r="D27" t="s">
        <v>51</v>
      </c>
      <c r="E27" t="s">
        <v>20</v>
      </c>
      <c r="F27" t="s">
        <v>52</v>
      </c>
      <c r="G27" t="s">
        <v>21</v>
      </c>
      <c r="H27">
        <f>NFL2025Results3[[#This Row],[Home Points]]-NFL2025Results3[[#This Row],[Away Points]]</f>
        <v>24</v>
      </c>
      <c r="I27">
        <f>VLOOKUP(NFL2025Results3[[#This Row],[Home Team]],TeamRating,2,FALSE)-VLOOKUP(NFL2025Results3[[#This Row],[Away Team]],TeamRating,2,FALSE)+HomeEdge</f>
        <v>14.522896660942189</v>
      </c>
      <c r="J27">
        <f>(NFL2025Results3[[#This Row],[Home Margin]]-NFL2025Results3[[#This Row],[Home Forecast]])^2</f>
        <v>89.815487699180707</v>
      </c>
      <c r="M27" s="3" t="s">
        <v>8</v>
      </c>
    </row>
    <row r="28" spans="1:13" x14ac:dyDescent="0.2">
      <c r="A28" t="str">
        <v>New England Patriots</v>
      </c>
      <c r="B28">
        <v>1.3799989882766981</v>
      </c>
      <c r="D28" t="s">
        <v>5</v>
      </c>
      <c r="E28" t="s">
        <v>33</v>
      </c>
      <c r="F28" t="s">
        <v>53</v>
      </c>
      <c r="G28" t="s">
        <v>60</v>
      </c>
      <c r="H28">
        <f>NFL2025Results3[[#This Row],[Home Points]]-NFL2025Results3[[#This Row],[Away Points]]</f>
        <v>3</v>
      </c>
      <c r="I28">
        <f>VLOOKUP(NFL2025Results3[[#This Row],[Home Team]],TeamRating,2,FALSE)-VLOOKUP(NFL2025Results3[[#This Row],[Away Team]],TeamRating,2,FALSE)+HomeEdge</f>
        <v>7.1152162015758602</v>
      </c>
      <c r="J28">
        <f>(NFL2025Results3[[#This Row],[Home Margin]]-NFL2025Results3[[#This Row],[Home Forecast]])^2</f>
        <v>16.93500438571245</v>
      </c>
      <c r="M28" s="3" t="s">
        <v>46</v>
      </c>
    </row>
    <row r="29" spans="1:13" x14ac:dyDescent="0.2">
      <c r="A29" t="str">
        <v>New Orleans Saints</v>
      </c>
      <c r="B29">
        <v>-2.4089700072490907</v>
      </c>
      <c r="D29" t="s">
        <v>31</v>
      </c>
      <c r="E29" t="s">
        <v>24</v>
      </c>
      <c r="F29" t="s">
        <v>25</v>
      </c>
      <c r="G29" t="s">
        <v>10</v>
      </c>
      <c r="H29">
        <f>NFL2025Results3[[#This Row],[Home Points]]-NFL2025Results3[[#This Row],[Away Points]]</f>
        <v>6</v>
      </c>
      <c r="I29">
        <f>VLOOKUP(NFL2025Results3[[#This Row],[Home Team]],TeamRating,2,FALSE)-VLOOKUP(NFL2025Results3[[#This Row],[Away Team]],TeamRating,2,FALSE)+HomeEdge</f>
        <v>15.177886777199358</v>
      </c>
      <c r="J29">
        <f>(NFL2025Results3[[#This Row],[Home Margin]]-NFL2025Results3[[#This Row],[Home Forecast]])^2</f>
        <v>84.233605695090816</v>
      </c>
      <c r="M29" s="3" t="s">
        <v>24</v>
      </c>
    </row>
    <row r="30" spans="1:13" x14ac:dyDescent="0.2">
      <c r="A30" t="str">
        <v>New York Giants</v>
      </c>
      <c r="B30">
        <v>1.5906054640542766</v>
      </c>
      <c r="D30" t="s">
        <v>42</v>
      </c>
      <c r="E30" t="s">
        <v>28</v>
      </c>
      <c r="F30" t="s">
        <v>17</v>
      </c>
      <c r="G30" t="s">
        <v>11</v>
      </c>
      <c r="H30">
        <f>NFL2025Results3[[#This Row],[Home Points]]-NFL2025Results3[[#This Row],[Away Points]]</f>
        <v>5</v>
      </c>
      <c r="I30">
        <f>VLOOKUP(NFL2025Results3[[#This Row],[Home Team]],TeamRating,2,FALSE)-VLOOKUP(NFL2025Results3[[#This Row],[Away Team]],TeamRating,2,FALSE)+HomeEdge</f>
        <v>13.276804418551306</v>
      </c>
      <c r="J30">
        <f>(NFL2025Results3[[#This Row],[Home Margin]]-NFL2025Results3[[#This Row],[Home Forecast]])^2</f>
        <v>68.505491382950424</v>
      </c>
      <c r="M30" s="3" t="s">
        <v>54</v>
      </c>
    </row>
    <row r="31" spans="1:13" x14ac:dyDescent="0.2">
      <c r="A31" t="str">
        <v>New York Jets</v>
      </c>
      <c r="B31">
        <v>-6.5047920286771568</v>
      </c>
      <c r="D31" t="s">
        <v>46</v>
      </c>
      <c r="E31" t="s">
        <v>40</v>
      </c>
      <c r="F31" t="s">
        <v>25</v>
      </c>
      <c r="G31" t="s">
        <v>61</v>
      </c>
      <c r="H31">
        <f>NFL2025Results3[[#This Row],[Home Points]]-NFL2025Results3[[#This Row],[Away Points]]</f>
        <v>14</v>
      </c>
      <c r="I31">
        <f>VLOOKUP(NFL2025Results3[[#This Row],[Home Team]],TeamRating,2,FALSE)-VLOOKUP(NFL2025Results3[[#This Row],[Away Team]],TeamRating,2,FALSE)+HomeEdge</f>
        <v>20.099930057630498</v>
      </c>
      <c r="J31">
        <f>(NFL2025Results3[[#This Row],[Home Margin]]-NFL2025Results3[[#This Row],[Home Forecast]])^2</f>
        <v>37.209146707984011</v>
      </c>
      <c r="M31" s="3" t="s">
        <v>31</v>
      </c>
    </row>
    <row r="32" spans="1:13" x14ac:dyDescent="0.2">
      <c r="A32" t="str">
        <v>Philadelphia Eagles</v>
      </c>
      <c r="B32">
        <v>0.61372255355660033</v>
      </c>
      <c r="D32" t="s">
        <v>43</v>
      </c>
      <c r="E32" t="s">
        <v>35</v>
      </c>
      <c r="F32" t="s">
        <v>59</v>
      </c>
      <c r="G32" t="s">
        <v>21</v>
      </c>
      <c r="H32">
        <f>NFL2025Results3[[#This Row],[Home Points]]-NFL2025Results3[[#This Row],[Away Points]]</f>
        <v>14</v>
      </c>
      <c r="I32">
        <f>VLOOKUP(NFL2025Results3[[#This Row],[Home Team]],TeamRating,2,FALSE)-VLOOKUP(NFL2025Results3[[#This Row],[Away Team]],TeamRating,2,FALSE)+HomeEdge</f>
        <v>16.678396989243105</v>
      </c>
      <c r="J32">
        <f>(NFL2025Results3[[#This Row],[Home Margin]]-NFL2025Results3[[#This Row],[Home Forecast]])^2</f>
        <v>7.173810431986527</v>
      </c>
      <c r="M32" s="3" t="s">
        <v>28</v>
      </c>
    </row>
    <row r="33" spans="1:13" x14ac:dyDescent="0.2">
      <c r="A33" t="str">
        <v>Pittsburgh Steelers</v>
      </c>
      <c r="B33">
        <v>-1.2993371388028225</v>
      </c>
      <c r="D33" t="s">
        <v>27</v>
      </c>
      <c r="E33" t="s">
        <v>16</v>
      </c>
      <c r="F33" t="s">
        <v>10</v>
      </c>
      <c r="G33" t="s">
        <v>62</v>
      </c>
      <c r="H33">
        <f>NFL2025Results3[[#This Row],[Home Points]]-NFL2025Results3[[#This Row],[Away Points]]</f>
        <v>5</v>
      </c>
      <c r="I33">
        <f>VLOOKUP(NFL2025Results3[[#This Row],[Home Team]],TeamRating,2,FALSE)-VLOOKUP(NFL2025Results3[[#This Row],[Away Team]],TeamRating,2,FALSE)+HomeEdge</f>
        <v>13.43410478747975</v>
      </c>
      <c r="J33">
        <f>(NFL2025Results3[[#This Row],[Home Margin]]-NFL2025Results3[[#This Row],[Home Forecast]])^2</f>
        <v>71.134123566188848</v>
      </c>
      <c r="M33" s="3" t="s">
        <v>33</v>
      </c>
    </row>
    <row r="34" spans="1:13" x14ac:dyDescent="0.2">
      <c r="A34" t="str">
        <v>San Francisco 49ers</v>
      </c>
      <c r="B34">
        <v>1.0459053362339534</v>
      </c>
      <c r="D34" t="s">
        <v>23</v>
      </c>
      <c r="E34" t="s">
        <v>39</v>
      </c>
      <c r="F34" t="s">
        <v>63</v>
      </c>
      <c r="G34" t="s">
        <v>64</v>
      </c>
      <c r="H34">
        <f>NFL2025Results3[[#This Row],[Home Points]]-NFL2025Results3[[#This Row],[Away Points]]</f>
        <v>1</v>
      </c>
      <c r="I34">
        <f>VLOOKUP(NFL2025Results3[[#This Row],[Home Team]],TeamRating,2,FALSE)-VLOOKUP(NFL2025Results3[[#This Row],[Away Team]],TeamRating,2,FALSE)+HomeEdge</f>
        <v>15.442748057905646</v>
      </c>
      <c r="J34">
        <f>(NFL2025Results3[[#This Row],[Home Margin]]-NFL2025Results3[[#This Row],[Home Forecast]])^2</f>
        <v>208.59297146413732</v>
      </c>
      <c r="M34" s="3" t="s">
        <v>36</v>
      </c>
    </row>
    <row r="35" spans="1:13" x14ac:dyDescent="0.2">
      <c r="A35" t="str">
        <v>Seattle Seahawks</v>
      </c>
      <c r="B35">
        <v>5.5571307753720181</v>
      </c>
      <c r="D35" t="s">
        <v>4</v>
      </c>
      <c r="E35" t="s">
        <v>9</v>
      </c>
      <c r="F35" t="s">
        <v>7</v>
      </c>
      <c r="G35" t="s">
        <v>21</v>
      </c>
      <c r="H35">
        <f>NFL2025Results3[[#This Row],[Home Points]]-NFL2025Results3[[#This Row],[Away Points]]</f>
        <v>3</v>
      </c>
      <c r="I35">
        <f>VLOOKUP(NFL2025Results3[[#This Row],[Home Team]],TeamRating,2,FALSE)-VLOOKUP(NFL2025Results3[[#This Row],[Away Team]],TeamRating,2,FALSE)+HomeEdge</f>
        <v>5.4180221324000692</v>
      </c>
      <c r="J35">
        <f>(NFL2025Results3[[#This Row],[Home Margin]]-NFL2025Results3[[#This Row],[Home Forecast]])^2</f>
        <v>5.8468310327765778</v>
      </c>
      <c r="M35" s="3" t="s">
        <v>4</v>
      </c>
    </row>
    <row r="36" spans="1:13" x14ac:dyDescent="0.2">
      <c r="A36" t="str">
        <v>Tampa Bay Buccaneers</v>
      </c>
      <c r="B36">
        <v>-1.4716254764312253</v>
      </c>
      <c r="D36" t="s">
        <v>13</v>
      </c>
      <c r="E36" t="s">
        <v>54</v>
      </c>
      <c r="F36" t="s">
        <v>62</v>
      </c>
      <c r="G36" t="s">
        <v>34</v>
      </c>
      <c r="H36">
        <f>NFL2025Results3[[#This Row],[Home Points]]-NFL2025Results3[[#This Row],[Away Points]]</f>
        <v>16</v>
      </c>
      <c r="I36">
        <f>VLOOKUP(NFL2025Results3[[#This Row],[Home Team]],TeamRating,2,FALSE)-VLOOKUP(NFL2025Results3[[#This Row],[Away Team]],TeamRating,2,FALSE)+HomeEdge</f>
        <v>7.0789179721275062</v>
      </c>
      <c r="J36">
        <f>(NFL2025Results3[[#This Row],[Home Margin]]-NFL2025Results3[[#This Row],[Home Forecast]])^2</f>
        <v>79.585704548029611</v>
      </c>
      <c r="M36" s="3" t="s">
        <v>35</v>
      </c>
    </row>
    <row r="37" spans="1:13" x14ac:dyDescent="0.2">
      <c r="A37" t="str">
        <v>Tennessee Titans</v>
      </c>
      <c r="B37">
        <v>-3.1853721319351092</v>
      </c>
      <c r="D37" t="s">
        <v>12</v>
      </c>
      <c r="E37" t="s">
        <v>47</v>
      </c>
      <c r="F37" t="s">
        <v>7</v>
      </c>
      <c r="G37" t="s">
        <v>61</v>
      </c>
      <c r="H37">
        <f>NFL2025Results3[[#This Row],[Home Points]]-NFL2025Results3[[#This Row],[Away Points]]</f>
        <v>1</v>
      </c>
      <c r="I37">
        <f>VLOOKUP(NFL2025Results3[[#This Row],[Home Team]],TeamRating,2,FALSE)-VLOOKUP(NFL2025Results3[[#This Row],[Away Team]],TeamRating,2,FALSE)+HomeEdge</f>
        <v>4.6009396980435548</v>
      </c>
      <c r="J37">
        <f>(NFL2025Results3[[#This Row],[Home Margin]]-NFL2025Results3[[#This Row],[Home Forecast]])^2</f>
        <v>12.966766708946007</v>
      </c>
      <c r="M37" s="3" t="s">
        <v>42</v>
      </c>
    </row>
    <row r="38" spans="1:13" x14ac:dyDescent="0.2">
      <c r="A38" t="str">
        <v>Washington Commanders</v>
      </c>
      <c r="B38">
        <v>-1.4431881585022384</v>
      </c>
      <c r="D38" t="s">
        <v>8</v>
      </c>
      <c r="E38" t="s">
        <v>30</v>
      </c>
      <c r="F38" t="s">
        <v>7</v>
      </c>
      <c r="G38" t="s">
        <v>49</v>
      </c>
      <c r="H38">
        <f>NFL2025Results3[[#This Row],[Home Points]]-NFL2025Results3[[#This Row],[Away Points]]</f>
        <v>11</v>
      </c>
      <c r="I38">
        <f>VLOOKUP(NFL2025Results3[[#This Row],[Home Team]],TeamRating,2,FALSE)-VLOOKUP(NFL2025Results3[[#This Row],[Away Team]],TeamRating,2,FALSE)+HomeEdge</f>
        <v>12.959695412158228</v>
      </c>
      <c r="J38">
        <f>(NFL2025Results3[[#This Row],[Home Margin]]-NFL2025Results3[[#This Row],[Home Forecast]])^2</f>
        <v>3.8404061084340051</v>
      </c>
      <c r="M38" s="3" t="s">
        <v>43</v>
      </c>
    </row>
    <row r="39" spans="1:13" x14ac:dyDescent="0.2">
      <c r="D39" t="s">
        <v>50</v>
      </c>
      <c r="E39" t="s">
        <v>24</v>
      </c>
      <c r="F39" t="s">
        <v>59</v>
      </c>
      <c r="G39" t="s">
        <v>11</v>
      </c>
      <c r="H39">
        <f>NFL2025Results3[[#This Row],[Home Points]]-NFL2025Results3[[#This Row],[Away Points]]</f>
        <v>10</v>
      </c>
      <c r="I39">
        <f>VLOOKUP(NFL2025Results3[[#This Row],[Home Team]],TeamRating,2,FALSE)-VLOOKUP(NFL2025Results3[[#This Row],[Away Team]],TeamRating,2,FALSE)+HomeEdge</f>
        <v>15.202882730459432</v>
      </c>
      <c r="J39">
        <f>(NFL2025Results3[[#This Row],[Home Margin]]-NFL2025Results3[[#This Row],[Home Forecast]])^2</f>
        <v>27.069988706912998</v>
      </c>
      <c r="M39" s="3" t="s">
        <v>12</v>
      </c>
    </row>
    <row r="40" spans="1:13" x14ac:dyDescent="0.2">
      <c r="D40" t="s">
        <v>16</v>
      </c>
      <c r="E40" t="s">
        <v>13</v>
      </c>
      <c r="F40" t="s">
        <v>57</v>
      </c>
      <c r="G40" t="s">
        <v>66</v>
      </c>
      <c r="H40">
        <f>NFL2025Results3[[#This Row],[Home Points]]-NFL2025Results3[[#This Row],[Away Points]]</f>
        <v>30</v>
      </c>
      <c r="I40">
        <f>VLOOKUP(NFL2025Results3[[#This Row],[Home Team]],TeamRating,2,FALSE)-VLOOKUP(NFL2025Results3[[#This Row],[Away Team]],TeamRating,2,FALSE)+HomeEdge</f>
        <v>8.6635183397380029</v>
      </c>
      <c r="J40">
        <f>(NFL2025Results3[[#This Row],[Home Margin]]-NFL2025Results3[[#This Row],[Home Forecast]])^2</f>
        <v>455.24544963869647</v>
      </c>
      <c r="M40" s="3" t="s">
        <v>40</v>
      </c>
    </row>
    <row r="41" spans="1:13" x14ac:dyDescent="0.2">
      <c r="D41" t="s">
        <v>54</v>
      </c>
      <c r="E41" t="s">
        <v>19</v>
      </c>
      <c r="F41" t="s">
        <v>67</v>
      </c>
      <c r="G41" t="s">
        <v>18</v>
      </c>
      <c r="H41">
        <f>NFL2025Results3[[#This Row],[Home Points]]-NFL2025Results3[[#This Row],[Away Points]]</f>
        <v>38</v>
      </c>
      <c r="I41">
        <f>VLOOKUP(NFL2025Results3[[#This Row],[Home Team]],TeamRating,2,FALSE)-VLOOKUP(NFL2025Results3[[#This Row],[Away Team]],TeamRating,2,FALSE)+HomeEdge</f>
        <v>12.096205245681535</v>
      </c>
      <c r="J41">
        <f>(NFL2025Results3[[#This Row],[Home Margin]]-NFL2025Results3[[#This Row],[Home Forecast]])^2</f>
        <v>671.00658267385677</v>
      </c>
      <c r="M41" s="3" t="s">
        <v>32</v>
      </c>
    </row>
    <row r="42" spans="1:13" x14ac:dyDescent="0.2">
      <c r="D42" t="s">
        <v>20</v>
      </c>
      <c r="E42" t="s">
        <v>44</v>
      </c>
      <c r="F42" t="s">
        <v>29</v>
      </c>
      <c r="G42" t="s">
        <v>18</v>
      </c>
      <c r="H42">
        <f>NFL2025Results3[[#This Row],[Home Points]]-NFL2025Results3[[#This Row],[Away Points]]</f>
        <v>3</v>
      </c>
      <c r="I42">
        <f>VLOOKUP(NFL2025Results3[[#This Row],[Home Team]],TeamRating,2,FALSE)-VLOOKUP(NFL2025Results3[[#This Row],[Away Team]],TeamRating,2,FALSE)+HomeEdge</f>
        <v>7.3198637984237003</v>
      </c>
      <c r="J42">
        <f>(NFL2025Results3[[#This Row],[Home Margin]]-NFL2025Results3[[#This Row],[Home Forecast]])^2</f>
        <v>18.66122323693164</v>
      </c>
      <c r="M42" s="3" t="s">
        <v>87</v>
      </c>
    </row>
    <row r="43" spans="1:13" x14ac:dyDescent="0.2">
      <c r="D43" t="s">
        <v>23</v>
      </c>
      <c r="E43" t="s">
        <v>40</v>
      </c>
      <c r="F43" t="s">
        <v>52</v>
      </c>
      <c r="G43" t="s">
        <v>7</v>
      </c>
      <c r="H43">
        <f>NFL2025Results3[[#This Row],[Home Points]]-NFL2025Results3[[#This Row],[Away Points]]</f>
        <v>21</v>
      </c>
      <c r="I43">
        <f>VLOOKUP(NFL2025Results3[[#This Row],[Home Team]],TeamRating,2,FALSE)-VLOOKUP(NFL2025Results3[[#This Row],[Away Team]],TeamRating,2,FALSE)+HomeEdge</f>
        <v>17.482694742037051</v>
      </c>
      <c r="J43">
        <f>(NFL2025Results3[[#This Row],[Home Margin]]-NFL2025Results3[[#This Row],[Home Forecast]])^2</f>
        <v>12.371436277693808</v>
      </c>
    </row>
    <row r="44" spans="1:13" x14ac:dyDescent="0.2">
      <c r="D44" t="s">
        <v>15</v>
      </c>
      <c r="E44" t="s">
        <v>47</v>
      </c>
      <c r="F44" t="s">
        <v>21</v>
      </c>
      <c r="G44" t="s">
        <v>18</v>
      </c>
      <c r="H44">
        <f>NFL2025Results3[[#This Row],[Home Points]]-NFL2025Results3[[#This Row],[Away Points]]</f>
        <v>7</v>
      </c>
      <c r="I44">
        <f>VLOOKUP(NFL2025Results3[[#This Row],[Home Team]],TeamRating,2,FALSE)-VLOOKUP(NFL2025Results3[[#This Row],[Away Team]],TeamRating,2,FALSE)+HomeEdge</f>
        <v>9.55799963435717</v>
      </c>
      <c r="J44">
        <f>(NFL2025Results3[[#This Row],[Home Margin]]-NFL2025Results3[[#This Row],[Home Forecast]])^2</f>
        <v>6.5433621293714159</v>
      </c>
    </row>
    <row r="45" spans="1:13" x14ac:dyDescent="0.2">
      <c r="D45" t="s">
        <v>35</v>
      </c>
      <c r="E45" t="s">
        <v>31</v>
      </c>
      <c r="F45" t="s">
        <v>11</v>
      </c>
      <c r="G45" t="s">
        <v>48</v>
      </c>
      <c r="H45">
        <f>NFL2025Results3[[#This Row],[Home Points]]-NFL2025Results3[[#This Row],[Away Points]]</f>
        <v>7</v>
      </c>
      <c r="I45">
        <f>VLOOKUP(NFL2025Results3[[#This Row],[Home Team]],TeamRating,2,FALSE)-VLOOKUP(NFL2025Results3[[#This Row],[Away Team]],TeamRating,2,FALSE)+HomeEdge</f>
        <v>7.1425929479887413</v>
      </c>
      <c r="J45">
        <f>(NFL2025Results3[[#This Row],[Home Margin]]-NFL2025Results3[[#This Row],[Home Forecast]])^2</f>
        <v>2.0332748816119892E-2</v>
      </c>
    </row>
    <row r="46" spans="1:13" x14ac:dyDescent="0.2">
      <c r="D46" t="s">
        <v>12</v>
      </c>
      <c r="E46" t="s">
        <v>36</v>
      </c>
      <c r="F46" t="s">
        <v>63</v>
      </c>
      <c r="G46" t="s">
        <v>10</v>
      </c>
      <c r="H46">
        <f>NFL2025Results3[[#This Row],[Home Points]]-NFL2025Results3[[#This Row],[Away Points]]</f>
        <v>2</v>
      </c>
      <c r="I46">
        <f>VLOOKUP(NFL2025Results3[[#This Row],[Home Team]],TeamRating,2,FALSE)-VLOOKUP(NFL2025Results3[[#This Row],[Away Team]],TeamRating,2,FALSE)+HomeEdge</f>
        <v>14.855095627314192</v>
      </c>
      <c r="J46">
        <f>(NFL2025Results3[[#This Row],[Home Margin]]-NFL2025Results3[[#This Row],[Home Forecast]])^2</f>
        <v>165.25348358739245</v>
      </c>
    </row>
    <row r="47" spans="1:13" x14ac:dyDescent="0.2">
      <c r="D47" t="s">
        <v>4</v>
      </c>
      <c r="E47" t="s">
        <v>46</v>
      </c>
      <c r="F47" t="s">
        <v>25</v>
      </c>
      <c r="G47" t="s">
        <v>17</v>
      </c>
      <c r="H47">
        <f>NFL2025Results3[[#This Row],[Home Points]]-NFL2025Results3[[#This Row],[Away Points]]</f>
        <v>7</v>
      </c>
      <c r="I47">
        <f>VLOOKUP(NFL2025Results3[[#This Row],[Home Team]],TeamRating,2,FALSE)-VLOOKUP(NFL2025Results3[[#This Row],[Away Team]],TeamRating,2,FALSE)+HomeEdge</f>
        <v>3.3430227779977351</v>
      </c>
      <c r="J47">
        <f>(NFL2025Results3[[#This Row],[Home Margin]]-NFL2025Results3[[#This Row],[Home Forecast]])^2</f>
        <v>13.373482402243402</v>
      </c>
    </row>
    <row r="48" spans="1:13" x14ac:dyDescent="0.2">
      <c r="D48" t="s">
        <v>32</v>
      </c>
      <c r="E48" t="s">
        <v>30</v>
      </c>
      <c r="F48" t="s">
        <v>52</v>
      </c>
      <c r="G48" t="s">
        <v>6</v>
      </c>
      <c r="H48">
        <f>NFL2025Results3[[#This Row],[Home Points]]-NFL2025Results3[[#This Row],[Away Points]]</f>
        <v>17</v>
      </c>
      <c r="I48">
        <f>VLOOKUP(NFL2025Results3[[#This Row],[Home Team]],TeamRating,2,FALSE)-VLOOKUP(NFL2025Results3[[#This Row],[Away Team]],TeamRating,2,FALSE)+HomeEdge</f>
        <v>12.62388766861292</v>
      </c>
      <c r="J48">
        <f>(NFL2025Results3[[#This Row],[Home Margin]]-NFL2025Results3[[#This Row],[Home Forecast]])^2</f>
        <v>19.15035913691807</v>
      </c>
    </row>
    <row r="49" spans="4:10" x14ac:dyDescent="0.2">
      <c r="D49" t="s">
        <v>8</v>
      </c>
      <c r="E49" t="s">
        <v>39</v>
      </c>
      <c r="F49" t="s">
        <v>14</v>
      </c>
      <c r="G49" t="s">
        <v>7</v>
      </c>
      <c r="H49">
        <f>NFL2025Results3[[#This Row],[Home Points]]-NFL2025Results3[[#This Row],[Away Points]]</f>
        <v>3</v>
      </c>
      <c r="I49">
        <f>VLOOKUP(NFL2025Results3[[#This Row],[Home Team]],TeamRating,2,FALSE)-VLOOKUP(NFL2025Results3[[#This Row],[Away Team]],TeamRating,2,FALSE)+HomeEdge</f>
        <v>9.8599741079150363</v>
      </c>
      <c r="J49">
        <f>(NFL2025Results3[[#This Row],[Home Margin]]-NFL2025Results3[[#This Row],[Home Forecast]])^2</f>
        <v>47.059244761264701</v>
      </c>
    </row>
    <row r="50" spans="4:10" x14ac:dyDescent="0.2">
      <c r="D50" t="s">
        <v>43</v>
      </c>
      <c r="E50" t="s">
        <v>28</v>
      </c>
      <c r="F50" t="s">
        <v>68</v>
      </c>
      <c r="G50" t="s">
        <v>29</v>
      </c>
      <c r="H50">
        <f>NFL2025Results3[[#This Row],[Home Points]]-NFL2025Results3[[#This Row],[Away Points]]</f>
        <v>31</v>
      </c>
      <c r="I50">
        <f>VLOOKUP(NFL2025Results3[[#This Row],[Home Team]],TeamRating,2,FALSE)-VLOOKUP(NFL2025Results3[[#This Row],[Away Team]],TeamRating,2,FALSE)+HomeEdge</f>
        <v>17.78802985768937</v>
      </c>
      <c r="J50">
        <f>(NFL2025Results3[[#This Row],[Home Margin]]-NFL2025Results3[[#This Row],[Home Forecast]])^2</f>
        <v>174.55615504130756</v>
      </c>
    </row>
    <row r="51" spans="4:10" x14ac:dyDescent="0.2">
      <c r="D51" t="s">
        <v>55</v>
      </c>
      <c r="E51" t="s">
        <v>5</v>
      </c>
      <c r="F51" t="s">
        <v>59</v>
      </c>
      <c r="G51" t="s">
        <v>48</v>
      </c>
      <c r="H51">
        <f>NFL2025Results3[[#This Row],[Home Points]]-NFL2025Results3[[#This Row],[Away Points]]</f>
        <v>17</v>
      </c>
      <c r="I51">
        <f>VLOOKUP(NFL2025Results3[[#This Row],[Home Team]],TeamRating,2,FALSE)-VLOOKUP(NFL2025Results3[[#This Row],[Away Team]],TeamRating,2,FALSE)+HomeEdge</f>
        <v>9.3954353110493436</v>
      </c>
      <c r="J51">
        <f>(NFL2025Results3[[#This Row],[Home Margin]]-NFL2025Results3[[#This Row],[Home Forecast]])^2</f>
        <v>57.829404108435192</v>
      </c>
    </row>
    <row r="52" spans="4:10" x14ac:dyDescent="0.2">
      <c r="D52" t="s">
        <v>42</v>
      </c>
      <c r="E52" t="s">
        <v>27</v>
      </c>
      <c r="F52" t="s">
        <v>22</v>
      </c>
      <c r="G52" t="s">
        <v>69</v>
      </c>
      <c r="H52">
        <f>NFL2025Results3[[#This Row],[Home Points]]-NFL2025Results3[[#This Row],[Away Points]]</f>
        <v>1</v>
      </c>
      <c r="I52">
        <f>VLOOKUP(NFL2025Results3[[#This Row],[Home Team]],TeamRating,2,FALSE)-VLOOKUP(NFL2025Results3[[#This Row],[Away Team]],TeamRating,2,FALSE)+HomeEdge</f>
        <v>11.032967628841744</v>
      </c>
      <c r="J52">
        <f>(NFL2025Results3[[#This Row],[Home Margin]]-NFL2025Results3[[#This Row],[Home Forecast]])^2</f>
        <v>100.66043944138633</v>
      </c>
    </row>
    <row r="53" spans="4:10" x14ac:dyDescent="0.2">
      <c r="D53" t="s">
        <v>9</v>
      </c>
      <c r="E53" t="s">
        <v>33</v>
      </c>
      <c r="F53" t="s">
        <v>62</v>
      </c>
      <c r="G53" t="s">
        <v>49</v>
      </c>
      <c r="H53">
        <f>NFL2025Results3[[#This Row],[Home Points]]-NFL2025Results3[[#This Row],[Away Points]]</f>
        <v>13</v>
      </c>
      <c r="I53">
        <f>VLOOKUP(NFL2025Results3[[#This Row],[Home Team]],TeamRating,2,FALSE)-VLOOKUP(NFL2025Results3[[#This Row],[Away Team]],TeamRating,2,FALSE)+HomeEdge</f>
        <v>13.248953107238778</v>
      </c>
      <c r="J53">
        <f>(NFL2025Results3[[#This Row],[Home Margin]]-NFL2025Results3[[#This Row],[Home Forecast]])^2</f>
        <v>6.1977649603842527E-2</v>
      </c>
    </row>
    <row r="54" spans="4:10" x14ac:dyDescent="0.2">
      <c r="D54" t="s">
        <v>45</v>
      </c>
      <c r="E54" t="s">
        <v>51</v>
      </c>
      <c r="F54" t="s">
        <v>70</v>
      </c>
      <c r="G54" t="s">
        <v>57</v>
      </c>
      <c r="H54">
        <f>NFL2025Results3[[#This Row],[Home Points]]-NFL2025Results3[[#This Row],[Away Points]]</f>
        <v>8</v>
      </c>
      <c r="I54">
        <f>VLOOKUP(NFL2025Results3[[#This Row],[Home Team]],TeamRating,2,FALSE)-VLOOKUP(NFL2025Results3[[#This Row],[Away Team]],TeamRating,2,FALSE)+HomeEdge</f>
        <v>11.432895120976822</v>
      </c>
      <c r="J54">
        <f>(NFL2025Results3[[#This Row],[Home Margin]]-NFL2025Results3[[#This Row],[Home Forecast]])^2</f>
        <v>11.784768911626466</v>
      </c>
    </row>
    <row r="55" spans="4:10" x14ac:dyDescent="0.2">
      <c r="D55" t="s">
        <v>43</v>
      </c>
      <c r="E55" t="s">
        <v>27</v>
      </c>
      <c r="F55" t="s">
        <v>14</v>
      </c>
      <c r="G55" t="s">
        <v>7</v>
      </c>
      <c r="H55">
        <f>NFL2025Results3[[#This Row],[Home Points]]-NFL2025Results3[[#This Row],[Away Points]]</f>
        <v>3</v>
      </c>
      <c r="I55">
        <f>VLOOKUP(NFL2025Results3[[#This Row],[Home Team]],TeamRating,2,FALSE)-VLOOKUP(NFL2025Results3[[#This Row],[Away Team]],TeamRating,2,FALSE)+HomeEdge</f>
        <v>15.544193067979808</v>
      </c>
      <c r="J55">
        <f>(NFL2025Results3[[#This Row],[Home Margin]]-NFL2025Results3[[#This Row],[Home Forecast]])^2</f>
        <v>157.35677972675268</v>
      </c>
    </row>
    <row r="56" spans="4:10" x14ac:dyDescent="0.2">
      <c r="D56" t="s">
        <v>35</v>
      </c>
      <c r="E56" t="s">
        <v>54</v>
      </c>
      <c r="F56" t="s">
        <v>6</v>
      </c>
      <c r="G56" t="s">
        <v>11</v>
      </c>
      <c r="H56">
        <f>NFL2025Results3[[#This Row],[Home Points]]-NFL2025Results3[[#This Row],[Away Points]]</f>
        <v>3</v>
      </c>
      <c r="I56">
        <f>VLOOKUP(NFL2025Results3[[#This Row],[Home Team]],TeamRating,2,FALSE)-VLOOKUP(NFL2025Results3[[#This Row],[Away Team]],TeamRating,2,FALSE)+HomeEdge</f>
        <v>8.3984790279454451</v>
      </c>
      <c r="J56">
        <f>(NFL2025Results3[[#This Row],[Home Margin]]-NFL2025Results3[[#This Row],[Home Forecast]])^2</f>
        <v>29.143575815166798</v>
      </c>
    </row>
    <row r="57" spans="4:10" x14ac:dyDescent="0.2">
      <c r="D57" t="s">
        <v>13</v>
      </c>
      <c r="E57" t="s">
        <v>32</v>
      </c>
      <c r="F57" t="s">
        <v>37</v>
      </c>
      <c r="G57" t="s">
        <v>10</v>
      </c>
      <c r="H57">
        <f>NFL2025Results3[[#This Row],[Home Points]]-NFL2025Results3[[#This Row],[Away Points]]</f>
        <v>7</v>
      </c>
      <c r="I57">
        <f>VLOOKUP(NFL2025Results3[[#This Row],[Home Team]],TeamRating,2,FALSE)-VLOOKUP(NFL2025Results3[[#This Row],[Away Team]],TeamRating,2,FALSE)+HomeEdge</f>
        <v>8.6462190389497398</v>
      </c>
      <c r="J57">
        <f>(NFL2025Results3[[#This Row],[Home Margin]]-NFL2025Results3[[#This Row],[Home Forecast]])^2</f>
        <v>2.7100371242006047</v>
      </c>
    </row>
    <row r="58" spans="4:10" x14ac:dyDescent="0.2">
      <c r="D58" t="s">
        <v>50</v>
      </c>
      <c r="E58" t="s">
        <v>28</v>
      </c>
      <c r="F58" t="s">
        <v>59</v>
      </c>
      <c r="G58" t="s">
        <v>61</v>
      </c>
      <c r="H58">
        <f>NFL2025Results3[[#This Row],[Home Points]]-NFL2025Results3[[#This Row],[Away Points]]</f>
        <v>12</v>
      </c>
      <c r="I58">
        <f>VLOOKUP(NFL2025Results3[[#This Row],[Home Team]],TeamRating,2,FALSE)-VLOOKUP(NFL2025Results3[[#This Row],[Away Team]],TeamRating,2,FALSE)+HomeEdge</f>
        <v>13.635894023854124</v>
      </c>
      <c r="J58">
        <f>(NFL2025Results3[[#This Row],[Home Margin]]-NFL2025Results3[[#This Row],[Home Forecast]])^2</f>
        <v>2.6761492572816388</v>
      </c>
    </row>
    <row r="59" spans="4:10" x14ac:dyDescent="0.2">
      <c r="D59" t="s">
        <v>31</v>
      </c>
      <c r="E59" t="s">
        <v>16</v>
      </c>
      <c r="F59" t="s">
        <v>71</v>
      </c>
      <c r="G59" t="s">
        <v>29</v>
      </c>
      <c r="H59">
        <f>NFL2025Results3[[#This Row],[Home Points]]-NFL2025Results3[[#This Row],[Away Points]]</f>
        <v>29</v>
      </c>
      <c r="I59">
        <f>VLOOKUP(NFL2025Results3[[#This Row],[Home Team]],TeamRating,2,FALSE)-VLOOKUP(NFL2025Results3[[#This Row],[Away Team]],TeamRating,2,FALSE)+HomeEdge</f>
        <v>14.979236993295979</v>
      </c>
      <c r="J59">
        <f>(NFL2025Results3[[#This Row],[Home Margin]]-NFL2025Results3[[#This Row],[Home Forecast]])^2</f>
        <v>196.58179529015999</v>
      </c>
    </row>
    <row r="60" spans="4:10" x14ac:dyDescent="0.2">
      <c r="D60" t="s">
        <v>45</v>
      </c>
      <c r="E60" t="s">
        <v>20</v>
      </c>
      <c r="F60" t="s">
        <v>37</v>
      </c>
      <c r="G60" t="s">
        <v>18</v>
      </c>
      <c r="H60">
        <f>NFL2025Results3[[#This Row],[Home Points]]-NFL2025Results3[[#This Row],[Away Points]]</f>
        <v>24</v>
      </c>
      <c r="I60">
        <f>VLOOKUP(NFL2025Results3[[#This Row],[Home Team]],TeamRating,2,FALSE)-VLOOKUP(NFL2025Results3[[#This Row],[Away Team]],TeamRating,2,FALSE)+HomeEdge</f>
        <v>16.133862706850749</v>
      </c>
      <c r="J60">
        <f>(NFL2025Results3[[#This Row],[Home Margin]]-NFL2025Results3[[#This Row],[Home Forecast]])^2</f>
        <v>61.87611591467342</v>
      </c>
    </row>
    <row r="61" spans="4:10" x14ac:dyDescent="0.2">
      <c r="D61" t="s">
        <v>47</v>
      </c>
      <c r="E61" t="s">
        <v>40</v>
      </c>
      <c r="F61" t="s">
        <v>17</v>
      </c>
      <c r="G61" t="s">
        <v>66</v>
      </c>
      <c r="H61">
        <f>NFL2025Results3[[#This Row],[Home Points]]-NFL2025Results3[[#This Row],[Away Points]]</f>
        <v>26</v>
      </c>
      <c r="I61">
        <f>VLOOKUP(NFL2025Results3[[#This Row],[Home Team]],TeamRating,2,FALSE)-VLOOKUP(NFL2025Results3[[#This Row],[Away Team]],TeamRating,2,FALSE)+HomeEdge</f>
        <v>16.756665107596852</v>
      </c>
      <c r="J61">
        <f>(NFL2025Results3[[#This Row],[Home Margin]]-NFL2025Results3[[#This Row],[Home Forecast]])^2</f>
        <v>85.439239933117506</v>
      </c>
    </row>
    <row r="62" spans="4:10" x14ac:dyDescent="0.2">
      <c r="D62" t="s">
        <v>33</v>
      </c>
      <c r="E62" t="s">
        <v>8</v>
      </c>
      <c r="F62" t="s">
        <v>11</v>
      </c>
      <c r="G62" t="s">
        <v>56</v>
      </c>
      <c r="H62">
        <f>NFL2025Results3[[#This Row],[Home Points]]-NFL2025Results3[[#This Row],[Away Points]]</f>
        <v>3</v>
      </c>
      <c r="I62">
        <f>VLOOKUP(NFL2025Results3[[#This Row],[Home Team]],TeamRating,2,FALSE)-VLOOKUP(NFL2025Results3[[#This Row],[Away Team]],TeamRating,2,FALSE)+HomeEdge</f>
        <v>12.51991495407947</v>
      </c>
      <c r="J62">
        <f>(NFL2025Results3[[#This Row],[Home Margin]]-NFL2025Results3[[#This Row],[Home Forecast]])^2</f>
        <v>90.628780732905909</v>
      </c>
    </row>
    <row r="63" spans="4:10" x14ac:dyDescent="0.2">
      <c r="D63" t="s">
        <v>4</v>
      </c>
      <c r="E63" t="s">
        <v>12</v>
      </c>
      <c r="F63" t="s">
        <v>59</v>
      </c>
      <c r="G63" t="s">
        <v>72</v>
      </c>
      <c r="H63">
        <f>NFL2025Results3[[#This Row],[Home Points]]-NFL2025Results3[[#This Row],[Away Points]]</f>
        <v>6</v>
      </c>
      <c r="I63">
        <f>VLOOKUP(NFL2025Results3[[#This Row],[Home Team]],TeamRating,2,FALSE)-VLOOKUP(NFL2025Results3[[#This Row],[Away Team]],TeamRating,2,FALSE)+HomeEdge</f>
        <v>11.907277105056087</v>
      </c>
      <c r="J63">
        <f>(NFL2025Results3[[#This Row],[Home Margin]]-NFL2025Results3[[#This Row],[Home Forecast]])^2</f>
        <v>34.895922795919823</v>
      </c>
    </row>
    <row r="64" spans="4:10" x14ac:dyDescent="0.2">
      <c r="D64" t="s">
        <v>46</v>
      </c>
      <c r="E64" t="s">
        <v>23</v>
      </c>
      <c r="F64" t="s">
        <v>10</v>
      </c>
      <c r="G64" t="s">
        <v>7</v>
      </c>
      <c r="H64">
        <f>NFL2025Results3[[#This Row],[Home Points]]-NFL2025Results3[[#This Row],[Away Points]]</f>
        <v>7</v>
      </c>
      <c r="I64">
        <f>VLOOKUP(NFL2025Results3[[#This Row],[Home Team]],TeamRating,2,FALSE)-VLOOKUP(NFL2025Results3[[#This Row],[Away Team]],TeamRating,2,FALSE)+HomeEdge</f>
        <v>12.439164390661709</v>
      </c>
      <c r="J64">
        <f>(NFL2025Results3[[#This Row],[Home Margin]]-NFL2025Results3[[#This Row],[Home Forecast]])^2</f>
        <v>29.584509268642361</v>
      </c>
    </row>
    <row r="65" spans="4:10" x14ac:dyDescent="0.2">
      <c r="D65" t="s">
        <v>15</v>
      </c>
      <c r="E65" t="s">
        <v>42</v>
      </c>
      <c r="F65" t="s">
        <v>17</v>
      </c>
      <c r="G65" t="s">
        <v>11</v>
      </c>
      <c r="H65">
        <f>NFL2025Results3[[#This Row],[Home Points]]-NFL2025Results3[[#This Row],[Away Points]]</f>
        <v>5</v>
      </c>
      <c r="I65">
        <f>VLOOKUP(NFL2025Results3[[#This Row],[Home Team]],TeamRating,2,FALSE)-VLOOKUP(NFL2025Results3[[#This Row],[Away Team]],TeamRating,2,FALSE)+HomeEdge</f>
        <v>12.261458198716698</v>
      </c>
      <c r="J65">
        <f>(NFL2025Results3[[#This Row],[Home Margin]]-NFL2025Results3[[#This Row],[Home Forecast]])^2</f>
        <v>52.728775171709948</v>
      </c>
    </row>
    <row r="66" spans="4:10" x14ac:dyDescent="0.2">
      <c r="D66" t="s">
        <v>55</v>
      </c>
      <c r="E66" t="s">
        <v>30</v>
      </c>
      <c r="F66" t="s">
        <v>72</v>
      </c>
      <c r="G66" t="s">
        <v>6</v>
      </c>
      <c r="H66">
        <f>NFL2025Results3[[#This Row],[Home Points]]-NFL2025Results3[[#This Row],[Away Points]]</f>
        <v>1</v>
      </c>
      <c r="I66">
        <f>VLOOKUP(NFL2025Results3[[#This Row],[Home Team]],TeamRating,2,FALSE)-VLOOKUP(NFL2025Results3[[#This Row],[Away Team]],TeamRating,2,FALSE)+HomeEdge</f>
        <v>12.524474653658118</v>
      </c>
      <c r="J66">
        <f>(NFL2025Results3[[#This Row],[Home Margin]]-NFL2025Results3[[#This Row],[Home Forecast]])^2</f>
        <v>132.81351604280837</v>
      </c>
    </row>
    <row r="67" spans="4:10" x14ac:dyDescent="0.2">
      <c r="D67" t="s">
        <v>9</v>
      </c>
      <c r="E67" t="s">
        <v>51</v>
      </c>
      <c r="F67" t="s">
        <v>60</v>
      </c>
      <c r="G67" t="s">
        <v>7</v>
      </c>
      <c r="H67">
        <f>NFL2025Results3[[#This Row],[Home Points]]-NFL2025Results3[[#This Row],[Away Points]]</f>
        <v>17</v>
      </c>
      <c r="I67">
        <f>VLOOKUP(NFL2025Results3[[#This Row],[Home Team]],TeamRating,2,FALSE)-VLOOKUP(NFL2025Results3[[#This Row],[Away Team]],TeamRating,2,FALSE)+HomeEdge</f>
        <v>12.862210797032485</v>
      </c>
      <c r="J67">
        <f>(NFL2025Results3[[#This Row],[Home Margin]]-NFL2025Results3[[#This Row],[Home Forecast]])^2</f>
        <v>17.121299488194538</v>
      </c>
    </row>
    <row r="68" spans="4:10" x14ac:dyDescent="0.2">
      <c r="D68" t="s">
        <v>44</v>
      </c>
      <c r="E68" t="s">
        <v>5</v>
      </c>
      <c r="F68" t="s">
        <v>53</v>
      </c>
      <c r="G68" t="s">
        <v>53</v>
      </c>
      <c r="H68">
        <f>NFL2025Results3[[#This Row],[Home Points]]-NFL2025Results3[[#This Row],[Away Points]]</f>
        <v>0</v>
      </c>
      <c r="I68">
        <f>VLOOKUP(NFL2025Results3[[#This Row],[Home Team]],TeamRating,2,FALSE)-VLOOKUP(NFL2025Results3[[#This Row],[Away Team]],TeamRating,2,FALSE)+HomeEdge</f>
        <v>10.71648194953759</v>
      </c>
      <c r="J68">
        <f>(NFL2025Results3[[#This Row],[Home Margin]]-NFL2025Results3[[#This Row],[Home Forecast]])^2</f>
        <v>114.84298537476498</v>
      </c>
    </row>
    <row r="69" spans="4:10" x14ac:dyDescent="0.2">
      <c r="D69" t="s">
        <v>24</v>
      </c>
      <c r="E69" t="s">
        <v>36</v>
      </c>
      <c r="F69" t="s">
        <v>10</v>
      </c>
      <c r="G69" t="s">
        <v>11</v>
      </c>
      <c r="H69">
        <f>NFL2025Results3[[#This Row],[Home Points]]-NFL2025Results3[[#This Row],[Away Points]]</f>
        <v>6</v>
      </c>
      <c r="I69">
        <f>VLOOKUP(NFL2025Results3[[#This Row],[Home Team]],TeamRating,2,FALSE)-VLOOKUP(NFL2025Results3[[#This Row],[Away Team]],TeamRating,2,FALSE)+HomeEdge</f>
        <v>12.35076238989102</v>
      </c>
      <c r="J69">
        <f>(NFL2025Results3[[#This Row],[Home Margin]]-NFL2025Results3[[#This Row],[Home Forecast]])^2</f>
        <v>40.332182932854302</v>
      </c>
    </row>
    <row r="70" spans="4:10" x14ac:dyDescent="0.2">
      <c r="D70" t="s">
        <v>39</v>
      </c>
      <c r="E70" t="s">
        <v>19</v>
      </c>
      <c r="F70" t="s">
        <v>64</v>
      </c>
      <c r="G70" t="s">
        <v>65</v>
      </c>
      <c r="H70">
        <f>NFL2025Results3[[#This Row],[Home Points]]-NFL2025Results3[[#This Row],[Away Points]]</f>
        <v>25</v>
      </c>
      <c r="I70">
        <f>VLOOKUP(NFL2025Results3[[#This Row],[Home Team]],TeamRating,2,FALSE)-VLOOKUP(NFL2025Results3[[#This Row],[Away Team]],TeamRating,2,FALSE)+HomeEdge</f>
        <v>10.826666889557835</v>
      </c>
      <c r="J70">
        <f>(NFL2025Results3[[#This Row],[Home Margin]]-NFL2025Results3[[#This Row],[Home Forecast]])^2</f>
        <v>200.88337145955617</v>
      </c>
    </row>
    <row r="71" spans="4:10" x14ac:dyDescent="0.2">
      <c r="D71" t="s">
        <v>42</v>
      </c>
      <c r="E71" t="s">
        <v>46</v>
      </c>
      <c r="F71" t="s">
        <v>17</v>
      </c>
      <c r="G71" t="s">
        <v>14</v>
      </c>
      <c r="H71">
        <f>NFL2025Results3[[#This Row],[Home Points]]-NFL2025Results3[[#This Row],[Away Points]]</f>
        <v>3</v>
      </c>
      <c r="I71">
        <f>VLOOKUP(NFL2025Results3[[#This Row],[Home Team]],TeamRating,2,FALSE)-VLOOKUP(NFL2025Results3[[#This Row],[Away Team]],TeamRating,2,FALSE)+HomeEdge</f>
        <v>3.7752055606750883</v>
      </c>
      <c r="J71">
        <f>(NFL2025Results3[[#This Row],[Home Margin]]-NFL2025Results3[[#This Row],[Home Forecast]])^2</f>
        <v>0.60094366130157795</v>
      </c>
    </row>
    <row r="72" spans="4:10" x14ac:dyDescent="0.2">
      <c r="D72" t="s">
        <v>54</v>
      </c>
      <c r="E72" t="s">
        <v>20</v>
      </c>
      <c r="F72" t="s">
        <v>11</v>
      </c>
      <c r="G72" t="s">
        <v>21</v>
      </c>
      <c r="H72">
        <f>NFL2025Results3[[#This Row],[Home Points]]-NFL2025Results3[[#This Row],[Away Points]]</f>
        <v>4</v>
      </c>
      <c r="I72">
        <f>VLOOKUP(NFL2025Results3[[#This Row],[Home Team]],TeamRating,2,FALSE)-VLOOKUP(NFL2025Results3[[#This Row],[Away Team]],TeamRating,2,FALSE)+HomeEdge</f>
        <v>12.669661795001616</v>
      </c>
      <c r="J72">
        <f>(NFL2025Results3[[#This Row],[Home Margin]]-NFL2025Results3[[#This Row],[Home Forecast]])^2</f>
        <v>75.163035639710642</v>
      </c>
    </row>
    <row r="73" spans="4:10" x14ac:dyDescent="0.2">
      <c r="D73" t="s">
        <v>16</v>
      </c>
      <c r="E73" t="s">
        <v>24</v>
      </c>
      <c r="F73" t="s">
        <v>10</v>
      </c>
      <c r="G73" t="s">
        <v>6</v>
      </c>
      <c r="H73">
        <f>NFL2025Results3[[#This Row],[Home Points]]-NFL2025Results3[[#This Row],[Away Points]]</f>
        <v>3</v>
      </c>
      <c r="I73">
        <f>VLOOKUP(NFL2025Results3[[#This Row],[Home Team]],TeamRating,2,FALSE)-VLOOKUP(NFL2025Results3[[#This Row],[Away Team]],TeamRating,2,FALSE)+HomeEdge</f>
        <v>10.020578858971641</v>
      </c>
      <c r="J73">
        <f>(NFL2025Results3[[#This Row],[Home Margin]]-NFL2025Results3[[#This Row],[Home Forecast]])^2</f>
        <v>49.288527515039547</v>
      </c>
    </row>
    <row r="74" spans="4:10" x14ac:dyDescent="0.2">
      <c r="D74" t="s">
        <v>23</v>
      </c>
      <c r="E74" t="s">
        <v>30</v>
      </c>
      <c r="F74" t="s">
        <v>53</v>
      </c>
      <c r="G74" t="s">
        <v>34</v>
      </c>
      <c r="H74">
        <f>NFL2025Results3[[#This Row],[Home Points]]-NFL2025Results3[[#This Row],[Away Points]]</f>
        <v>34</v>
      </c>
      <c r="I74">
        <f>VLOOKUP(NFL2025Results3[[#This Row],[Home Team]],TeamRating,2,FALSE)-VLOOKUP(NFL2025Results3[[#This Row],[Away Team]],TeamRating,2,FALSE)+HomeEdge</f>
        <v>18.542469362148836</v>
      </c>
      <c r="J74">
        <f>(NFL2025Results3[[#This Row],[Home Margin]]-NFL2025Results3[[#This Row],[Home Forecast]])^2</f>
        <v>238.93525342010741</v>
      </c>
    </row>
    <row r="75" spans="4:10" x14ac:dyDescent="0.2">
      <c r="D75" t="s">
        <v>5</v>
      </c>
      <c r="E75" t="s">
        <v>36</v>
      </c>
      <c r="F75" t="s">
        <v>60</v>
      </c>
      <c r="G75" t="s">
        <v>62</v>
      </c>
      <c r="H75">
        <f>NFL2025Results3[[#This Row],[Home Points]]-NFL2025Results3[[#This Row],[Away Points]]</f>
        <v>15</v>
      </c>
      <c r="I75">
        <f>VLOOKUP(NFL2025Results3[[#This Row],[Home Team]],TeamRating,2,FALSE)-VLOOKUP(NFL2025Results3[[#This Row],[Away Team]],TeamRating,2,FALSE)+HomeEdge</f>
        <v>15.210613694307295</v>
      </c>
      <c r="J75">
        <f>(NFL2025Results3[[#This Row],[Home Margin]]-NFL2025Results3[[#This Row],[Home Forecast]])^2</f>
        <v>4.4358128229766584E-2</v>
      </c>
    </row>
    <row r="76" spans="4:10" x14ac:dyDescent="0.2">
      <c r="D76" t="s">
        <v>39</v>
      </c>
      <c r="E76" t="s">
        <v>4</v>
      </c>
      <c r="F76" t="s">
        <v>11</v>
      </c>
      <c r="G76" t="s">
        <v>21</v>
      </c>
      <c r="H76">
        <f>NFL2025Results3[[#This Row],[Home Points]]-NFL2025Results3[[#This Row],[Away Points]]</f>
        <v>4</v>
      </c>
      <c r="I76">
        <f>VLOOKUP(NFL2025Results3[[#This Row],[Home Team]],TeamRating,2,FALSE)-VLOOKUP(NFL2025Results3[[#This Row],[Away Team]],TeamRating,2,FALSE)+HomeEdge</f>
        <v>8.0627810737079564</v>
      </c>
      <c r="J76">
        <f>(NFL2025Results3[[#This Row],[Home Margin]]-NFL2025Results3[[#This Row],[Home Forecast]])^2</f>
        <v>16.506190052879575</v>
      </c>
    </row>
    <row r="77" spans="4:10" x14ac:dyDescent="0.2">
      <c r="D77" t="s">
        <v>47</v>
      </c>
      <c r="E77" t="s">
        <v>51</v>
      </c>
      <c r="F77" t="s">
        <v>68</v>
      </c>
      <c r="G77" t="s">
        <v>18</v>
      </c>
      <c r="H77">
        <f>NFL2025Results3[[#This Row],[Home Points]]-NFL2025Results3[[#This Row],[Away Points]]</f>
        <v>34</v>
      </c>
      <c r="I77">
        <f>VLOOKUP(NFL2025Results3[[#This Row],[Home Team]],TeamRating,2,FALSE)-VLOOKUP(NFL2025Results3[[#This Row],[Away Team]],TeamRating,2,FALSE)+HomeEdge</f>
        <v>11.593945201401175</v>
      </c>
      <c r="J77">
        <f>(NFL2025Results3[[#This Row],[Home Margin]]-NFL2025Results3[[#This Row],[Home Forecast]])^2</f>
        <v>502.03129163781335</v>
      </c>
    </row>
    <row r="78" spans="4:10" x14ac:dyDescent="0.2">
      <c r="D78" t="s">
        <v>28</v>
      </c>
      <c r="E78" t="s">
        <v>33</v>
      </c>
      <c r="F78" t="s">
        <v>17</v>
      </c>
      <c r="G78" t="s">
        <v>48</v>
      </c>
      <c r="H78">
        <f>NFL2025Results3[[#This Row],[Home Points]]-NFL2025Results3[[#This Row],[Away Points]]</f>
        <v>12</v>
      </c>
      <c r="I78">
        <f>VLOOKUP(NFL2025Results3[[#This Row],[Home Team]],TeamRating,2,FALSE)-VLOOKUP(NFL2025Results3[[#This Row],[Away Team]],TeamRating,2,FALSE)+HomeEdge</f>
        <v>5.8223536037648946</v>
      </c>
      <c r="J78">
        <f>(NFL2025Results3[[#This Row],[Home Margin]]-NFL2025Results3[[#This Row],[Home Forecast]])^2</f>
        <v>38.163314996916583</v>
      </c>
    </row>
    <row r="79" spans="4:10" x14ac:dyDescent="0.2">
      <c r="D79" t="s">
        <v>40</v>
      </c>
      <c r="E79" t="s">
        <v>27</v>
      </c>
      <c r="F79" t="s">
        <v>62</v>
      </c>
      <c r="G79" t="s">
        <v>11</v>
      </c>
      <c r="H79">
        <f>NFL2025Results3[[#This Row],[Home Points]]-NFL2025Results3[[#This Row],[Away Points]]</f>
        <v>1</v>
      </c>
      <c r="I79">
        <f>VLOOKUP(NFL2025Results3[[#This Row],[Home Team]],TeamRating,2,FALSE)-VLOOKUP(NFL2025Results3[[#This Row],[Away Team]],TeamRating,2,FALSE)+HomeEdge</f>
        <v>6.8016901606726821</v>
      </c>
      <c r="J79">
        <f>(NFL2025Results3[[#This Row],[Home Margin]]-NFL2025Results3[[#This Row],[Home Forecast]])^2</f>
        <v>33.659608720446208</v>
      </c>
    </row>
    <row r="80" spans="4:10" x14ac:dyDescent="0.2">
      <c r="D80" t="s">
        <v>12</v>
      </c>
      <c r="E80" t="s">
        <v>43</v>
      </c>
      <c r="F80" t="s">
        <v>70</v>
      </c>
      <c r="G80" t="s">
        <v>73</v>
      </c>
      <c r="H80">
        <f>NFL2025Results3[[#This Row],[Home Points]]-NFL2025Results3[[#This Row],[Away Points]]</f>
        <v>3</v>
      </c>
      <c r="I80">
        <f>VLOOKUP(NFL2025Results3[[#This Row],[Home Team]],TeamRating,2,FALSE)-VLOOKUP(NFL2025Results3[[#This Row],[Away Team]],TeamRating,2,FALSE)+HomeEdge</f>
        <v>2.7931728232650181</v>
      </c>
      <c r="J80">
        <f>(NFL2025Results3[[#This Row],[Home Margin]]-NFL2025Results3[[#This Row],[Home Forecast]])^2</f>
        <v>4.2777481036163419E-2</v>
      </c>
    </row>
    <row r="81" spans="4:10" x14ac:dyDescent="0.2">
      <c r="D81" t="s">
        <v>45</v>
      </c>
      <c r="E81" t="s">
        <v>19</v>
      </c>
      <c r="F81" t="s">
        <v>60</v>
      </c>
      <c r="G81" t="s">
        <v>6</v>
      </c>
      <c r="H81">
        <f>NFL2025Results3[[#This Row],[Home Points]]-NFL2025Results3[[#This Row],[Away Points]]</f>
        <v>13</v>
      </c>
      <c r="I81">
        <f>VLOOKUP(NFL2025Results3[[#This Row],[Home Team]],TeamRating,2,FALSE)-VLOOKUP(NFL2025Results3[[#This Row],[Away Team]],TeamRating,2,FALSE)+HomeEdge</f>
        <v>15.560406157530668</v>
      </c>
      <c r="J81">
        <f>(NFL2025Results3[[#This Row],[Home Margin]]-NFL2025Results3[[#This Row],[Home Forecast]])^2</f>
        <v>6.5556796915209601</v>
      </c>
    </row>
    <row r="82" spans="4:10" x14ac:dyDescent="0.2">
      <c r="D82" t="s">
        <v>32</v>
      </c>
      <c r="E82" t="s">
        <v>8</v>
      </c>
      <c r="F82" t="s">
        <v>10</v>
      </c>
      <c r="G82" t="s">
        <v>18</v>
      </c>
      <c r="H82">
        <f>NFL2025Results3[[#This Row],[Home Points]]-NFL2025Results3[[#This Row],[Away Points]]</f>
        <v>17</v>
      </c>
      <c r="I82">
        <f>VLOOKUP(NFL2025Results3[[#This Row],[Home Team]],TeamRating,2,FALSE)-VLOOKUP(NFL2025Results3[[#This Row],[Away Team]],TeamRating,2,FALSE)+HomeEdge</f>
        <v>9.4861213315229556</v>
      </c>
      <c r="J82">
        <f>(NFL2025Results3[[#This Row],[Home Margin]]-NFL2025Results3[[#This Row],[Home Forecast]])^2</f>
        <v>56.458372644594363</v>
      </c>
    </row>
    <row r="83" spans="4:10" x14ac:dyDescent="0.2">
      <c r="D83" t="s">
        <v>31</v>
      </c>
      <c r="E83" t="s">
        <v>50</v>
      </c>
      <c r="F83" t="s">
        <v>14</v>
      </c>
      <c r="G83" t="s">
        <v>7</v>
      </c>
      <c r="H83">
        <f>NFL2025Results3[[#This Row],[Home Points]]-NFL2025Results3[[#This Row],[Away Points]]</f>
        <v>3</v>
      </c>
      <c r="I83">
        <f>VLOOKUP(NFL2025Results3[[#This Row],[Home Team]],TeamRating,2,FALSE)-VLOOKUP(NFL2025Results3[[#This Row],[Away Team]],TeamRating,2,FALSE)+HomeEdge</f>
        <v>9.7969331218081877</v>
      </c>
      <c r="J83">
        <f>(NFL2025Results3[[#This Row],[Home Margin]]-NFL2025Results3[[#This Row],[Home Forecast]])^2</f>
        <v>46.198299862333194</v>
      </c>
    </row>
    <row r="84" spans="4:10" x14ac:dyDescent="0.2">
      <c r="D84" t="s">
        <v>15</v>
      </c>
      <c r="E84" t="s">
        <v>9</v>
      </c>
      <c r="F84" t="s">
        <v>59</v>
      </c>
      <c r="G84" t="s">
        <v>64</v>
      </c>
      <c r="H84">
        <f>NFL2025Results3[[#This Row],[Home Points]]-NFL2025Results3[[#This Row],[Away Points]]</f>
        <v>3</v>
      </c>
      <c r="I84">
        <f>VLOOKUP(NFL2025Results3[[#This Row],[Home Team]],TeamRating,2,FALSE)-VLOOKUP(NFL2025Results3[[#This Row],[Away Team]],TeamRating,2,FALSE)+HomeEdge</f>
        <v>8.2897340387258573</v>
      </c>
      <c r="J84">
        <f>(NFL2025Results3[[#This Row],[Home Margin]]-NFL2025Results3[[#This Row],[Home Forecast]])^2</f>
        <v>27.981286200454971</v>
      </c>
    </row>
    <row r="85" spans="4:10" x14ac:dyDescent="0.2">
      <c r="D85" t="s">
        <v>33</v>
      </c>
      <c r="E85" t="s">
        <v>4</v>
      </c>
      <c r="F85" t="s">
        <v>37</v>
      </c>
      <c r="G85" t="s">
        <v>21</v>
      </c>
      <c r="H85">
        <f>NFL2025Results3[[#This Row],[Home Points]]-NFL2025Results3[[#This Row],[Away Points]]</f>
        <v>17</v>
      </c>
      <c r="I85">
        <f>VLOOKUP(NFL2025Results3[[#This Row],[Home Team]],TeamRating,2,FALSE)-VLOOKUP(NFL2025Results3[[#This Row],[Away Team]],TeamRating,2,FALSE)+HomeEdge</f>
        <v>10.798811985565939</v>
      </c>
      <c r="J85">
        <f>(NFL2025Results3[[#This Row],[Home Margin]]-NFL2025Results3[[#This Row],[Home Forecast]])^2</f>
        <v>38.454732790360652</v>
      </c>
    </row>
    <row r="86" spans="4:10" x14ac:dyDescent="0.2">
      <c r="D86" t="s">
        <v>39</v>
      </c>
      <c r="E86" t="s">
        <v>36</v>
      </c>
      <c r="F86" t="s">
        <v>29</v>
      </c>
      <c r="G86" t="s">
        <v>74</v>
      </c>
      <c r="H86">
        <f>NFL2025Results3[[#This Row],[Home Points]]-NFL2025Results3[[#This Row],[Away Points]]</f>
        <v>2</v>
      </c>
      <c r="I86">
        <f>VLOOKUP(NFL2025Results3[[#This Row],[Home Team]],TeamRating,2,FALSE)-VLOOKUP(NFL2025Results3[[#This Row],[Away Team]],TeamRating,2,FALSE)+HomeEdge</f>
        <v>15.181295655941714</v>
      </c>
      <c r="J86">
        <f>(NFL2025Results3[[#This Row],[Home Margin]]-NFL2025Results3[[#This Row],[Home Forecast]])^2</f>
        <v>173.74655516934789</v>
      </c>
    </row>
    <row r="87" spans="4:10" x14ac:dyDescent="0.2">
      <c r="D87" t="s">
        <v>16</v>
      </c>
      <c r="E87" t="s">
        <v>5</v>
      </c>
      <c r="F87" t="s">
        <v>57</v>
      </c>
      <c r="G87" t="s">
        <v>10</v>
      </c>
      <c r="H87">
        <f>NFL2025Results3[[#This Row],[Home Points]]-NFL2025Results3[[#This Row],[Away Points]]</f>
        <v>3</v>
      </c>
      <c r="I87">
        <f>VLOOKUP(NFL2025Results3[[#This Row],[Home Team]],TeamRating,2,FALSE)-VLOOKUP(NFL2025Results3[[#This Row],[Away Team]],TeamRating,2,FALSE)+HomeEdge</f>
        <v>7.1607275545553666</v>
      </c>
      <c r="J87">
        <f>(NFL2025Results3[[#This Row],[Home Margin]]-NFL2025Results3[[#This Row],[Home Forecast]])^2</f>
        <v>17.311653783236281</v>
      </c>
    </row>
    <row r="88" spans="4:10" x14ac:dyDescent="0.2">
      <c r="D88" t="s">
        <v>35</v>
      </c>
      <c r="E88" t="s">
        <v>20</v>
      </c>
      <c r="F88" t="s">
        <v>14</v>
      </c>
      <c r="G88" t="s">
        <v>49</v>
      </c>
      <c r="H88">
        <f>NFL2025Results3[[#This Row],[Home Points]]-NFL2025Results3[[#This Row],[Away Points]]</f>
        <v>14</v>
      </c>
      <c r="I88">
        <f>VLOOKUP(NFL2025Results3[[#This Row],[Home Team]],TeamRating,2,FALSE)-VLOOKUP(NFL2025Results3[[#This Row],[Away Team]],TeamRating,2,FALSE)+HomeEdge</f>
        <v>11.246211747878798</v>
      </c>
      <c r="J88">
        <f>(NFL2025Results3[[#This Row],[Home Margin]]-NFL2025Results3[[#This Row],[Home Forecast]])^2</f>
        <v>7.5833497375207459</v>
      </c>
    </row>
    <row r="89" spans="4:10" x14ac:dyDescent="0.2">
      <c r="D89" t="s">
        <v>23</v>
      </c>
      <c r="E89" t="s">
        <v>27</v>
      </c>
      <c r="F89" t="s">
        <v>59</v>
      </c>
      <c r="G89" t="s">
        <v>10</v>
      </c>
      <c r="H89">
        <f>NFL2025Results3[[#This Row],[Home Points]]-NFL2025Results3[[#This Row],[Away Points]]</f>
        <v>4</v>
      </c>
      <c r="I89">
        <f>VLOOKUP(NFL2025Results3[[#This Row],[Home Team]],TeamRating,2,FALSE)-VLOOKUP(NFL2025Results3[[#This Row],[Away Team]],TeamRating,2,FALSE)+HomeEdge</f>
        <v>14.46245582764147</v>
      </c>
      <c r="J89">
        <f>(NFL2025Results3[[#This Row],[Home Margin]]-NFL2025Results3[[#This Row],[Home Forecast]])^2</f>
        <v>109.46298194534896</v>
      </c>
    </row>
    <row r="90" spans="4:10" x14ac:dyDescent="0.2">
      <c r="D90" t="s">
        <v>43</v>
      </c>
      <c r="E90" t="s">
        <v>15</v>
      </c>
      <c r="F90" t="s">
        <v>7</v>
      </c>
      <c r="G90" t="s">
        <v>41</v>
      </c>
      <c r="H90">
        <f>NFL2025Results3[[#This Row],[Home Points]]-NFL2025Results3[[#This Row],[Away Points]]</f>
        <v>8</v>
      </c>
      <c r="I90">
        <f>VLOOKUP(NFL2025Results3[[#This Row],[Home Team]],TeamRating,2,FALSE)-VLOOKUP(NFL2025Results3[[#This Row],[Away Team]],TeamRating,2,FALSE)+HomeEdge</f>
        <v>11.89362539055789</v>
      </c>
      <c r="J90">
        <f>(NFL2025Results3[[#This Row],[Home Margin]]-NFL2025Results3[[#This Row],[Home Forecast]])^2</f>
        <v>15.160318681997083</v>
      </c>
    </row>
    <row r="91" spans="4:10" x14ac:dyDescent="0.2">
      <c r="D91" t="s">
        <v>8</v>
      </c>
      <c r="E91" t="s">
        <v>24</v>
      </c>
      <c r="F91" t="s">
        <v>63</v>
      </c>
      <c r="G91" t="s">
        <v>10</v>
      </c>
      <c r="H91">
        <f>NFL2025Results3[[#This Row],[Home Points]]-NFL2025Results3[[#This Row],[Away Points]]</f>
        <v>2</v>
      </c>
      <c r="I91">
        <f>VLOOKUP(NFL2025Results3[[#This Row],[Home Team]],TeamRating,2,FALSE)-VLOOKUP(NFL2025Results3[[#This Row],[Away Team]],TeamRating,2,FALSE)+HomeEdge</f>
        <v>12.69050737396573</v>
      </c>
      <c r="J91">
        <f>(NFL2025Results3[[#This Row],[Home Margin]]-NFL2025Results3[[#This Row],[Home Forecast]])^2</f>
        <v>114.28694791281565</v>
      </c>
    </row>
    <row r="92" spans="4:10" x14ac:dyDescent="0.2">
      <c r="D92" t="s">
        <v>31</v>
      </c>
      <c r="E92" t="s">
        <v>28</v>
      </c>
      <c r="F92" t="s">
        <v>72</v>
      </c>
      <c r="G92" t="s">
        <v>61</v>
      </c>
      <c r="H92">
        <f>NFL2025Results3[[#This Row],[Home Points]]-NFL2025Results3[[#This Row],[Away Points]]</f>
        <v>6</v>
      </c>
      <c r="I92">
        <f>VLOOKUP(NFL2025Results3[[#This Row],[Home Team]],TeamRating,2,FALSE)-VLOOKUP(NFL2025Results3[[#This Row],[Away Team]],TeamRating,2,FALSE)+HomeEdge</f>
        <v>13.61089807059405</v>
      </c>
      <c r="J92">
        <f>(NFL2025Results3[[#This Row],[Home Margin]]-NFL2025Results3[[#This Row],[Home Forecast]])^2</f>
        <v>57.925769440972239</v>
      </c>
    </row>
    <row r="93" spans="4:10" x14ac:dyDescent="0.2">
      <c r="D93" t="s">
        <v>46</v>
      </c>
      <c r="E93" t="s">
        <v>51</v>
      </c>
      <c r="F93" t="s">
        <v>21</v>
      </c>
      <c r="G93" t="s">
        <v>65</v>
      </c>
      <c r="H93">
        <f>NFL2025Results3[[#This Row],[Home Points]]-NFL2025Results3[[#This Row],[Away Points]]</f>
        <v>14</v>
      </c>
      <c r="I93">
        <f>VLOOKUP(NFL2025Results3[[#This Row],[Home Team]],TeamRating,2,FALSE)-VLOOKUP(NFL2025Results3[[#This Row],[Away Team]],TeamRating,2,FALSE)+HomeEdge</f>
        <v>14.937210151434821</v>
      </c>
      <c r="J93">
        <f>(NFL2025Results3[[#This Row],[Home Margin]]-NFL2025Results3[[#This Row],[Home Forecast]])^2</f>
        <v>0.87836286795247931</v>
      </c>
    </row>
    <row r="94" spans="4:10" x14ac:dyDescent="0.2">
      <c r="D94" t="s">
        <v>30</v>
      </c>
      <c r="E94" t="s">
        <v>40</v>
      </c>
      <c r="F94" t="s">
        <v>7</v>
      </c>
      <c r="G94" t="s">
        <v>18</v>
      </c>
      <c r="H94">
        <f>NFL2025Results3[[#This Row],[Home Points]]-NFL2025Results3[[#This Row],[Away Points]]</f>
        <v>10</v>
      </c>
      <c r="I94">
        <f>VLOOKUP(NFL2025Results3[[#This Row],[Home Team]],TeamRating,2,FALSE)-VLOOKUP(NFL2025Results3[[#This Row],[Away Team]],TeamRating,2,FALSE)+HomeEdge</f>
        <v>8.7621544549564732</v>
      </c>
      <c r="J94">
        <f>(NFL2025Results3[[#This Row],[Home Margin]]-NFL2025Results3[[#This Row],[Home Forecast]])^2</f>
        <v>1.5322615933841059</v>
      </c>
    </row>
    <row r="95" spans="4:10" x14ac:dyDescent="0.2">
      <c r="D95" t="s">
        <v>44</v>
      </c>
      <c r="E95" t="s">
        <v>19</v>
      </c>
      <c r="F95" t="s">
        <v>10</v>
      </c>
      <c r="G95" t="s">
        <v>56</v>
      </c>
      <c r="H95">
        <f>NFL2025Results3[[#This Row],[Home Points]]-NFL2025Results3[[#This Row],[Away Points]]</f>
        <v>9</v>
      </c>
      <c r="I95">
        <f>VLOOKUP(NFL2025Results3[[#This Row],[Home Team]],TeamRating,2,FALSE)-VLOOKUP(NFL2025Results3[[#This Row],[Away Team]],TeamRating,2,FALSE)+HomeEdge</f>
        <v>11.750537802392742</v>
      </c>
      <c r="J95">
        <f>(NFL2025Results3[[#This Row],[Home Margin]]-NFL2025Results3[[#This Row],[Home Forecast]])^2</f>
        <v>7.5654582023914951</v>
      </c>
    </row>
    <row r="96" spans="4:10" x14ac:dyDescent="0.2">
      <c r="D96" t="s">
        <v>12</v>
      </c>
      <c r="E96" t="s">
        <v>42</v>
      </c>
      <c r="F96" t="s">
        <v>57</v>
      </c>
      <c r="G96" t="s">
        <v>61</v>
      </c>
      <c r="H96">
        <f>NFL2025Results3[[#This Row],[Home Points]]-NFL2025Results3[[#This Row],[Away Points]]</f>
        <v>11</v>
      </c>
      <c r="I96">
        <f>VLOOKUP(NFL2025Results3[[#This Row],[Home Team]],TeamRating,2,FALSE)-VLOOKUP(NFL2025Results3[[#This Row],[Away Team]],TeamRating,2,FALSE)+HomeEdge</f>
        <v>7.3043982624030832</v>
      </c>
      <c r="J96">
        <f>(NFL2025Results3[[#This Row],[Home Margin]]-NFL2025Results3[[#This Row],[Home Forecast]])^2</f>
        <v>13.65747220292935</v>
      </c>
    </row>
    <row r="97" spans="4:10" x14ac:dyDescent="0.2">
      <c r="D97" t="s">
        <v>9</v>
      </c>
      <c r="E97" t="s">
        <v>45</v>
      </c>
      <c r="F97" t="s">
        <v>57</v>
      </c>
      <c r="G97" t="s">
        <v>21</v>
      </c>
      <c r="H97">
        <f>NFL2025Results3[[#This Row],[Home Points]]-NFL2025Results3[[#This Row],[Away Points]]</f>
        <v>13</v>
      </c>
      <c r="I97">
        <f>VLOOKUP(NFL2025Results3[[#This Row],[Home Team]],TeamRating,2,FALSE)-VLOOKUP(NFL2025Results3[[#This Row],[Away Team]],TeamRating,2,FALSE)+HomeEdge</f>
        <v>11.251244751123926</v>
      </c>
      <c r="J97">
        <f>(NFL2025Results3[[#This Row],[Home Margin]]-NFL2025Results3[[#This Row],[Home Forecast]])^2</f>
        <v>3.0581449204716211</v>
      </c>
    </row>
    <row r="98" spans="4:10" x14ac:dyDescent="0.2">
      <c r="D98" t="s">
        <v>13</v>
      </c>
      <c r="E98" t="s">
        <v>50</v>
      </c>
      <c r="F98" t="s">
        <v>6</v>
      </c>
      <c r="G98" t="s">
        <v>48</v>
      </c>
      <c r="H98">
        <f>NFL2025Results3[[#This Row],[Home Points]]-NFL2025Results3[[#This Row],[Away Points]]</f>
        <v>10</v>
      </c>
      <c r="I98">
        <f>VLOOKUP(NFL2025Results3[[#This Row],[Home Team]],TeamRating,2,FALSE)-VLOOKUP(NFL2025Results3[[#This Row],[Away Team]],TeamRating,2,FALSE)+HomeEdge</f>
        <v>5.7980359389107292</v>
      </c>
      <c r="J98">
        <f>(NFL2025Results3[[#This Row],[Home Margin]]-NFL2025Results3[[#This Row],[Home Forecast]])^2</f>
        <v>17.656501970685838</v>
      </c>
    </row>
    <row r="99" spans="4:10" x14ac:dyDescent="0.2">
      <c r="D99" t="s">
        <v>55</v>
      </c>
      <c r="E99" t="s">
        <v>32</v>
      </c>
      <c r="F99" t="s">
        <v>72</v>
      </c>
      <c r="G99" t="s">
        <v>6</v>
      </c>
      <c r="H99">
        <f>NFL2025Results3[[#This Row],[Home Points]]-NFL2025Results3[[#This Row],[Away Points]]</f>
        <v>1</v>
      </c>
      <c r="I99">
        <f>VLOOKUP(NFL2025Results3[[#This Row],[Home Team]],TeamRating,2,FALSE)-VLOOKUP(NFL2025Results3[[#This Row],[Away Team]],TeamRating,2,FALSE)+HomeEdge</f>
        <v>9.7225160601134579</v>
      </c>
      <c r="J99">
        <f>(NFL2025Results3[[#This Row],[Home Margin]]-NFL2025Results3[[#This Row],[Home Forecast]])^2</f>
        <v>76.082286418937201</v>
      </c>
    </row>
    <row r="100" spans="4:10" x14ac:dyDescent="0.2">
      <c r="D100" t="s">
        <v>19</v>
      </c>
      <c r="E100" t="s">
        <v>35</v>
      </c>
      <c r="F100" t="s">
        <v>25</v>
      </c>
      <c r="G100" t="s">
        <v>59</v>
      </c>
      <c r="H100">
        <f>NFL2025Results3[[#This Row],[Home Points]]-NFL2025Results3[[#This Row],[Away Points]]</f>
        <v>2</v>
      </c>
      <c r="I100">
        <f>VLOOKUP(NFL2025Results3[[#This Row],[Home Team]],TeamRating,2,FALSE)-VLOOKUP(NFL2025Results3[[#This Row],[Away Team]],TeamRating,2,FALSE)+HomeEdge</f>
        <v>8.9711029515778051</v>
      </c>
      <c r="J100">
        <f>(NFL2025Results3[[#This Row],[Home Margin]]-NFL2025Results3[[#This Row],[Home Forecast]])^2</f>
        <v>48.596276361496784</v>
      </c>
    </row>
    <row r="101" spans="4:10" x14ac:dyDescent="0.2">
      <c r="D101" t="s">
        <v>46</v>
      </c>
      <c r="E101" t="s">
        <v>15</v>
      </c>
      <c r="F101" t="s">
        <v>73</v>
      </c>
      <c r="G101" t="s">
        <v>75</v>
      </c>
      <c r="H101">
        <f>NFL2025Results3[[#This Row],[Home Points]]-NFL2025Results3[[#This Row],[Away Points]]</f>
        <v>28</v>
      </c>
      <c r="I101">
        <f>VLOOKUP(NFL2025Results3[[#This Row],[Home Team]],TeamRating,2,FALSE)-VLOOKUP(NFL2025Results3[[#This Row],[Away Team]],TeamRating,2,FALSE)+HomeEdge</f>
        <v>13.429123465812999</v>
      </c>
      <c r="J101">
        <f>(NFL2025Results3[[#This Row],[Home Margin]]-NFL2025Results3[[#This Row],[Home Forecast]])^2</f>
        <v>212.31044297452138</v>
      </c>
    </row>
    <row r="102" spans="4:10" x14ac:dyDescent="0.2">
      <c r="D102" t="s">
        <v>55</v>
      </c>
      <c r="E102" t="s">
        <v>28</v>
      </c>
      <c r="F102" t="s">
        <v>17</v>
      </c>
      <c r="G102" t="s">
        <v>48</v>
      </c>
      <c r="H102">
        <f>NFL2025Results3[[#This Row],[Home Points]]-NFL2025Results3[[#This Row],[Away Points]]</f>
        <v>12</v>
      </c>
      <c r="I102">
        <f>VLOOKUP(NFL2025Results3[[#This Row],[Home Team]],TeamRating,2,FALSE)-VLOOKUP(NFL2025Results3[[#This Row],[Away Team]],TeamRating,2,FALSE)+HomeEdge</f>
        <v>10.68829790886031</v>
      </c>
      <c r="J102">
        <f>(NFL2025Results3[[#This Row],[Home Margin]]-NFL2025Results3[[#This Row],[Home Forecast]])^2</f>
        <v>1.7205623759002355</v>
      </c>
    </row>
    <row r="103" spans="4:10" x14ac:dyDescent="0.2">
      <c r="D103" t="s">
        <v>4</v>
      </c>
      <c r="E103" t="s">
        <v>54</v>
      </c>
      <c r="F103" t="s">
        <v>64</v>
      </c>
      <c r="G103" t="s">
        <v>62</v>
      </c>
      <c r="H103">
        <f>NFL2025Results3[[#This Row],[Home Points]]-NFL2025Results3[[#This Row],[Away Points]]</f>
        <v>6</v>
      </c>
      <c r="I103">
        <f>VLOOKUP(NFL2025Results3[[#This Row],[Home Team]],TeamRating,2,FALSE)-VLOOKUP(NFL2025Results3[[#This Row],[Away Team]],TeamRating,2,FALSE)+HomeEdge</f>
        <v>10.311538720304867</v>
      </c>
      <c r="J103">
        <f>(NFL2025Results3[[#This Row],[Home Margin]]-NFL2025Results3[[#This Row],[Home Forecast]])^2</f>
        <v>18.589366136688131</v>
      </c>
    </row>
    <row r="104" spans="4:10" x14ac:dyDescent="0.2">
      <c r="D104" t="s">
        <v>16</v>
      </c>
      <c r="E104" t="s">
        <v>36</v>
      </c>
      <c r="F104" t="s">
        <v>29</v>
      </c>
      <c r="G104" t="s">
        <v>34</v>
      </c>
      <c r="H104">
        <f>NFL2025Results3[[#This Row],[Home Points]]-NFL2025Results3[[#This Row],[Away Points]]</f>
        <v>7</v>
      </c>
      <c r="I104">
        <f>VLOOKUP(NFL2025Results3[[#This Row],[Home Team]],TeamRating,2,FALSE)-VLOOKUP(NFL2025Results3[[#This Row],[Away Team]],TeamRating,2,FALSE)+HomeEdge</f>
        <v>12.5494121737944</v>
      </c>
      <c r="J104">
        <f>(NFL2025Results3[[#This Row],[Home Margin]]-NFL2025Results3[[#This Row],[Home Forecast]])^2</f>
        <v>30.795975474657482</v>
      </c>
    </row>
    <row r="105" spans="4:10" x14ac:dyDescent="0.2">
      <c r="D105" t="s">
        <v>20</v>
      </c>
      <c r="E105" t="s">
        <v>24</v>
      </c>
      <c r="F105" t="s">
        <v>59</v>
      </c>
      <c r="G105" t="s">
        <v>34</v>
      </c>
      <c r="H105">
        <f>NFL2025Results3[[#This Row],[Home Points]]-NFL2025Results3[[#This Row],[Away Points]]</f>
        <v>25</v>
      </c>
      <c r="I105">
        <f>VLOOKUP(NFL2025Results3[[#This Row],[Home Team]],TeamRating,2,FALSE)-VLOOKUP(NFL2025Results3[[#This Row],[Away Team]],TeamRating,2,FALSE)+HomeEdge</f>
        <v>11.074267977309301</v>
      </c>
      <c r="J105">
        <f>(NFL2025Results3[[#This Row],[Home Margin]]-NFL2025Results3[[#This Row],[Home Forecast]])^2</f>
        <v>193.92601236779319</v>
      </c>
    </row>
    <row r="106" spans="4:10" x14ac:dyDescent="0.2">
      <c r="D106" t="s">
        <v>9</v>
      </c>
      <c r="E106" t="s">
        <v>30</v>
      </c>
      <c r="F106" t="s">
        <v>59</v>
      </c>
      <c r="G106" t="s">
        <v>66</v>
      </c>
      <c r="H106">
        <f>NFL2025Results3[[#This Row],[Home Points]]-NFL2025Results3[[#This Row],[Away Points]]</f>
        <v>31</v>
      </c>
      <c r="I106">
        <f>VLOOKUP(NFL2025Results3[[#This Row],[Home Team]],TeamRating,2,FALSE)-VLOOKUP(NFL2025Results3[[#This Row],[Away Team]],TeamRating,2,FALSE)+HomeEdge</f>
        <v>19.084705323339954</v>
      </c>
      <c r="J106">
        <f>(NFL2025Results3[[#This Row],[Home Margin]]-NFL2025Results3[[#This Row],[Home Forecast]])^2</f>
        <v>141.97424723164323</v>
      </c>
    </row>
    <row r="107" spans="4:10" x14ac:dyDescent="0.2">
      <c r="D107" t="s">
        <v>31</v>
      </c>
      <c r="E107" t="s">
        <v>40</v>
      </c>
      <c r="F107" t="s">
        <v>59</v>
      </c>
      <c r="G107" t="s">
        <v>29</v>
      </c>
      <c r="H107">
        <f>NFL2025Results3[[#This Row],[Home Points]]-NFL2025Results3[[#This Row],[Away Points]]</f>
        <v>18</v>
      </c>
      <c r="I107">
        <f>VLOOKUP(NFL2025Results3[[#This Row],[Home Team]],TeamRating,2,FALSE)-VLOOKUP(NFL2025Results3[[#This Row],[Away Team]],TeamRating,2,FALSE)+HomeEdge</f>
        <v>14.387300195280069</v>
      </c>
      <c r="J107">
        <f>(NFL2025Results3[[#This Row],[Home Margin]]-NFL2025Results3[[#This Row],[Home Forecast]])^2</f>
        <v>13.051599879023426</v>
      </c>
    </row>
    <row r="108" spans="4:10" x14ac:dyDescent="0.2">
      <c r="D108" t="s">
        <v>23</v>
      </c>
      <c r="E108" t="s">
        <v>8</v>
      </c>
      <c r="F108" t="s">
        <v>70</v>
      </c>
      <c r="G108" t="s">
        <v>6</v>
      </c>
      <c r="H108">
        <f>NFL2025Results3[[#This Row],[Home Points]]-NFL2025Results3[[#This Row],[Away Points]]</f>
        <v>14</v>
      </c>
      <c r="I108">
        <f>VLOOKUP(NFL2025Results3[[#This Row],[Home Team]],TeamRating,2,FALSE)-VLOOKUP(NFL2025Results3[[#This Row],[Away Team]],TeamRating,2,FALSE)+HomeEdge</f>
        <v>15.404703025058872</v>
      </c>
      <c r="J108">
        <f>(NFL2025Results3[[#This Row],[Home Margin]]-NFL2025Results3[[#This Row],[Home Forecast]])^2</f>
        <v>1.9731905886095458</v>
      </c>
    </row>
    <row r="109" spans="4:10" x14ac:dyDescent="0.2">
      <c r="D109" t="s">
        <v>39</v>
      </c>
      <c r="E109" t="s">
        <v>33</v>
      </c>
      <c r="F109" t="s">
        <v>25</v>
      </c>
      <c r="G109" t="s">
        <v>38</v>
      </c>
      <c r="H109">
        <f>NFL2025Results3[[#This Row],[Home Points]]-NFL2025Results3[[#This Row],[Away Points]]</f>
        <v>1</v>
      </c>
      <c r="I109">
        <f>VLOOKUP(NFL2025Results3[[#This Row],[Home Team]],TeamRating,2,FALSE)-VLOOKUP(NFL2025Results3[[#This Row],[Away Team]],TeamRating,2,FALSE)+HomeEdge</f>
        <v>7.0858981632102793</v>
      </c>
      <c r="J109">
        <f>(NFL2025Results3[[#This Row],[Home Margin]]-NFL2025Results3[[#This Row],[Home Forecast]])^2</f>
        <v>37.038156452966248</v>
      </c>
    </row>
    <row r="110" spans="4:10" x14ac:dyDescent="0.2">
      <c r="D110" t="s">
        <v>44</v>
      </c>
      <c r="E110" t="s">
        <v>27</v>
      </c>
      <c r="F110" t="s">
        <v>10</v>
      </c>
      <c r="G110" t="s">
        <v>14</v>
      </c>
      <c r="H110">
        <f>NFL2025Results3[[#This Row],[Home Points]]-NFL2025Results3[[#This Row],[Away Points]]</f>
        <v>4</v>
      </c>
      <c r="I110">
        <f>VLOOKUP(NFL2025Results3[[#This Row],[Home Team]],TeamRating,2,FALSE)-VLOOKUP(NFL2025Results3[[#This Row],[Away Team]],TeamRating,2,FALSE)+HomeEdge</f>
        <v>9.7655077576389946</v>
      </c>
      <c r="J110">
        <f>(NFL2025Results3[[#This Row],[Home Margin]]-NFL2025Results3[[#This Row],[Home Forecast]])^2</f>
        <v>33.241079703395428</v>
      </c>
    </row>
    <row r="111" spans="4:10" x14ac:dyDescent="0.2">
      <c r="D111" t="s">
        <v>5</v>
      </c>
      <c r="E111" t="s">
        <v>32</v>
      </c>
      <c r="F111" t="s">
        <v>68</v>
      </c>
      <c r="G111" t="s">
        <v>62</v>
      </c>
      <c r="H111">
        <f>NFL2025Results3[[#This Row],[Home Points]]-NFL2025Results3[[#This Row],[Away Points]]</f>
        <v>22</v>
      </c>
      <c r="I111">
        <f>VLOOKUP(NFL2025Results3[[#This Row],[Home Team]],TeamRating,2,FALSE)-VLOOKUP(NFL2025Results3[[#This Row],[Away Team]],TeamRating,2,FALSE)+HomeEdge</f>
        <v>10.149009824132376</v>
      </c>
      <c r="J111">
        <f>(NFL2025Results3[[#This Row],[Home Margin]]-NFL2025Results3[[#This Row],[Home Forecast]])^2</f>
        <v>140.44596814851093</v>
      </c>
    </row>
    <row r="112" spans="4:10" x14ac:dyDescent="0.2">
      <c r="D112" t="s">
        <v>42</v>
      </c>
      <c r="E112" t="s">
        <v>13</v>
      </c>
      <c r="F112" t="s">
        <v>7</v>
      </c>
      <c r="G112" t="s">
        <v>18</v>
      </c>
      <c r="H112">
        <f>NFL2025Results3[[#This Row],[Home Points]]-NFL2025Results3[[#This Row],[Away Points]]</f>
        <v>10</v>
      </c>
      <c r="I112">
        <f>VLOOKUP(NFL2025Results3[[#This Row],[Home Team]],TeamRating,2,FALSE)-VLOOKUP(NFL2025Results3[[#This Row],[Away Team]],TeamRating,2,FALSE)+HomeEdge</f>
        <v>13.486732605922976</v>
      </c>
      <c r="J112">
        <f>(NFL2025Results3[[#This Row],[Home Margin]]-NFL2025Results3[[#This Row],[Home Forecast]])^2</f>
        <v>12.157304265206426</v>
      </c>
    </row>
    <row r="113" spans="4:10" x14ac:dyDescent="0.2">
      <c r="D113" t="s">
        <v>45</v>
      </c>
      <c r="E113" t="s">
        <v>12</v>
      </c>
      <c r="F113" t="s">
        <v>6</v>
      </c>
      <c r="G113" t="s">
        <v>49</v>
      </c>
      <c r="H113">
        <f>NFL2025Results3[[#This Row],[Home Points]]-NFL2025Results3[[#This Row],[Away Points]]</f>
        <v>15</v>
      </c>
      <c r="I113">
        <f>VLOOKUP(NFL2025Results3[[#This Row],[Home Team]],TeamRating,2,FALSE)-VLOOKUP(NFL2025Results3[[#This Row],[Away Team]],TeamRating,2,FALSE)+HomeEdge</f>
        <v>14.881868371668617</v>
      </c>
      <c r="J113">
        <f>(NFL2025Results3[[#This Row],[Home Margin]]-NFL2025Results3[[#This Row],[Home Forecast]])^2</f>
        <v>1.3955081612224094E-2</v>
      </c>
    </row>
    <row r="114" spans="4:10" x14ac:dyDescent="0.2">
      <c r="D114" t="s">
        <v>43</v>
      </c>
      <c r="E114" t="s">
        <v>47</v>
      </c>
      <c r="F114" t="s">
        <v>10</v>
      </c>
      <c r="G114" t="s">
        <v>61</v>
      </c>
      <c r="H114">
        <f>NFL2025Results3[[#This Row],[Home Points]]-NFL2025Results3[[#This Row],[Away Points]]</f>
        <v>8</v>
      </c>
      <c r="I114">
        <f>VLOOKUP(NFL2025Results3[[#This Row],[Home Team]],TeamRating,2,FALSE)-VLOOKUP(NFL2025Results3[[#This Row],[Away Team]],TeamRating,2,FALSE)+HomeEdge</f>
        <v>11.629695949846798</v>
      </c>
      <c r="J114">
        <f>(NFL2025Results3[[#This Row],[Home Margin]]-NFL2025Results3[[#This Row],[Home Forecast]])^2</f>
        <v>13.174692688334252</v>
      </c>
    </row>
    <row r="115" spans="4:10" x14ac:dyDescent="0.2">
      <c r="D115" t="s">
        <v>8</v>
      </c>
      <c r="E115" t="s">
        <v>54</v>
      </c>
      <c r="F115" t="s">
        <v>60</v>
      </c>
      <c r="G115" t="s">
        <v>18</v>
      </c>
      <c r="H115">
        <f>NFL2025Results3[[#This Row],[Home Points]]-NFL2025Results3[[#This Row],[Away Points]]</f>
        <v>27</v>
      </c>
      <c r="I115">
        <f>VLOOKUP(NFL2025Results3[[#This Row],[Home Team]],TeamRating,2,FALSE)-VLOOKUP(NFL2025Results3[[#This Row],[Away Team]],TeamRating,2,FALSE)+HomeEdge</f>
        <v>8.5904357517913361</v>
      </c>
      <c r="J115">
        <f>(NFL2025Results3[[#This Row],[Home Margin]]-NFL2025Results3[[#This Row],[Home Forecast]])^2</f>
        <v>338.91205580892262</v>
      </c>
    </row>
    <row r="116" spans="4:10" x14ac:dyDescent="0.2">
      <c r="D116" t="s">
        <v>24</v>
      </c>
      <c r="E116" t="s">
        <v>13</v>
      </c>
      <c r="F116" t="s">
        <v>37</v>
      </c>
      <c r="G116" t="s">
        <v>18</v>
      </c>
      <c r="H116">
        <f>NFL2025Results3[[#This Row],[Home Points]]-NFL2025Results3[[#This Row],[Away Points]]</f>
        <v>24</v>
      </c>
      <c r="I116">
        <f>VLOOKUP(NFL2025Results3[[#This Row],[Home Team]],TeamRating,2,FALSE)-VLOOKUP(NFL2025Results3[[#This Row],[Away Team]],TeamRating,2,FALSE)+HomeEdge</f>
        <v>8.4648685558346237</v>
      </c>
      <c r="J116">
        <f>(NFL2025Results3[[#This Row],[Home Margin]]-NFL2025Results3[[#This Row],[Home Forecast]])^2</f>
        <v>241.3403089874958</v>
      </c>
    </row>
    <row r="117" spans="4:10" x14ac:dyDescent="0.2">
      <c r="D117" t="s">
        <v>50</v>
      </c>
      <c r="E117" t="s">
        <v>16</v>
      </c>
      <c r="F117" t="s">
        <v>53</v>
      </c>
      <c r="G117" t="s">
        <v>49</v>
      </c>
      <c r="H117">
        <f>NFL2025Results3[[#This Row],[Home Points]]-NFL2025Results3[[#This Row],[Away Points]]</f>
        <v>31</v>
      </c>
      <c r="I117">
        <f>VLOOKUP(NFL2025Results3[[#This Row],[Home Team]],TeamRating,2,FALSE)-VLOOKUP(NFL2025Results3[[#This Row],[Away Team]],TeamRating,2,FALSE)+HomeEdge</f>
        <v>15.004232946556053</v>
      </c>
      <c r="J117">
        <f>(NFL2025Results3[[#This Row],[Home Margin]]-NFL2025Results3[[#This Row],[Home Forecast]])^2</f>
        <v>255.86456362804284</v>
      </c>
    </row>
    <row r="118" spans="4:10" x14ac:dyDescent="0.2">
      <c r="D118" t="s">
        <v>51</v>
      </c>
      <c r="E118" t="s">
        <v>55</v>
      </c>
      <c r="F118" t="s">
        <v>57</v>
      </c>
      <c r="G118" t="s">
        <v>22</v>
      </c>
      <c r="H118">
        <f>NFL2025Results3[[#This Row],[Home Points]]-NFL2025Results3[[#This Row],[Away Points]]</f>
        <v>14</v>
      </c>
      <c r="I118">
        <f>VLOOKUP(NFL2025Results3[[#This Row],[Home Team]],TeamRating,2,FALSE)-VLOOKUP(NFL2025Results3[[#This Row],[Away Team]],TeamRating,2,FALSE)+HomeEdge</f>
        <v>13.341878022785872</v>
      </c>
      <c r="J118">
        <f>(NFL2025Results3[[#This Row],[Home Margin]]-NFL2025Results3[[#This Row],[Home Forecast]])^2</f>
        <v>0.43312453689223296</v>
      </c>
    </row>
    <row r="119" spans="4:10" x14ac:dyDescent="0.2">
      <c r="D119" t="s">
        <v>47</v>
      </c>
      <c r="E119" t="s">
        <v>42</v>
      </c>
      <c r="F119" t="s">
        <v>17</v>
      </c>
      <c r="G119" t="s">
        <v>69</v>
      </c>
      <c r="H119">
        <f>NFL2025Results3[[#This Row],[Home Points]]-NFL2025Results3[[#This Row],[Away Points]]</f>
        <v>11</v>
      </c>
      <c r="I119">
        <f>VLOOKUP(NFL2025Results3[[#This Row],[Home Team]],TeamRating,2,FALSE)-VLOOKUP(NFL2025Results3[[#This Row],[Away Team]],TeamRating,2,FALSE)+HomeEdge</f>
        <v>12.525387639427789</v>
      </c>
      <c r="J119">
        <f>(NFL2025Results3[[#This Row],[Home Margin]]-NFL2025Results3[[#This Row],[Home Forecast]])^2</f>
        <v>2.326807450519083</v>
      </c>
    </row>
    <row r="120" spans="4:10" x14ac:dyDescent="0.2">
      <c r="D120" t="s">
        <v>36</v>
      </c>
      <c r="E120" t="s">
        <v>19</v>
      </c>
      <c r="F120" t="s">
        <v>76</v>
      </c>
      <c r="G120" t="s">
        <v>70</v>
      </c>
      <c r="H120">
        <f>NFL2025Results3[[#This Row],[Home Points]]-NFL2025Results3[[#This Row],[Away Points]]</f>
        <v>1</v>
      </c>
      <c r="I120">
        <f>VLOOKUP(NFL2025Results3[[#This Row],[Home Team]],TeamRating,2,FALSE)-VLOOKUP(NFL2025Results3[[#This Row],[Away Team]],TeamRating,2,FALSE)+HomeEdge</f>
        <v>5.4673003086843828</v>
      </c>
      <c r="J120">
        <f>(NFL2025Results3[[#This Row],[Home Margin]]-NFL2025Results3[[#This Row],[Home Forecast]])^2</f>
        <v>19.956772047971583</v>
      </c>
    </row>
    <row r="121" spans="4:10" x14ac:dyDescent="0.2">
      <c r="D121" t="s">
        <v>31</v>
      </c>
      <c r="E121" t="s">
        <v>20</v>
      </c>
      <c r="F121" t="s">
        <v>38</v>
      </c>
      <c r="G121" t="s">
        <v>29</v>
      </c>
      <c r="H121">
        <f>NFL2025Results3[[#This Row],[Home Points]]-NFL2025Results3[[#This Row],[Away Points]]</f>
        <v>19</v>
      </c>
      <c r="I121">
        <f>VLOOKUP(NFL2025Results3[[#This Row],[Home Team]],TeamRating,2,FALSE)-VLOOKUP(NFL2025Results3[[#This Row],[Away Team]],TeamRating,2,FALSE)+HomeEdge</f>
        <v>13.925547874958319</v>
      </c>
      <c r="J121">
        <f>(NFL2025Results3[[#This Row],[Home Margin]]-NFL2025Results3[[#This Row],[Home Forecast]])^2</f>
        <v>25.750064369340031</v>
      </c>
    </row>
    <row r="122" spans="4:10" x14ac:dyDescent="0.2">
      <c r="D122" t="s">
        <v>4</v>
      </c>
      <c r="E122" t="s">
        <v>33</v>
      </c>
      <c r="F122" t="s">
        <v>70</v>
      </c>
      <c r="G122" t="s">
        <v>7</v>
      </c>
      <c r="H122">
        <f>NFL2025Results3[[#This Row],[Home Points]]-NFL2025Results3[[#This Row],[Away Points]]</f>
        <v>18</v>
      </c>
      <c r="I122">
        <f>VLOOKUP(NFL2025Results3[[#This Row],[Home Team]],TeamRating,2,FALSE)-VLOOKUP(NFL2025Results3[[#This Row],[Away Team]],TeamRating,2,FALSE)+HomeEdge</f>
        <v>8.8450461645705847</v>
      </c>
      <c r="J122">
        <f>(NFL2025Results3[[#This Row],[Home Margin]]-NFL2025Results3[[#This Row],[Home Forecast]])^2</f>
        <v>83.813179728843764</v>
      </c>
    </row>
    <row r="123" spans="4:10" x14ac:dyDescent="0.2">
      <c r="D123" t="s">
        <v>12</v>
      </c>
      <c r="E123" t="s">
        <v>28</v>
      </c>
      <c r="F123" t="s">
        <v>14</v>
      </c>
      <c r="G123" t="s">
        <v>65</v>
      </c>
      <c r="H123">
        <f>NFL2025Results3[[#This Row],[Home Points]]-NFL2025Results3[[#This Row],[Away Points]]</f>
        <v>20</v>
      </c>
      <c r="I123">
        <f>VLOOKUP(NFL2025Results3[[#This Row],[Home Team]],TeamRating,2,FALSE)-VLOOKUP(NFL2025Results3[[#This Row],[Away Team]],TeamRating,2,FALSE)+HomeEdge</f>
        <v>10.759273605886127</v>
      </c>
      <c r="J123">
        <f>(NFL2025Results3[[#This Row],[Home Margin]]-NFL2025Results3[[#This Row],[Home Forecast]])^2</f>
        <v>85.391024290872778</v>
      </c>
    </row>
    <row r="124" spans="4:10" x14ac:dyDescent="0.2">
      <c r="D124" t="s">
        <v>23</v>
      </c>
      <c r="E124" t="s">
        <v>40</v>
      </c>
      <c r="F124" t="s">
        <v>70</v>
      </c>
      <c r="G124" t="s">
        <v>48</v>
      </c>
      <c r="H124">
        <f>NFL2025Results3[[#This Row],[Home Points]]-NFL2025Results3[[#This Row],[Away Points]]</f>
        <v>24</v>
      </c>
      <c r="I124">
        <f>VLOOKUP(NFL2025Results3[[#This Row],[Home Team]],TeamRating,2,FALSE)-VLOOKUP(NFL2025Results3[[#This Row],[Away Team]],TeamRating,2,FALSE)+HomeEdge</f>
        <v>17.482694742037051</v>
      </c>
      <c r="J124">
        <f>(NFL2025Results3[[#This Row],[Home Margin]]-NFL2025Results3[[#This Row],[Home Forecast]])^2</f>
        <v>42.475267825471505</v>
      </c>
    </row>
    <row r="125" spans="4:10" x14ac:dyDescent="0.2">
      <c r="D125" t="s">
        <v>39</v>
      </c>
      <c r="E125" t="s">
        <v>5</v>
      </c>
      <c r="F125" t="s">
        <v>68</v>
      </c>
      <c r="G125" t="s">
        <v>6</v>
      </c>
      <c r="H125">
        <f>NFL2025Results3[[#This Row],[Home Points]]-NFL2025Results3[[#This Row],[Away Points]]</f>
        <v>20</v>
      </c>
      <c r="I125">
        <f>VLOOKUP(NFL2025Results3[[#This Row],[Home Team]],TeamRating,2,FALSE)-VLOOKUP(NFL2025Results3[[#This Row],[Away Team]],TeamRating,2,FALSE)+HomeEdge</f>
        <v>9.7926110367026808</v>
      </c>
      <c r="J125">
        <f>(NFL2025Results3[[#This Row],[Home Margin]]-NFL2025Results3[[#This Row],[Home Forecast]])^2</f>
        <v>104.19078944804392</v>
      </c>
    </row>
    <row r="126" spans="4:10" x14ac:dyDescent="0.2">
      <c r="D126" t="s">
        <v>44</v>
      </c>
      <c r="E126" t="s">
        <v>35</v>
      </c>
      <c r="F126" t="s">
        <v>73</v>
      </c>
      <c r="G126" t="s">
        <v>72</v>
      </c>
      <c r="H126">
        <f>NFL2025Results3[[#This Row],[Home Points]]-NFL2025Results3[[#This Row],[Away Points]]</f>
        <v>10</v>
      </c>
      <c r="I126">
        <f>VLOOKUP(NFL2025Results3[[#This Row],[Home Team]],TeamRating,2,FALSE)-VLOOKUP(NFL2025Results3[[#This Row],[Away Team]],TeamRating,2,FALSE)+HomeEdge</f>
        <v>10.899711678902287</v>
      </c>
      <c r="J126">
        <f>(NFL2025Results3[[#This Row],[Home Margin]]-NFL2025Results3[[#This Row],[Home Forecast]])^2</f>
        <v>0.8094811051531724</v>
      </c>
    </row>
    <row r="127" spans="4:10" x14ac:dyDescent="0.2">
      <c r="D127" t="s">
        <v>9</v>
      </c>
      <c r="E127" t="s">
        <v>32</v>
      </c>
      <c r="F127" t="s">
        <v>64</v>
      </c>
      <c r="G127" t="s">
        <v>75</v>
      </c>
      <c r="H127">
        <f>NFL2025Results3[[#This Row],[Home Points]]-NFL2025Results3[[#This Row],[Away Points]]</f>
        <v>21</v>
      </c>
      <c r="I127">
        <f>VLOOKUP(NFL2025Results3[[#This Row],[Home Team]],TeamRating,2,FALSE)-VLOOKUP(NFL2025Results3[[#This Row],[Away Team]],TeamRating,2,FALSE)+HomeEdge</f>
        <v>16.282746729795292</v>
      </c>
      <c r="J127">
        <f>(NFL2025Results3[[#This Row],[Home Margin]]-NFL2025Results3[[#This Row],[Home Forecast]])^2</f>
        <v>22.252478415257009</v>
      </c>
    </row>
    <row r="128" spans="4:10" x14ac:dyDescent="0.2">
      <c r="D128" t="s">
        <v>51</v>
      </c>
      <c r="E128" t="s">
        <v>24</v>
      </c>
      <c r="F128" t="s">
        <v>64</v>
      </c>
      <c r="G128" t="s">
        <v>34</v>
      </c>
      <c r="H128">
        <f>NFL2025Results3[[#This Row],[Home Points]]-NFL2025Results3[[#This Row],[Away Points]]</f>
        <v>22</v>
      </c>
      <c r="I128">
        <f>VLOOKUP(NFL2025Results3[[#This Row],[Home Team]],TeamRating,2,FALSE)-VLOOKUP(NFL2025Results3[[#This Row],[Away Team]],TeamRating,2,FALSE)+HomeEdge</f>
        <v>15.775235563183228</v>
      </c>
      <c r="J128">
        <f>(NFL2025Results3[[#This Row],[Home Margin]]-NFL2025Results3[[#This Row],[Home Forecast]])^2</f>
        <v>38.747692293858819</v>
      </c>
    </row>
    <row r="129" spans="4:10" x14ac:dyDescent="0.2">
      <c r="D129" t="s">
        <v>31</v>
      </c>
      <c r="E129" t="s">
        <v>13</v>
      </c>
      <c r="F129" t="s">
        <v>6</v>
      </c>
      <c r="G129" t="s">
        <v>14</v>
      </c>
      <c r="H129">
        <f>NFL2025Results3[[#This Row],[Home Points]]-NFL2025Results3[[#This Row],[Away Points]]</f>
        <v>1</v>
      </c>
      <c r="I129">
        <f>VLOOKUP(NFL2025Results3[[#This Row],[Home Team]],TeamRating,2,FALSE)-VLOOKUP(NFL2025Results3[[#This Row],[Away Team]],TeamRating,2,FALSE)+HomeEdge</f>
        <v>13.82082625796572</v>
      </c>
      <c r="J129">
        <f>(NFL2025Results3[[#This Row],[Home Margin]]-NFL2025Results3[[#This Row],[Home Forecast]])^2</f>
        <v>164.3735859369433</v>
      </c>
    </row>
    <row r="130" spans="4:10" x14ac:dyDescent="0.2">
      <c r="D130" t="s">
        <v>55</v>
      </c>
      <c r="E130" t="s">
        <v>19</v>
      </c>
      <c r="F130" t="s">
        <v>77</v>
      </c>
      <c r="G130" t="s">
        <v>71</v>
      </c>
      <c r="H130">
        <f>NFL2025Results3[[#This Row],[Home Points]]-NFL2025Results3[[#This Row],[Away Points]]</f>
        <v>5</v>
      </c>
      <c r="I130">
        <f>VLOOKUP(NFL2025Results3[[#This Row],[Home Team]],TeamRating,2,FALSE)-VLOOKUP(NFL2025Results3[[#This Row],[Away Team]],TeamRating,2,FALSE)+HomeEdge</f>
        <v>10.429491163904498</v>
      </c>
      <c r="J130">
        <f>(NFL2025Results3[[#This Row],[Home Margin]]-NFL2025Results3[[#This Row],[Home Forecast]])^2</f>
        <v>29.479374298917016</v>
      </c>
    </row>
    <row r="131" spans="4:10" x14ac:dyDescent="0.2">
      <c r="D131" t="s">
        <v>54</v>
      </c>
      <c r="E131" t="s">
        <v>45</v>
      </c>
      <c r="F131" t="s">
        <v>10</v>
      </c>
      <c r="G131" t="s">
        <v>6</v>
      </c>
      <c r="H131">
        <f>NFL2025Results3[[#This Row],[Home Points]]-NFL2025Results3[[#This Row],[Away Points]]</f>
        <v>3</v>
      </c>
      <c r="I131">
        <f>VLOOKUP(NFL2025Results3[[#This Row],[Home Team]],TeamRating,2,FALSE)-VLOOKUP(NFL2025Results3[[#This Row],[Away Team]],TeamRating,2,FALSE)+HomeEdge</f>
        <v>6.3577281632191278</v>
      </c>
      <c r="J131">
        <f>(NFL2025Results3[[#This Row],[Home Margin]]-NFL2025Results3[[#This Row],[Home Forecast]])^2</f>
        <v>11.274338418074898</v>
      </c>
    </row>
    <row r="132" spans="4:10" x14ac:dyDescent="0.2">
      <c r="D132" t="s">
        <v>16</v>
      </c>
      <c r="E132" t="s">
        <v>44</v>
      </c>
      <c r="F132" t="s">
        <v>22</v>
      </c>
      <c r="G132" t="s">
        <v>29</v>
      </c>
      <c r="H132">
        <f>NFL2025Results3[[#This Row],[Home Points]]-NFL2025Results3[[#This Row],[Away Points]]</f>
        <v>3</v>
      </c>
      <c r="I132">
        <f>VLOOKUP(NFL2025Results3[[#This Row],[Home Team]],TeamRating,2,FALSE)-VLOOKUP(NFL2025Results3[[#This Row],[Away Team]],TeamRating,2,FALSE)+HomeEdge</f>
        <v>6.2661746800860394</v>
      </c>
      <c r="J132">
        <f>(NFL2025Results3[[#This Row],[Home Margin]]-NFL2025Results3[[#This Row],[Home Forecast]])^2</f>
        <v>10.667897040835141</v>
      </c>
    </row>
    <row r="133" spans="4:10" x14ac:dyDescent="0.2">
      <c r="D133" t="s">
        <v>35</v>
      </c>
      <c r="E133" t="s">
        <v>23</v>
      </c>
      <c r="F133" t="s">
        <v>10</v>
      </c>
      <c r="G133" t="s">
        <v>7</v>
      </c>
      <c r="H133">
        <f>NFL2025Results3[[#This Row],[Home Points]]-NFL2025Results3[[#This Row],[Away Points]]</f>
        <v>7</v>
      </c>
      <c r="I133">
        <f>VLOOKUP(NFL2025Results3[[#This Row],[Home Team]],TeamRating,2,FALSE)-VLOOKUP(NFL2025Results3[[#This Row],[Away Team]],TeamRating,2,FALSE)+HomeEdge</f>
        <v>4.0471984012317606</v>
      </c>
      <c r="J133">
        <f>(NFL2025Results3[[#This Row],[Home Margin]]-NFL2025Results3[[#This Row],[Home Forecast]])^2</f>
        <v>8.7190372816882711</v>
      </c>
    </row>
    <row r="134" spans="4:10" x14ac:dyDescent="0.2">
      <c r="D134" t="s">
        <v>39</v>
      </c>
      <c r="E134" t="s">
        <v>47</v>
      </c>
      <c r="F134" t="s">
        <v>56</v>
      </c>
      <c r="G134" t="s">
        <v>69</v>
      </c>
      <c r="H134">
        <f>NFL2025Results3[[#This Row],[Home Points]]-NFL2025Results3[[#This Row],[Away Points]]</f>
        <v>3</v>
      </c>
      <c r="I134">
        <f>VLOOKUP(NFL2025Results3[[#This Row],[Home Team]],TeamRating,2,FALSE)-VLOOKUP(NFL2025Results3[[#This Row],[Away Team]],TeamRating,2,FALSE)+HomeEdge</f>
        <v>4.9271397266710748</v>
      </c>
      <c r="J134">
        <f>(NFL2025Results3[[#This Row],[Home Margin]]-NFL2025Results3[[#This Row],[Home Forecast]])^2</f>
        <v>3.7138675261138649</v>
      </c>
    </row>
    <row r="135" spans="4:10" x14ac:dyDescent="0.2">
      <c r="D135" t="s">
        <v>42</v>
      </c>
      <c r="E135" t="s">
        <v>33</v>
      </c>
      <c r="F135" t="s">
        <v>37</v>
      </c>
      <c r="G135" t="s">
        <v>6</v>
      </c>
      <c r="H135">
        <f>NFL2025Results3[[#This Row],[Home Points]]-NFL2025Results3[[#This Row],[Away Points]]</f>
        <v>10</v>
      </c>
      <c r="I135">
        <f>VLOOKUP(NFL2025Results3[[#This Row],[Home Team]],TeamRating,2,FALSE)-VLOOKUP(NFL2025Results3[[#This Row],[Away Team]],TeamRating,2,FALSE)+HomeEdge</f>
        <v>9.2772289472479379</v>
      </c>
      <c r="J135">
        <f>(NFL2025Results3[[#This Row],[Home Margin]]-NFL2025Results3[[#This Row],[Home Forecast]])^2</f>
        <v>0.52239799469632409</v>
      </c>
    </row>
    <row r="136" spans="4:10" x14ac:dyDescent="0.2">
      <c r="D136" t="s">
        <v>8</v>
      </c>
      <c r="E136" t="s">
        <v>40</v>
      </c>
      <c r="F136" t="s">
        <v>10</v>
      </c>
      <c r="G136" t="s">
        <v>7</v>
      </c>
      <c r="H136">
        <f>NFL2025Results3[[#This Row],[Home Points]]-NFL2025Results3[[#This Row],[Away Points]]</f>
        <v>7</v>
      </c>
      <c r="I136">
        <f>VLOOKUP(NFL2025Results3[[#This Row],[Home Team]],TeamRating,2,FALSE)-VLOOKUP(NFL2025Results3[[#This Row],[Away Team]],TeamRating,2,FALSE)+HomeEdge</f>
        <v>11.899920792046441</v>
      </c>
      <c r="J136">
        <f>(NFL2025Results3[[#This Row],[Home Margin]]-NFL2025Results3[[#This Row],[Home Forecast]])^2</f>
        <v>24.009223768329019</v>
      </c>
    </row>
    <row r="137" spans="4:10" x14ac:dyDescent="0.2">
      <c r="D137" t="s">
        <v>15</v>
      </c>
      <c r="E137" t="s">
        <v>30</v>
      </c>
      <c r="F137" t="s">
        <v>57</v>
      </c>
      <c r="G137" t="s">
        <v>63</v>
      </c>
      <c r="H137">
        <f>NFL2025Results3[[#This Row],[Home Points]]-NFL2025Results3[[#This Row],[Away Points]]</f>
        <v>1</v>
      </c>
      <c r="I137">
        <f>VLOOKUP(NFL2025Results3[[#This Row],[Home Team]],TeamRating,2,FALSE)-VLOOKUP(NFL2025Results3[[#This Row],[Away Team]],TeamRating,2,FALSE)+HomeEdge</f>
        <v>17.552510286997546</v>
      </c>
      <c r="J137">
        <f>(NFL2025Results3[[#This Row],[Home Margin]]-NFL2025Results3[[#This Row],[Home Forecast]])^2</f>
        <v>273.98559680115955</v>
      </c>
    </row>
    <row r="138" spans="4:10" x14ac:dyDescent="0.2">
      <c r="D138" t="s">
        <v>46</v>
      </c>
      <c r="E138" t="s">
        <v>28</v>
      </c>
      <c r="F138" t="s">
        <v>37</v>
      </c>
      <c r="G138" t="s">
        <v>18</v>
      </c>
      <c r="H138">
        <f>NFL2025Results3[[#This Row],[Home Points]]-NFL2025Results3[[#This Row],[Away Points]]</f>
        <v>24</v>
      </c>
      <c r="I138">
        <f>VLOOKUP(NFL2025Results3[[#This Row],[Home Team]],TeamRating,2,FALSE)-VLOOKUP(NFL2025Results3[[#This Row],[Away Team]],TeamRating,2,FALSE)+HomeEdge</f>
        <v>19.323527932944479</v>
      </c>
      <c r="J138">
        <f>(NFL2025Results3[[#This Row],[Home Margin]]-NFL2025Results3[[#This Row],[Home Forecast]])^2</f>
        <v>21.869390993950535</v>
      </c>
    </row>
    <row r="139" spans="4:10" x14ac:dyDescent="0.2">
      <c r="D139" t="s">
        <v>50</v>
      </c>
      <c r="E139" t="s">
        <v>9</v>
      </c>
      <c r="F139" t="s">
        <v>64</v>
      </c>
      <c r="G139" t="s">
        <v>11</v>
      </c>
      <c r="H139">
        <f>NFL2025Results3[[#This Row],[Home Points]]-NFL2025Results3[[#This Row],[Away Points]]</f>
        <v>7</v>
      </c>
      <c r="I139">
        <f>VLOOKUP(NFL2025Results3[[#This Row],[Home Team]],TeamRating,2,FALSE)-VLOOKUP(NFL2025Results3[[#This Row],[Away Team]],TeamRating,2,FALSE)+HomeEdge</f>
        <v>6.2092945203802401</v>
      </c>
      <c r="J139">
        <f>(NFL2025Results3[[#This Row],[Home Margin]]-NFL2025Results3[[#This Row],[Home Forecast]])^2</f>
        <v>0.62521515550071449</v>
      </c>
    </row>
    <row r="140" spans="4:10" x14ac:dyDescent="0.2">
      <c r="D140" t="s">
        <v>43</v>
      </c>
      <c r="E140" t="s">
        <v>32</v>
      </c>
      <c r="F140" t="s">
        <v>70</v>
      </c>
      <c r="G140" t="s">
        <v>48</v>
      </c>
      <c r="H140">
        <f>NFL2025Results3[[#This Row],[Home Points]]-NFL2025Results3[[#This Row],[Away Points]]</f>
        <v>24</v>
      </c>
      <c r="I140">
        <f>VLOOKUP(NFL2025Results3[[#This Row],[Home Team]],TeamRating,2,FALSE)-VLOOKUP(NFL2025Results3[[#This Row],[Away Team]],TeamRating,2,FALSE)+HomeEdge</f>
        <v>16.822248008942516</v>
      </c>
      <c r="J140">
        <f>(NFL2025Results3[[#This Row],[Home Margin]]-NFL2025Results3[[#This Row],[Home Forecast]])^2</f>
        <v>51.520123645129672</v>
      </c>
    </row>
    <row r="141" spans="4:10" x14ac:dyDescent="0.2">
      <c r="D141" t="s">
        <v>27</v>
      </c>
      <c r="E141" t="s">
        <v>5</v>
      </c>
      <c r="F141" t="s">
        <v>10</v>
      </c>
      <c r="G141" t="s">
        <v>21</v>
      </c>
      <c r="H141">
        <f>NFL2025Results3[[#This Row],[Home Points]]-NFL2025Results3[[#This Row],[Away Points]]</f>
        <v>10</v>
      </c>
      <c r="I141">
        <f>VLOOKUP(NFL2025Results3[[#This Row],[Home Team]],TeamRating,2,FALSE)-VLOOKUP(NFL2025Results3[[#This Row],[Away Team]],TeamRating,2,FALSE)+HomeEdge</f>
        <v>10.772903266966857</v>
      </c>
      <c r="J141">
        <f>(NFL2025Results3[[#This Row],[Home Margin]]-NFL2025Results3[[#This Row],[Home Forecast]])^2</f>
        <v>0.59737946008804055</v>
      </c>
    </row>
    <row r="142" spans="4:10" x14ac:dyDescent="0.2">
      <c r="D142" t="s">
        <v>39</v>
      </c>
      <c r="E142" t="s">
        <v>30</v>
      </c>
      <c r="F142" t="s">
        <v>18</v>
      </c>
      <c r="G142" t="s">
        <v>75</v>
      </c>
      <c r="H142">
        <f>NFL2025Results3[[#This Row],[Home Points]]-NFL2025Results3[[#This Row],[Away Points]]</f>
        <v>3</v>
      </c>
      <c r="I142">
        <f>VLOOKUP(NFL2025Results3[[#This Row],[Home Team]],TeamRating,2,FALSE)-VLOOKUP(NFL2025Results3[[#This Row],[Away Team]],TeamRating,2,FALSE)+HomeEdge</f>
        <v>12.921650379311453</v>
      </c>
      <c r="J142">
        <f>(NFL2025Results3[[#This Row],[Home Margin]]-NFL2025Results3[[#This Row],[Home Forecast]])^2</f>
        <v>98.439146249291099</v>
      </c>
    </row>
    <row r="143" spans="4:10" x14ac:dyDescent="0.2">
      <c r="D143" t="s">
        <v>23</v>
      </c>
      <c r="E143" t="s">
        <v>13</v>
      </c>
      <c r="F143" t="s">
        <v>59</v>
      </c>
      <c r="G143" t="s">
        <v>72</v>
      </c>
      <c r="H143">
        <f>NFL2025Results3[[#This Row],[Home Points]]-NFL2025Results3[[#This Row],[Away Points]]</f>
        <v>6</v>
      </c>
      <c r="I143">
        <f>VLOOKUP(NFL2025Results3[[#This Row],[Home Team]],TeamRating,2,FALSE)-VLOOKUP(NFL2025Results3[[#This Row],[Away Team]],TeamRating,2,FALSE)+HomeEdge</f>
        <v>16.916220804722702</v>
      </c>
      <c r="J143">
        <f>(NFL2025Results3[[#This Row],[Home Margin]]-NFL2025Results3[[#This Row],[Home Forecast]])^2</f>
        <v>119.16387665746075</v>
      </c>
    </row>
    <row r="144" spans="4:10" x14ac:dyDescent="0.2">
      <c r="D144" t="s">
        <v>24</v>
      </c>
      <c r="E144" t="s">
        <v>50</v>
      </c>
      <c r="F144" t="s">
        <v>57</v>
      </c>
      <c r="G144" t="s">
        <v>29</v>
      </c>
      <c r="H144">
        <f>NFL2025Results3[[#This Row],[Home Points]]-NFL2025Results3[[#This Row],[Away Points]]</f>
        <v>17</v>
      </c>
      <c r="I144">
        <f>VLOOKUP(NFL2025Results3[[#This Row],[Home Team]],TeamRating,2,FALSE)-VLOOKUP(NFL2025Results3[[#This Row],[Away Team]],TeamRating,2,FALSE)+HomeEdge</f>
        <v>4.4409754196770921</v>
      </c>
      <c r="J144">
        <f>(NFL2025Results3[[#This Row],[Home Margin]]-NFL2025Results3[[#This Row],[Home Forecast]])^2</f>
        <v>157.72909840915503</v>
      </c>
    </row>
    <row r="145" spans="4:10" x14ac:dyDescent="0.2">
      <c r="D145" t="s">
        <v>55</v>
      </c>
      <c r="E145" t="s">
        <v>33</v>
      </c>
      <c r="F145" t="s">
        <v>6</v>
      </c>
      <c r="G145" t="s">
        <v>7</v>
      </c>
      <c r="H145">
        <f>NFL2025Results3[[#This Row],[Home Points]]-NFL2025Results3[[#This Row],[Away Points]]</f>
        <v>4</v>
      </c>
      <c r="I145">
        <f>VLOOKUP(NFL2025Results3[[#This Row],[Home Team]],TeamRating,2,FALSE)-VLOOKUP(NFL2025Results3[[#This Row],[Away Team]],TeamRating,2,FALSE)+HomeEdge</f>
        <v>6.688722437556943</v>
      </c>
      <c r="J145">
        <f>(NFL2025Results3[[#This Row],[Home Margin]]-NFL2025Results3[[#This Row],[Home Forecast]])^2</f>
        <v>7.2292283462221487</v>
      </c>
    </row>
    <row r="146" spans="4:10" x14ac:dyDescent="0.2">
      <c r="D146" t="s">
        <v>36</v>
      </c>
      <c r="E146" t="s">
        <v>20</v>
      </c>
      <c r="F146" t="s">
        <v>10</v>
      </c>
      <c r="G146" t="s">
        <v>7</v>
      </c>
      <c r="H146">
        <f>NFL2025Results3[[#This Row],[Home Points]]-NFL2025Results3[[#This Row],[Away Points]]</f>
        <v>7</v>
      </c>
      <c r="I146">
        <f>VLOOKUP(NFL2025Results3[[#This Row],[Home Team]],TeamRating,2,FALSE)-VLOOKUP(NFL2025Results3[[#This Row],[Away Team]],TeamRating,2,FALSE)+HomeEdge</f>
        <v>6.0407568580044639</v>
      </c>
      <c r="J146">
        <f>(NFL2025Results3[[#This Row],[Home Margin]]-NFL2025Results3[[#This Row],[Home Forecast]])^2</f>
        <v>0.92014740546546814</v>
      </c>
    </row>
    <row r="147" spans="4:10" x14ac:dyDescent="0.2">
      <c r="D147" t="s">
        <v>47</v>
      </c>
      <c r="E147" t="s">
        <v>15</v>
      </c>
      <c r="F147" t="s">
        <v>78</v>
      </c>
      <c r="G147" t="s">
        <v>63</v>
      </c>
      <c r="H147">
        <f>NFL2025Results3[[#This Row],[Home Points]]-NFL2025Results3[[#This Row],[Away Points]]</f>
        <v>7</v>
      </c>
      <c r="I147">
        <f>VLOOKUP(NFL2025Results3[[#This Row],[Home Team]],TeamRating,2,FALSE)-VLOOKUP(NFL2025Results3[[#This Row],[Away Team]],TeamRating,2,FALSE)+HomeEdge</f>
        <v>10.085858515779353</v>
      </c>
      <c r="J147">
        <f>(NFL2025Results3[[#This Row],[Home Margin]]-NFL2025Results3[[#This Row],[Home Forecast]])^2</f>
        <v>9.5225227794079537</v>
      </c>
    </row>
    <row r="148" spans="4:10" x14ac:dyDescent="0.2">
      <c r="D148" t="s">
        <v>51</v>
      </c>
      <c r="E148" t="s">
        <v>54</v>
      </c>
      <c r="F148" t="s">
        <v>10</v>
      </c>
      <c r="G148" t="s">
        <v>61</v>
      </c>
      <c r="H148">
        <f>NFL2025Results3[[#This Row],[Home Points]]-NFL2025Results3[[#This Row],[Away Points]]</f>
        <v>8</v>
      </c>
      <c r="I148">
        <f>VLOOKUP(NFL2025Results3[[#This Row],[Home Team]],TeamRating,2,FALSE)-VLOOKUP(NFL2025Results3[[#This Row],[Away Team]],TeamRating,2,FALSE)+HomeEdge</f>
        <v>11.675163941008835</v>
      </c>
      <c r="J148">
        <f>(NFL2025Results3[[#This Row],[Home Margin]]-NFL2025Results3[[#This Row],[Home Forecast]])^2</f>
        <v>13.506829993291591</v>
      </c>
    </row>
    <row r="149" spans="4:10" x14ac:dyDescent="0.2">
      <c r="D149" t="s">
        <v>28</v>
      </c>
      <c r="E149" t="s">
        <v>16</v>
      </c>
      <c r="F149" t="s">
        <v>21</v>
      </c>
      <c r="G149" t="s">
        <v>75</v>
      </c>
      <c r="H149">
        <f>NFL2025Results3[[#This Row],[Home Points]]-NFL2025Results3[[#This Row],[Away Points]]</f>
        <v>10</v>
      </c>
      <c r="I149">
        <f>VLOOKUP(NFL2025Results3[[#This Row],[Home Team]],TeamRating,2,FALSE)-VLOOKUP(NFL2025Results3[[#This Row],[Away Team]],TeamRating,2,FALSE)+HomeEdge</f>
        <v>11.19026799777019</v>
      </c>
      <c r="J149">
        <f>(NFL2025Results3[[#This Row],[Home Margin]]-NFL2025Results3[[#This Row],[Home Forecast]])^2</f>
        <v>1.4167379065158581</v>
      </c>
    </row>
    <row r="150" spans="4:10" x14ac:dyDescent="0.2">
      <c r="D150" t="s">
        <v>31</v>
      </c>
      <c r="E150" t="s">
        <v>12</v>
      </c>
      <c r="F150" t="s">
        <v>64</v>
      </c>
      <c r="G150" t="s">
        <v>14</v>
      </c>
      <c r="H150">
        <f>NFL2025Results3[[#This Row],[Home Points]]-NFL2025Results3[[#This Row],[Away Points]]</f>
        <v>5</v>
      </c>
      <c r="I150">
        <f>VLOOKUP(NFL2025Results3[[#This Row],[Home Team]],TeamRating,2,FALSE)-VLOOKUP(NFL2025Results3[[#This Row],[Away Team]],TeamRating,2,FALSE)+HomeEdge</f>
        <v>12.673553539776185</v>
      </c>
      <c r="J150">
        <f>(NFL2025Results3[[#This Row],[Home Margin]]-NFL2025Results3[[#This Row],[Home Forecast]])^2</f>
        <v>58.883423927811613</v>
      </c>
    </row>
    <row r="151" spans="4:10" x14ac:dyDescent="0.2">
      <c r="D151" t="s">
        <v>43</v>
      </c>
      <c r="E151" t="s">
        <v>27</v>
      </c>
      <c r="F151" t="s">
        <v>68</v>
      </c>
      <c r="G151" t="s">
        <v>62</v>
      </c>
      <c r="H151">
        <f>NFL2025Results3[[#This Row],[Home Points]]-NFL2025Results3[[#This Row],[Away Points]]</f>
        <v>22</v>
      </c>
      <c r="I151">
        <f>VLOOKUP(NFL2025Results3[[#This Row],[Home Team]],TeamRating,2,FALSE)-VLOOKUP(NFL2025Results3[[#This Row],[Away Team]],TeamRating,2,FALSE)+HomeEdge</f>
        <v>15.544193067979808</v>
      </c>
      <c r="J151">
        <f>(NFL2025Results3[[#This Row],[Home Margin]]-NFL2025Results3[[#This Row],[Home Forecast]])^2</f>
        <v>41.677443143519959</v>
      </c>
    </row>
    <row r="152" spans="4:10" x14ac:dyDescent="0.2">
      <c r="D152" t="s">
        <v>45</v>
      </c>
      <c r="E152" t="s">
        <v>32</v>
      </c>
      <c r="F152" t="s">
        <v>68</v>
      </c>
      <c r="G152" t="s">
        <v>62</v>
      </c>
      <c r="H152">
        <f>NFL2025Results3[[#This Row],[Home Points]]-NFL2025Results3[[#This Row],[Away Points]]</f>
        <v>22</v>
      </c>
      <c r="I152">
        <f>VLOOKUP(NFL2025Results3[[#This Row],[Home Team]],TeamRating,2,FALSE)-VLOOKUP(NFL2025Results3[[#This Row],[Away Team]],TeamRating,2,FALSE)+HomeEdge</f>
        <v>14.85343105373963</v>
      </c>
      <c r="J152">
        <f>(NFL2025Results3[[#This Row],[Home Margin]]-NFL2025Results3[[#This Row],[Home Forecast]])^2</f>
        <v>51.073447703653052</v>
      </c>
    </row>
    <row r="153" spans="4:10" x14ac:dyDescent="0.2">
      <c r="D153" t="s">
        <v>46</v>
      </c>
      <c r="E153" t="s">
        <v>42</v>
      </c>
      <c r="F153" t="s">
        <v>71</v>
      </c>
      <c r="G153" t="s">
        <v>17</v>
      </c>
      <c r="H153">
        <f>NFL2025Results3[[#This Row],[Home Points]]-NFL2025Results3[[#This Row],[Away Points]]</f>
        <v>16</v>
      </c>
      <c r="I153">
        <f>VLOOKUP(NFL2025Results3[[#This Row],[Home Team]],TeamRating,2,FALSE)-VLOOKUP(NFL2025Results3[[#This Row],[Away Team]],TeamRating,2,FALSE)+HomeEdge</f>
        <v>15.868652589461435</v>
      </c>
      <c r="J153">
        <f>(NFL2025Results3[[#This Row],[Home Margin]]-NFL2025Results3[[#This Row],[Home Forecast]])^2</f>
        <v>1.7252142255186283E-2</v>
      </c>
    </row>
    <row r="154" spans="4:10" x14ac:dyDescent="0.2">
      <c r="D154" t="s">
        <v>8</v>
      </c>
      <c r="E154" t="s">
        <v>35</v>
      </c>
      <c r="F154" t="s">
        <v>72</v>
      </c>
      <c r="G154" t="s">
        <v>18</v>
      </c>
      <c r="H154">
        <f>NFL2025Results3[[#This Row],[Home Points]]-NFL2025Results3[[#This Row],[Away Points]]</f>
        <v>15</v>
      </c>
      <c r="I154">
        <f>VLOOKUP(NFL2025Results3[[#This Row],[Home Team]],TeamRating,2,FALSE)-VLOOKUP(NFL2025Results3[[#This Row],[Away Team]],TeamRating,2,FALSE)+HomeEdge</f>
        <v>10.013885798914153</v>
      </c>
      <c r="J154">
        <f>(NFL2025Results3[[#This Row],[Home Margin]]-NFL2025Results3[[#This Row],[Home Forecast]])^2</f>
        <v>24.861334826269957</v>
      </c>
    </row>
    <row r="155" spans="4:10" x14ac:dyDescent="0.2">
      <c r="D155" t="s">
        <v>4</v>
      </c>
      <c r="E155" t="s">
        <v>44</v>
      </c>
      <c r="F155" t="s">
        <v>18</v>
      </c>
      <c r="G155" t="s">
        <v>75</v>
      </c>
      <c r="H155">
        <f>NFL2025Results3[[#This Row],[Home Points]]-NFL2025Results3[[#This Row],[Away Points]]</f>
        <v>3</v>
      </c>
      <c r="I155">
        <f>VLOOKUP(NFL2025Results3[[#This Row],[Home Team]],TeamRating,2,FALSE)-VLOOKUP(NFL2025Results3[[#This Row],[Away Team]],TeamRating,2,FALSE)+HomeEdge</f>
        <v>10.65720616359366</v>
      </c>
      <c r="J155">
        <f>(NFL2025Results3[[#This Row],[Home Margin]]-NFL2025Results3[[#This Row],[Home Forecast]])^2</f>
        <v>58.632806231776733</v>
      </c>
    </row>
    <row r="156" spans="4:10" x14ac:dyDescent="0.2">
      <c r="D156" t="s">
        <v>31</v>
      </c>
      <c r="E156" t="s">
        <v>36</v>
      </c>
      <c r="F156" t="s">
        <v>10</v>
      </c>
      <c r="G156" t="s">
        <v>48</v>
      </c>
      <c r="H156">
        <f>NFL2025Results3[[#This Row],[Home Points]]-NFL2025Results3[[#This Row],[Away Points]]</f>
        <v>13</v>
      </c>
      <c r="I156">
        <f>VLOOKUP(NFL2025Results3[[#This Row],[Home Team]],TeamRating,2,FALSE)-VLOOKUP(NFL2025Results3[[#This Row],[Away Team]],TeamRating,2,FALSE)+HomeEdge</f>
        <v>17.706720092022117</v>
      </c>
      <c r="J156">
        <f>(NFL2025Results3[[#This Row],[Home Margin]]-NFL2025Results3[[#This Row],[Home Forecast]])^2</f>
        <v>22.153214024644683</v>
      </c>
    </row>
    <row r="157" spans="4:10" x14ac:dyDescent="0.2">
      <c r="D157" t="s">
        <v>24</v>
      </c>
      <c r="E157" t="s">
        <v>32</v>
      </c>
      <c r="F157" t="s">
        <v>22</v>
      </c>
      <c r="G157" t="s">
        <v>29</v>
      </c>
      <c r="H157">
        <f>NFL2025Results3[[#This Row],[Home Points]]-NFL2025Results3[[#This Row],[Away Points]]</f>
        <v>3</v>
      </c>
      <c r="I157">
        <f>VLOOKUP(NFL2025Results3[[#This Row],[Home Team]],TeamRating,2,FALSE)-VLOOKUP(NFL2025Results3[[#This Row],[Away Team]],TeamRating,2,FALSE)+HomeEdge</f>
        <v>7.2891585197161017</v>
      </c>
      <c r="J157">
        <f>(NFL2025Results3[[#This Row],[Home Margin]]-NFL2025Results3[[#This Row],[Home Forecast]])^2</f>
        <v>18.396880807253222</v>
      </c>
    </row>
    <row r="158" spans="4:10" x14ac:dyDescent="0.2">
      <c r="D158" t="s">
        <v>16</v>
      </c>
      <c r="E158" t="s">
        <v>13</v>
      </c>
      <c r="F158" t="s">
        <v>57</v>
      </c>
      <c r="G158" t="s">
        <v>10</v>
      </c>
      <c r="H158">
        <f>NFL2025Results3[[#This Row],[Home Points]]-NFL2025Results3[[#This Row],[Away Points]]</f>
        <v>3</v>
      </c>
      <c r="I158">
        <f>VLOOKUP(NFL2025Results3[[#This Row],[Home Team]],TeamRating,2,FALSE)-VLOOKUP(NFL2025Results3[[#This Row],[Away Team]],TeamRating,2,FALSE)+HomeEdge</f>
        <v>8.6635183397380029</v>
      </c>
      <c r="J158">
        <f>(NFL2025Results3[[#This Row],[Home Margin]]-NFL2025Results3[[#This Row],[Home Forecast]])^2</f>
        <v>32.075439984548701</v>
      </c>
    </row>
    <row r="159" spans="4:10" x14ac:dyDescent="0.2">
      <c r="D159" t="s">
        <v>50</v>
      </c>
      <c r="E159" t="s">
        <v>12</v>
      </c>
      <c r="F159" t="s">
        <v>68</v>
      </c>
      <c r="G159" t="s">
        <v>38</v>
      </c>
      <c r="H159">
        <f>NFL2025Results3[[#This Row],[Home Points]]-NFL2025Results3[[#This Row],[Away Points]]</f>
        <v>12</v>
      </c>
      <c r="I159">
        <f>VLOOKUP(NFL2025Results3[[#This Row],[Home Team]],TeamRating,2,FALSE)-VLOOKUP(NFL2025Results3[[#This Row],[Away Team]],TeamRating,2,FALSE)+HomeEdge</f>
        <v>12.698549493036259</v>
      </c>
      <c r="J159">
        <f>(NFL2025Results3[[#This Row],[Home Margin]]-NFL2025Results3[[#This Row],[Home Forecast]])^2</f>
        <v>0.48797139422121416</v>
      </c>
    </row>
    <row r="160" spans="4:10" x14ac:dyDescent="0.2">
      <c r="D160" t="s">
        <v>55</v>
      </c>
      <c r="E160" t="s">
        <v>54</v>
      </c>
      <c r="F160" t="s">
        <v>61</v>
      </c>
      <c r="G160" t="s">
        <v>21</v>
      </c>
      <c r="H160">
        <f>NFL2025Results3[[#This Row],[Home Points]]-NFL2025Results3[[#This Row],[Away Points]]</f>
        <v>2</v>
      </c>
      <c r="I160">
        <f>VLOOKUP(NFL2025Results3[[#This Row],[Home Team]],TeamRating,2,FALSE)-VLOOKUP(NFL2025Results3[[#This Row],[Away Team]],TeamRating,2,FALSE)+HomeEdge</f>
        <v>8.1552149932912243</v>
      </c>
      <c r="J160">
        <f>(NFL2025Results3[[#This Row],[Home Margin]]-NFL2025Results3[[#This Row],[Home Forecast]])^2</f>
        <v>37.886671613637084</v>
      </c>
    </row>
    <row r="161" spans="4:10" x14ac:dyDescent="0.2">
      <c r="D161" t="s">
        <v>35</v>
      </c>
      <c r="E161" t="s">
        <v>19</v>
      </c>
      <c r="F161" t="s">
        <v>37</v>
      </c>
      <c r="G161" t="s">
        <v>41</v>
      </c>
      <c r="H161">
        <f>NFL2025Results3[[#This Row],[Home Points]]-NFL2025Results3[[#This Row],[Away Points]]</f>
        <v>22</v>
      </c>
      <c r="I161">
        <f>VLOOKUP(NFL2025Results3[[#This Row],[Home Team]],TeamRating,2,FALSE)-VLOOKUP(NFL2025Results3[[#This Row],[Away Team]],TeamRating,2,FALSE)+HomeEdge</f>
        <v>10.672755198558718</v>
      </c>
      <c r="J161">
        <f>(NFL2025Results3[[#This Row],[Home Margin]]-NFL2025Results3[[#This Row],[Home Forecast]])^2</f>
        <v>128.30647479177853</v>
      </c>
    </row>
    <row r="162" spans="4:10" x14ac:dyDescent="0.2">
      <c r="D162" t="s">
        <v>44</v>
      </c>
      <c r="E162" t="s">
        <v>33</v>
      </c>
      <c r="F162" t="s">
        <v>10</v>
      </c>
      <c r="G162" t="s">
        <v>7</v>
      </c>
      <c r="H162">
        <f>NFL2025Results3[[#This Row],[Home Points]]-NFL2025Results3[[#This Row],[Away Points]]</f>
        <v>7</v>
      </c>
      <c r="I162">
        <f>VLOOKUP(NFL2025Results3[[#This Row],[Home Team]],TeamRating,2,FALSE)-VLOOKUP(NFL2025Results3[[#This Row],[Away Team]],TeamRating,2,FALSE)+HomeEdge</f>
        <v>8.0097690760451883</v>
      </c>
      <c r="J162">
        <f>(NFL2025Results3[[#This Row],[Home Margin]]-NFL2025Results3[[#This Row],[Home Forecast]])^2</f>
        <v>1.0196335869371533</v>
      </c>
    </row>
    <row r="163" spans="4:10" x14ac:dyDescent="0.2">
      <c r="D163" t="s">
        <v>47</v>
      </c>
      <c r="E163" t="s">
        <v>40</v>
      </c>
      <c r="F163" t="s">
        <v>22</v>
      </c>
      <c r="G163" t="s">
        <v>29</v>
      </c>
      <c r="H163">
        <f>NFL2025Results3[[#This Row],[Home Points]]-NFL2025Results3[[#This Row],[Away Points]]</f>
        <v>3</v>
      </c>
      <c r="I163">
        <f>VLOOKUP(NFL2025Results3[[#This Row],[Home Team]],TeamRating,2,FALSE)-VLOOKUP(NFL2025Results3[[#This Row],[Away Team]],TeamRating,2,FALSE)+HomeEdge</f>
        <v>16.756665107596852</v>
      </c>
      <c r="J163">
        <f>(NFL2025Results3[[#This Row],[Home Margin]]-NFL2025Results3[[#This Row],[Home Forecast]])^2</f>
        <v>189.24583488257272</v>
      </c>
    </row>
    <row r="164" spans="4:10" x14ac:dyDescent="0.2">
      <c r="D164" t="s">
        <v>15</v>
      </c>
      <c r="E164" t="s">
        <v>8</v>
      </c>
      <c r="F164" t="s">
        <v>73</v>
      </c>
      <c r="G164" t="s">
        <v>34</v>
      </c>
      <c r="H164">
        <f>NFL2025Results3[[#This Row],[Home Points]]-NFL2025Results3[[#This Row],[Away Points]]</f>
        <v>29</v>
      </c>
      <c r="I164">
        <f>VLOOKUP(NFL2025Results3[[#This Row],[Home Team]],TeamRating,2,FALSE)-VLOOKUP(NFL2025Results3[[#This Row],[Away Team]],TeamRating,2,FALSE)+HomeEdge</f>
        <v>14.414743949907582</v>
      </c>
      <c r="J164">
        <f>(NFL2025Results3[[#This Row],[Home Margin]]-NFL2025Results3[[#This Row],[Home Forecast]])^2</f>
        <v>212.72969404675749</v>
      </c>
    </row>
    <row r="165" spans="4:10" x14ac:dyDescent="0.2">
      <c r="D165" t="s">
        <v>42</v>
      </c>
      <c r="E165" t="s">
        <v>27</v>
      </c>
      <c r="F165" t="s">
        <v>52</v>
      </c>
      <c r="G165" t="s">
        <v>62</v>
      </c>
      <c r="H165">
        <f>NFL2025Results3[[#This Row],[Home Points]]-NFL2025Results3[[#This Row],[Away Points]]</f>
        <v>19</v>
      </c>
      <c r="I165">
        <f>VLOOKUP(NFL2025Results3[[#This Row],[Home Team]],TeamRating,2,FALSE)-VLOOKUP(NFL2025Results3[[#This Row],[Away Team]],TeamRating,2,FALSE)+HomeEdge</f>
        <v>11.032967628841744</v>
      </c>
      <c r="J165">
        <f>(NFL2025Results3[[#This Row],[Home Margin]]-NFL2025Results3[[#This Row],[Home Forecast]])^2</f>
        <v>63.473604803083539</v>
      </c>
    </row>
    <row r="166" spans="4:10" x14ac:dyDescent="0.2">
      <c r="D166" t="s">
        <v>46</v>
      </c>
      <c r="E166" t="s">
        <v>43</v>
      </c>
      <c r="F166" t="s">
        <v>11</v>
      </c>
      <c r="G166" t="s">
        <v>61</v>
      </c>
      <c r="H166">
        <f>NFL2025Results3[[#This Row],[Home Points]]-NFL2025Results3[[#This Row],[Away Points]]</f>
        <v>2</v>
      </c>
      <c r="I166">
        <f>VLOOKUP(NFL2025Results3[[#This Row],[Home Team]],TeamRating,2,FALSE)-VLOOKUP(NFL2025Results3[[#This Row],[Away Team]],TeamRating,2,FALSE)+HomeEdge</f>
        <v>11.357427150323371</v>
      </c>
      <c r="J166">
        <f>(NFL2025Results3[[#This Row],[Home Margin]]-NFL2025Results3[[#This Row],[Home Forecast]])^2</f>
        <v>87.561442873608968</v>
      </c>
    </row>
    <row r="167" spans="4:10" x14ac:dyDescent="0.2">
      <c r="D167" t="s">
        <v>51</v>
      </c>
      <c r="E167" t="s">
        <v>20</v>
      </c>
      <c r="F167" t="s">
        <v>14</v>
      </c>
      <c r="G167" t="s">
        <v>22</v>
      </c>
      <c r="H167">
        <f>NFL2025Results3[[#This Row],[Home Points]]-NFL2025Results3[[#This Row],[Away Points]]</f>
        <v>7</v>
      </c>
      <c r="I167">
        <f>VLOOKUP(NFL2025Results3[[#This Row],[Home Team]],TeamRating,2,FALSE)-VLOOKUP(NFL2025Results3[[#This Row],[Away Team]],TeamRating,2,FALSE)+HomeEdge</f>
        <v>14.522896660942189</v>
      </c>
      <c r="J167">
        <f>(NFL2025Results3[[#This Row],[Home Margin]]-NFL2025Results3[[#This Row],[Home Forecast]])^2</f>
        <v>56.593974171215137</v>
      </c>
    </row>
    <row r="168" spans="4:10" x14ac:dyDescent="0.2">
      <c r="D168" t="s">
        <v>39</v>
      </c>
      <c r="E168" t="s">
        <v>9</v>
      </c>
      <c r="F168" t="s">
        <v>62</v>
      </c>
      <c r="G168" t="s">
        <v>61</v>
      </c>
      <c r="H168">
        <f>NFL2025Results3[[#This Row],[Home Points]]-NFL2025Results3[[#This Row],[Away Points]]</f>
        <v>3</v>
      </c>
      <c r="I168">
        <f>VLOOKUP(NFL2025Results3[[#This Row],[Home Team]],TeamRating,2,FALSE)-VLOOKUP(NFL2025Results3[[#This Row],[Away Team]],TeamRating,2,FALSE)+HomeEdge</f>
        <v>3.658874131039763</v>
      </c>
      <c r="J168">
        <f>(NFL2025Results3[[#This Row],[Home Margin]]-NFL2025Results3[[#This Row],[Home Forecast]])^2</f>
        <v>0.43411512055340279</v>
      </c>
    </row>
    <row r="169" spans="4:10" x14ac:dyDescent="0.2">
      <c r="D169" t="s">
        <v>4</v>
      </c>
      <c r="E169" t="s">
        <v>45</v>
      </c>
      <c r="F169" t="s">
        <v>22</v>
      </c>
      <c r="G169" t="s">
        <v>49</v>
      </c>
      <c r="H169">
        <f>NFL2025Results3[[#This Row],[Home Points]]-NFL2025Results3[[#This Row],[Away Points]]</f>
        <v>7</v>
      </c>
      <c r="I169">
        <f>VLOOKUP(NFL2025Results3[[#This Row],[Home Team]],TeamRating,2,FALSE)-VLOOKUP(NFL2025Results3[[#This Row],[Away Team]],TeamRating,2,FALSE)+HomeEdge</f>
        <v>6.847337808455733</v>
      </c>
      <c r="J169">
        <f>(NFL2025Results3[[#This Row],[Home Margin]]-NFL2025Results3[[#This Row],[Home Forecast]])^2</f>
        <v>2.3305744727098458E-2</v>
      </c>
    </row>
    <row r="170" spans="4:10" x14ac:dyDescent="0.2">
      <c r="D170" t="s">
        <v>5</v>
      </c>
      <c r="E170" t="s">
        <v>30</v>
      </c>
      <c r="F170" t="s">
        <v>25</v>
      </c>
      <c r="G170" t="s">
        <v>22</v>
      </c>
      <c r="H170">
        <f>NFL2025Results3[[#This Row],[Home Points]]-NFL2025Results3[[#This Row],[Away Points]]</f>
        <v>17</v>
      </c>
      <c r="I170">
        <f>VLOOKUP(NFL2025Results3[[#This Row],[Home Team]],TeamRating,2,FALSE)-VLOOKUP(NFL2025Results3[[#This Row],[Away Team]],TeamRating,2,FALSE)+HomeEdge</f>
        <v>12.950968417677034</v>
      </c>
      <c r="J170">
        <f>(NFL2025Results3[[#This Row],[Home Margin]]-NFL2025Results3[[#This Row],[Home Forecast]])^2</f>
        <v>16.394656754648821</v>
      </c>
    </row>
    <row r="171" spans="4:10" x14ac:dyDescent="0.2">
      <c r="D171" t="s">
        <v>47</v>
      </c>
      <c r="E171" t="s">
        <v>50</v>
      </c>
      <c r="F171" t="s">
        <v>14</v>
      </c>
      <c r="G171" t="s">
        <v>61</v>
      </c>
      <c r="H171">
        <f>NFL2025Results3[[#This Row],[Home Points]]-NFL2025Results3[[#This Row],[Away Points]]</f>
        <v>4</v>
      </c>
      <c r="I171">
        <f>VLOOKUP(NFL2025Results3[[#This Row],[Home Team]],TeamRating,2,FALSE)-VLOOKUP(NFL2025Results3[[#This Row],[Away Team]],TeamRating,2,FALSE)+HomeEdge</f>
        <v>12.166298034124971</v>
      </c>
      <c r="J171">
        <f>(NFL2025Results3[[#This Row],[Home Margin]]-NFL2025Results3[[#This Row],[Home Forecast]])^2</f>
        <v>66.688423582153362</v>
      </c>
    </row>
    <row r="172" spans="4:10" x14ac:dyDescent="0.2">
      <c r="D172" t="s">
        <v>55</v>
      </c>
      <c r="E172" t="s">
        <v>35</v>
      </c>
      <c r="F172" t="s">
        <v>59</v>
      </c>
      <c r="G172" t="s">
        <v>64</v>
      </c>
      <c r="H172">
        <f>NFL2025Results3[[#This Row],[Home Points]]-NFL2025Results3[[#This Row],[Away Points]]</f>
        <v>3</v>
      </c>
      <c r="I172">
        <f>VLOOKUP(NFL2025Results3[[#This Row],[Home Team]],TeamRating,2,FALSE)-VLOOKUP(NFL2025Results3[[#This Row],[Away Team]],TeamRating,2,FALSE)+HomeEdge</f>
        <v>9.5786650404140428</v>
      </c>
      <c r="J172">
        <f>(NFL2025Results3[[#This Row],[Home Margin]]-NFL2025Results3[[#This Row],[Home Forecast]])^2</f>
        <v>43.278833713965902</v>
      </c>
    </row>
    <row r="173" spans="4:10" x14ac:dyDescent="0.2">
      <c r="D173" t="s">
        <v>31</v>
      </c>
      <c r="E173" t="s">
        <v>19</v>
      </c>
      <c r="F173" t="s">
        <v>17</v>
      </c>
      <c r="G173" t="s">
        <v>7</v>
      </c>
      <c r="H173">
        <f>NFL2025Results3[[#This Row],[Home Points]]-NFL2025Results3[[#This Row],[Away Points]]</f>
        <v>6</v>
      </c>
      <c r="I173">
        <f>VLOOKUP(NFL2025Results3[[#This Row],[Home Team]],TeamRating,2,FALSE)-VLOOKUP(NFL2025Results3[[#This Row],[Away Team]],TeamRating,2,FALSE)+HomeEdge</f>
        <v>13.352091325638238</v>
      </c>
      <c r="J173">
        <f>(NFL2025Results3[[#This Row],[Home Margin]]-NFL2025Results3[[#This Row],[Home Forecast]])^2</f>
        <v>54.053246860525022</v>
      </c>
    </row>
    <row r="174" spans="4:10" x14ac:dyDescent="0.2">
      <c r="D174" t="s">
        <v>9</v>
      </c>
      <c r="E174" t="s">
        <v>23</v>
      </c>
      <c r="F174" t="s">
        <v>14</v>
      </c>
      <c r="G174" t="s">
        <v>7</v>
      </c>
      <c r="H174">
        <f>NFL2025Results3[[#This Row],[Home Points]]-NFL2025Results3[[#This Row],[Away Points]]</f>
        <v>3</v>
      </c>
      <c r="I174">
        <f>VLOOKUP(NFL2025Results3[[#This Row],[Home Team]],TeamRating,2,FALSE)-VLOOKUP(NFL2025Results3[[#This Row],[Away Team]],TeamRating,2,FALSE)+HomeEdge</f>
        <v>10.364165036259376</v>
      </c>
      <c r="J174">
        <f>(NFL2025Results3[[#This Row],[Home Margin]]-NFL2025Results3[[#This Row],[Home Forecast]])^2</f>
        <v>54.230926681265053</v>
      </c>
    </row>
    <row r="175" spans="4:10" x14ac:dyDescent="0.2">
      <c r="D175" t="s">
        <v>45</v>
      </c>
      <c r="E175" t="s">
        <v>33</v>
      </c>
      <c r="F175" t="s">
        <v>37</v>
      </c>
      <c r="G175" t="s">
        <v>10</v>
      </c>
      <c r="H175">
        <f>NFL2025Results3[[#This Row],[Home Points]]-NFL2025Results3[[#This Row],[Away Points]]</f>
        <v>7</v>
      </c>
      <c r="I175">
        <f>VLOOKUP(NFL2025Results3[[#This Row],[Home Team]],TeamRating,2,FALSE)-VLOOKUP(NFL2025Results3[[#This Row],[Away Team]],TeamRating,2,FALSE)+HomeEdge</f>
        <v>11.819637431183114</v>
      </c>
      <c r="J175">
        <f>(NFL2025Results3[[#This Row],[Home Margin]]-NFL2025Results3[[#This Row],[Home Forecast]])^2</f>
        <v>23.228904968061368</v>
      </c>
    </row>
    <row r="176" spans="4:10" x14ac:dyDescent="0.2">
      <c r="D176" t="s">
        <v>44</v>
      </c>
      <c r="E176" t="s">
        <v>54</v>
      </c>
      <c r="F176" t="s">
        <v>14</v>
      </c>
      <c r="G176" t="s">
        <v>34</v>
      </c>
      <c r="H176">
        <f>NFL2025Results3[[#This Row],[Home Points]]-NFL2025Results3[[#This Row],[Away Points]]</f>
        <v>17</v>
      </c>
      <c r="I176">
        <f>VLOOKUP(NFL2025Results3[[#This Row],[Home Team]],TeamRating,2,FALSE)-VLOOKUP(NFL2025Results3[[#This Row],[Away Team]],TeamRating,2,FALSE)+HomeEdge</f>
        <v>9.4762616317794706</v>
      </c>
      <c r="J176">
        <f>(NFL2025Results3[[#This Row],[Home Margin]]-NFL2025Results3[[#This Row],[Home Forecast]])^2</f>
        <v>56.606639033433716</v>
      </c>
    </row>
    <row r="177" spans="4:10" x14ac:dyDescent="0.2">
      <c r="D177" t="s">
        <v>51</v>
      </c>
      <c r="E177" t="s">
        <v>36</v>
      </c>
      <c r="F177" t="s">
        <v>14</v>
      </c>
      <c r="G177" t="s">
        <v>18</v>
      </c>
      <c r="H177">
        <f>NFL2025Results3[[#This Row],[Home Points]]-NFL2025Results3[[#This Row],[Away Points]]</f>
        <v>13</v>
      </c>
      <c r="I177">
        <f>VLOOKUP(NFL2025Results3[[#This Row],[Home Team]],TeamRating,2,FALSE)-VLOOKUP(NFL2025Results3[[#This Row],[Away Team]],TeamRating,2,FALSE)+HomeEdge</f>
        <v>18.304068878005985</v>
      </c>
      <c r="J177">
        <f>(NFL2025Results3[[#This Row],[Home Margin]]-NFL2025Results3[[#This Row],[Home Forecast]])^2</f>
        <v>28.13314666263167</v>
      </c>
    </row>
    <row r="178" spans="4:10" x14ac:dyDescent="0.2">
      <c r="D178" t="s">
        <v>43</v>
      </c>
      <c r="E178" t="s">
        <v>40</v>
      </c>
      <c r="F178" t="s">
        <v>57</v>
      </c>
      <c r="G178" t="s">
        <v>6</v>
      </c>
      <c r="H178">
        <f>NFL2025Results3[[#This Row],[Home Points]]-NFL2025Results3[[#This Row],[Away Points]]</f>
        <v>6</v>
      </c>
      <c r="I178">
        <f>VLOOKUP(NFL2025Results3[[#This Row],[Home Team]],TeamRating,2,FALSE)-VLOOKUP(NFL2025Results3[[#This Row],[Away Team]],TeamRating,2,FALSE)+HomeEdge</f>
        <v>18.564431982375389</v>
      </c>
      <c r="J178">
        <f>(NFL2025Results3[[#This Row],[Home Margin]]-NFL2025Results3[[#This Row],[Home Forecast]])^2</f>
        <v>157.86495103973755</v>
      </c>
    </row>
    <row r="179" spans="4:10" x14ac:dyDescent="0.2">
      <c r="D179" t="s">
        <v>20</v>
      </c>
      <c r="E179" t="s">
        <v>30</v>
      </c>
      <c r="F179" t="s">
        <v>6</v>
      </c>
      <c r="G179" t="s">
        <v>18</v>
      </c>
      <c r="H179">
        <f>NFL2025Results3[[#This Row],[Home Points]]-NFL2025Results3[[#This Row],[Away Points]]</f>
        <v>14</v>
      </c>
      <c r="I179">
        <f>VLOOKUP(NFL2025Results3[[#This Row],[Home Team]],TeamRating,2,FALSE)-VLOOKUP(NFL2025Results3[[#This Row],[Away Team]],TeamRating,2,FALSE)+HomeEdge</f>
        <v>11.3434560155018</v>
      </c>
      <c r="J179">
        <f>(NFL2025Results3[[#This Row],[Home Margin]]-NFL2025Results3[[#This Row],[Home Forecast]])^2</f>
        <v>7.0572259415735701</v>
      </c>
    </row>
    <row r="180" spans="4:10" x14ac:dyDescent="0.2">
      <c r="D180" t="s">
        <v>15</v>
      </c>
      <c r="E180" t="s">
        <v>27</v>
      </c>
      <c r="F180" t="s">
        <v>10</v>
      </c>
      <c r="G180" t="s">
        <v>6</v>
      </c>
      <c r="H180">
        <f>NFL2025Results3[[#This Row],[Home Points]]-NFL2025Results3[[#This Row],[Away Points]]</f>
        <v>3</v>
      </c>
      <c r="I180">
        <f>VLOOKUP(NFL2025Results3[[#This Row],[Home Team]],TeamRating,2,FALSE)-VLOOKUP(NFL2025Results3[[#This Row],[Away Team]],TeamRating,2,FALSE)+HomeEdge</f>
        <v>13.47249675249018</v>
      </c>
      <c r="J180">
        <f>(NFL2025Results3[[#This Row],[Home Margin]]-NFL2025Results3[[#This Row],[Home Forecast]])^2</f>
        <v>109.67318823091736</v>
      </c>
    </row>
    <row r="181" spans="4:10" x14ac:dyDescent="0.2">
      <c r="D181" t="s">
        <v>13</v>
      </c>
      <c r="E181" t="s">
        <v>28</v>
      </c>
      <c r="F181" t="s">
        <v>6</v>
      </c>
      <c r="G181" t="s">
        <v>18</v>
      </c>
      <c r="H181">
        <f>NFL2025Results3[[#This Row],[Home Points]]-NFL2025Results3[[#This Row],[Away Points]]</f>
        <v>14</v>
      </c>
      <c r="I181">
        <f>VLOOKUP(NFL2025Results3[[#This Row],[Home Team]],TeamRating,2,FALSE)-VLOOKUP(NFL2025Results3[[#This Row],[Away Team]],TeamRating,2,FALSE)+HomeEdge</f>
        <v>9.6120008876965919</v>
      </c>
      <c r="J181">
        <f>(NFL2025Results3[[#This Row],[Home Margin]]-NFL2025Results3[[#This Row],[Home Forecast]])^2</f>
        <v>19.254536209575498</v>
      </c>
    </row>
    <row r="182" spans="4:10" x14ac:dyDescent="0.2">
      <c r="D182" t="s">
        <v>5</v>
      </c>
      <c r="E182" t="s">
        <v>4</v>
      </c>
      <c r="F182" t="s">
        <v>6</v>
      </c>
      <c r="G182" t="s">
        <v>11</v>
      </c>
      <c r="H182">
        <f>NFL2025Results3[[#This Row],[Home Points]]-NFL2025Results3[[#This Row],[Away Points]]</f>
        <v>3</v>
      </c>
      <c r="I182">
        <f>VLOOKUP(NFL2025Results3[[#This Row],[Home Team]],TeamRating,2,FALSE)-VLOOKUP(NFL2025Results3[[#This Row],[Away Team]],TeamRating,2,FALSE)+HomeEdge</f>
        <v>8.0920991120735373</v>
      </c>
      <c r="J182">
        <f>(NFL2025Results3[[#This Row],[Home Margin]]-NFL2025Results3[[#This Row],[Home Forecast]])^2</f>
        <v>25.929473367180108</v>
      </c>
    </row>
    <row r="183" spans="4:10" x14ac:dyDescent="0.2">
      <c r="D183" t="s">
        <v>46</v>
      </c>
      <c r="E183" t="s">
        <v>12</v>
      </c>
      <c r="F183" t="s">
        <v>37</v>
      </c>
      <c r="G183" t="s">
        <v>75</v>
      </c>
      <c r="H183">
        <f>NFL2025Results3[[#This Row],[Home Points]]-NFL2025Results3[[#This Row],[Away Points]]</f>
        <v>27</v>
      </c>
      <c r="I183">
        <f>VLOOKUP(NFL2025Results3[[#This Row],[Home Team]],TeamRating,2,FALSE)-VLOOKUP(NFL2025Results3[[#This Row],[Away Team]],TeamRating,2,FALSE)+HomeEdge</f>
        <v>18.386183402126612</v>
      </c>
      <c r="J183">
        <f>(NFL2025Results3[[#This Row],[Home Margin]]-NFL2025Results3[[#This Row],[Home Forecast]])^2</f>
        <v>74.197836381799064</v>
      </c>
    </row>
    <row r="184" spans="4:10" x14ac:dyDescent="0.2">
      <c r="D184" t="s">
        <v>42</v>
      </c>
      <c r="E184" t="s">
        <v>16</v>
      </c>
      <c r="F184" t="s">
        <v>7</v>
      </c>
      <c r="G184" t="s">
        <v>49</v>
      </c>
      <c r="H184">
        <f>NFL2025Results3[[#This Row],[Home Points]]-NFL2025Results3[[#This Row],[Away Points]]</f>
        <v>11</v>
      </c>
      <c r="I184">
        <f>VLOOKUP(NFL2025Results3[[#This Row],[Home Team]],TeamRating,2,FALSE)-VLOOKUP(NFL2025Results3[[#This Row],[Away Team]],TeamRating,2,FALSE)+HomeEdge</f>
        <v>14.645143341253235</v>
      </c>
      <c r="J184">
        <f>(NFL2025Results3[[#This Row],[Home Margin]]-NFL2025Results3[[#This Row],[Home Forecast]])^2</f>
        <v>13.287069978282794</v>
      </c>
    </row>
    <row r="185" spans="4:10" x14ac:dyDescent="0.2">
      <c r="D185" t="s">
        <v>44</v>
      </c>
      <c r="E185" t="s">
        <v>45</v>
      </c>
      <c r="F185" t="s">
        <v>59</v>
      </c>
      <c r="G185" t="s">
        <v>6</v>
      </c>
      <c r="H185">
        <f>NFL2025Results3[[#This Row],[Home Points]]-NFL2025Results3[[#This Row],[Away Points]]</f>
        <v>7</v>
      </c>
      <c r="I185">
        <f>VLOOKUP(NFL2025Results3[[#This Row],[Home Team]],TeamRating,2,FALSE)-VLOOKUP(NFL2025Results3[[#This Row],[Away Team]],TeamRating,2,FALSE)+HomeEdge</f>
        <v>6.0120607199303358</v>
      </c>
      <c r="J185">
        <f>(NFL2025Results3[[#This Row],[Home Margin]]-NFL2025Results3[[#This Row],[Home Forecast]])^2</f>
        <v>0.97602402110456654</v>
      </c>
    </row>
    <row r="186" spans="4:10" x14ac:dyDescent="0.2">
      <c r="D186" t="s">
        <v>5</v>
      </c>
      <c r="E186" t="s">
        <v>9</v>
      </c>
      <c r="F186" t="s">
        <v>59</v>
      </c>
      <c r="G186" t="s">
        <v>64</v>
      </c>
      <c r="H186">
        <f>NFL2025Results3[[#This Row],[Home Points]]-NFL2025Results3[[#This Row],[Away Points]]</f>
        <v>3</v>
      </c>
      <c r="I186">
        <f>VLOOKUP(NFL2025Results3[[#This Row],[Home Team]],TeamRating,2,FALSE)-VLOOKUP(NFL2025Results3[[#This Row],[Away Team]],TeamRating,2,FALSE)+HomeEdge</f>
        <v>3.6881921694053439</v>
      </c>
      <c r="J186">
        <f>(NFL2025Results3[[#This Row],[Home Margin]]-NFL2025Results3[[#This Row],[Home Forecast]])^2</f>
        <v>0.47360846203083357</v>
      </c>
    </row>
    <row r="187" spans="4:10" x14ac:dyDescent="0.2">
      <c r="D187" t="s">
        <v>19</v>
      </c>
      <c r="E187" t="s">
        <v>51</v>
      </c>
      <c r="F187" t="s">
        <v>38</v>
      </c>
      <c r="G187" t="s">
        <v>48</v>
      </c>
      <c r="H187">
        <f>NFL2025Results3[[#This Row],[Home Points]]-NFL2025Results3[[#This Row],[Away Points]]</f>
        <v>18</v>
      </c>
      <c r="I187">
        <f>VLOOKUP(NFL2025Results3[[#This Row],[Home Team]],TeamRating,2,FALSE)-VLOOKUP(NFL2025Results3[[#This Row],[Away Team]],TeamRating,2,FALSE)+HomeEdge</f>
        <v>5.6944180385144145</v>
      </c>
      <c r="J187">
        <f>(NFL2025Results3[[#This Row],[Home Margin]]-NFL2025Results3[[#This Row],[Home Forecast]])^2</f>
        <v>151.42734741083945</v>
      </c>
    </row>
    <row r="188" spans="4:10" x14ac:dyDescent="0.2">
      <c r="D188" t="s">
        <v>55</v>
      </c>
      <c r="E188" t="s">
        <v>4</v>
      </c>
      <c r="F188" t="s">
        <v>6</v>
      </c>
      <c r="G188" t="s">
        <v>69</v>
      </c>
      <c r="H188">
        <f>NFL2025Results3[[#This Row],[Home Points]]-NFL2025Results3[[#This Row],[Away Points]]</f>
        <v>9</v>
      </c>
      <c r="I188">
        <f>VLOOKUP(NFL2025Results3[[#This Row],[Home Team]],TeamRating,2,FALSE)-VLOOKUP(NFL2025Results3[[#This Row],[Away Team]],TeamRating,2,FALSE)+HomeEdge</f>
        <v>7.6656053480546191</v>
      </c>
      <c r="J188">
        <f>(NFL2025Results3[[#This Row],[Home Margin]]-NFL2025Results3[[#This Row],[Home Forecast]])^2</f>
        <v>1.7806090871404341</v>
      </c>
    </row>
    <row r="189" spans="4:10" x14ac:dyDescent="0.2">
      <c r="D189" t="s">
        <v>36</v>
      </c>
      <c r="E189" t="s">
        <v>13</v>
      </c>
      <c r="F189" t="s">
        <v>10</v>
      </c>
      <c r="G189" t="s">
        <v>6</v>
      </c>
      <c r="H189">
        <f>NFL2025Results3[[#This Row],[Home Points]]-NFL2025Results3[[#This Row],[Away Points]]</f>
        <v>3</v>
      </c>
      <c r="I189">
        <f>VLOOKUP(NFL2025Results3[[#This Row],[Home Team]],TeamRating,2,FALSE)-VLOOKUP(NFL2025Results3[[#This Row],[Away Team]],TeamRating,2,FALSE)+HomeEdge</f>
        <v>5.936035241011866</v>
      </c>
      <c r="J189">
        <f>(NFL2025Results3[[#This Row],[Home Margin]]-NFL2025Results3[[#This Row],[Home Forecast]])^2</f>
        <v>8.6203029364636059</v>
      </c>
    </row>
    <row r="190" spans="4:10" x14ac:dyDescent="0.2">
      <c r="D190" t="s">
        <v>42</v>
      </c>
      <c r="E190" t="s">
        <v>20</v>
      </c>
      <c r="F190" t="s">
        <v>17</v>
      </c>
      <c r="G190" t="s">
        <v>26</v>
      </c>
      <c r="H190">
        <f>NFL2025Results3[[#This Row],[Home Points]]-NFL2025Results3[[#This Row],[Away Points]]</f>
        <v>18</v>
      </c>
      <c r="I190">
        <f>VLOOKUP(NFL2025Results3[[#This Row],[Home Team]],TeamRating,2,FALSE)-VLOOKUP(NFL2025Results3[[#This Row],[Away Team]],TeamRating,2,FALSE)+HomeEdge</f>
        <v>13.591454222915573</v>
      </c>
      <c r="J190">
        <f>(NFL2025Results3[[#This Row],[Home Margin]]-NFL2025Results3[[#This Row],[Home Forecast]])^2</f>
        <v>19.435275868648937</v>
      </c>
    </row>
    <row r="191" spans="4:10" x14ac:dyDescent="0.2">
      <c r="D191" t="s">
        <v>47</v>
      </c>
      <c r="E191" t="s">
        <v>23</v>
      </c>
      <c r="F191" t="s">
        <v>7</v>
      </c>
      <c r="G191" t="s">
        <v>22</v>
      </c>
      <c r="H191">
        <f>NFL2025Results3[[#This Row],[Home Points]]-NFL2025Results3[[#This Row],[Away Points]]</f>
        <v>4</v>
      </c>
      <c r="I191">
        <f>VLOOKUP(NFL2025Results3[[#This Row],[Home Team]],TeamRating,2,FALSE)-VLOOKUP(NFL2025Results3[[#This Row],[Away Team]],TeamRating,2,FALSE)+HomeEdge</f>
        <v>9.0958994406280631</v>
      </c>
      <c r="J191">
        <f>(NFL2025Results3[[#This Row],[Home Margin]]-NFL2025Results3[[#This Row],[Home Forecast]])^2</f>
        <v>25.968191108993405</v>
      </c>
    </row>
    <row r="192" spans="4:10" x14ac:dyDescent="0.2">
      <c r="D192" t="s">
        <v>12</v>
      </c>
      <c r="E192" t="s">
        <v>27</v>
      </c>
      <c r="F192" t="s">
        <v>7</v>
      </c>
      <c r="G192" t="s">
        <v>21</v>
      </c>
      <c r="H192">
        <f>NFL2025Results3[[#This Row],[Home Points]]-NFL2025Results3[[#This Row],[Away Points]]</f>
        <v>3</v>
      </c>
      <c r="I192">
        <f>VLOOKUP(NFL2025Results3[[#This Row],[Home Team]],TeamRating,2,FALSE)-VLOOKUP(NFL2025Results3[[#This Row],[Away Team]],TeamRating,2,FALSE)+HomeEdge</f>
        <v>8.5154368161765657</v>
      </c>
      <c r="J192">
        <f>(NFL2025Results3[[#This Row],[Home Margin]]-NFL2025Results3[[#This Row],[Home Forecast]])^2</f>
        <v>30.420043273235891</v>
      </c>
    </row>
    <row r="193" spans="4:10" x14ac:dyDescent="0.2">
      <c r="D193" t="s">
        <v>15</v>
      </c>
      <c r="E193" t="s">
        <v>40</v>
      </c>
      <c r="F193" t="s">
        <v>72</v>
      </c>
      <c r="G193" t="s">
        <v>65</v>
      </c>
      <c r="H193">
        <f>NFL2025Results3[[#This Row],[Home Points]]-NFL2025Results3[[#This Row],[Away Points]]</f>
        <v>22</v>
      </c>
      <c r="I193">
        <f>VLOOKUP(NFL2025Results3[[#This Row],[Home Team]],TeamRating,2,FALSE)-VLOOKUP(NFL2025Results3[[#This Row],[Away Team]],TeamRating,2,FALSE)+HomeEdge</f>
        <v>16.492735666885761</v>
      </c>
      <c r="J193">
        <f>(NFL2025Results3[[#This Row],[Home Margin]]-NFL2025Results3[[#This Row],[Home Forecast]])^2</f>
        <v>30.32996043479223</v>
      </c>
    </row>
    <row r="194" spans="4:10" x14ac:dyDescent="0.2">
      <c r="D194" t="s">
        <v>24</v>
      </c>
      <c r="E194" t="s">
        <v>28</v>
      </c>
      <c r="F194" t="s">
        <v>11</v>
      </c>
      <c r="G194" t="s">
        <v>21</v>
      </c>
      <c r="H194">
        <f>NFL2025Results3[[#This Row],[Home Points]]-NFL2025Results3[[#This Row],[Away Points]]</f>
        <v>4</v>
      </c>
      <c r="I194">
        <f>VLOOKUP(NFL2025Results3[[#This Row],[Home Team]],TeamRating,2,FALSE)-VLOOKUP(NFL2025Results3[[#This Row],[Away Team]],TeamRating,2,FALSE)+HomeEdge</f>
        <v>8.2549403684629539</v>
      </c>
      <c r="J194">
        <f>(NFL2025Results3[[#This Row],[Home Margin]]-NFL2025Results3[[#This Row],[Home Forecast]])^2</f>
        <v>18.104517539175657</v>
      </c>
    </row>
    <row r="195" spans="4:10" x14ac:dyDescent="0.2">
      <c r="D195" t="s">
        <v>16</v>
      </c>
      <c r="E195" t="s">
        <v>46</v>
      </c>
      <c r="F195" t="s">
        <v>59</v>
      </c>
      <c r="G195" t="s">
        <v>64</v>
      </c>
      <c r="H195">
        <f>NFL2025Results3[[#This Row],[Home Points]]-NFL2025Results3[[#This Row],[Away Points]]</f>
        <v>3</v>
      </c>
      <c r="I195">
        <f>VLOOKUP(NFL2025Results3[[#This Row],[Home Team]],TeamRating,2,FALSE)-VLOOKUP(NFL2025Results3[[#This Row],[Away Team]],TeamRating,2,FALSE)+HomeEdge</f>
        <v>-1.0480087055098846</v>
      </c>
      <c r="J195">
        <f>(NFL2025Results3[[#This Row],[Home Margin]]-NFL2025Results3[[#This Row],[Home Forecast]])^2</f>
        <v>16.386374479883813</v>
      </c>
    </row>
    <row r="196" spans="4:10" x14ac:dyDescent="0.2">
      <c r="D196" t="s">
        <v>43</v>
      </c>
      <c r="E196" t="s">
        <v>54</v>
      </c>
      <c r="F196" t="s">
        <v>17</v>
      </c>
      <c r="G196" t="s">
        <v>66</v>
      </c>
      <c r="H196">
        <f>NFL2025Results3[[#This Row],[Home Points]]-NFL2025Results3[[#This Row],[Away Points]]</f>
        <v>26</v>
      </c>
      <c r="I196">
        <f>VLOOKUP(NFL2025Results3[[#This Row],[Home Team]],TeamRating,2,FALSE)-VLOOKUP(NFL2025Results3[[#This Row],[Away Team]],TeamRating,2,FALSE)+HomeEdge</f>
        <v>15.254946942120284</v>
      </c>
      <c r="J196">
        <f>(NFL2025Results3[[#This Row],[Home Margin]]-NFL2025Results3[[#This Row],[Home Forecast]])^2</f>
        <v>115.45616521665023</v>
      </c>
    </row>
    <row r="197" spans="4:10" x14ac:dyDescent="0.2">
      <c r="D197" t="s">
        <v>50</v>
      </c>
      <c r="E197" t="s">
        <v>35</v>
      </c>
      <c r="F197" t="s">
        <v>17</v>
      </c>
      <c r="G197" t="s">
        <v>75</v>
      </c>
      <c r="H197">
        <f>NFL2025Results3[[#This Row],[Home Points]]-NFL2025Results3[[#This Row],[Away Points]]</f>
        <v>19</v>
      </c>
      <c r="I197">
        <f>VLOOKUP(NFL2025Results3[[#This Row],[Home Team]],TeamRating,2,FALSE)-VLOOKUP(NFL2025Results3[[#This Row],[Away Team]],TeamRating,2,FALSE)+HomeEdge</f>
        <v>12.526261155407855</v>
      </c>
      <c r="J197">
        <f>(NFL2025Results3[[#This Row],[Home Margin]]-NFL2025Results3[[#This Row],[Home Forecast]])^2</f>
        <v>41.90929462798124</v>
      </c>
    </row>
    <row r="198" spans="4:10" x14ac:dyDescent="0.2">
      <c r="D198" t="s">
        <v>8</v>
      </c>
      <c r="E198" t="s">
        <v>30</v>
      </c>
      <c r="F198" t="s">
        <v>59</v>
      </c>
      <c r="G198" t="s">
        <v>48</v>
      </c>
      <c r="H198">
        <f>NFL2025Results3[[#This Row],[Home Points]]-NFL2025Results3[[#This Row],[Away Points]]</f>
        <v>17</v>
      </c>
      <c r="I198">
        <f>VLOOKUP(NFL2025Results3[[#This Row],[Home Team]],TeamRating,2,FALSE)-VLOOKUP(NFL2025Results3[[#This Row],[Away Team]],TeamRating,2,FALSE)+HomeEdge</f>
        <v>12.959695412158228</v>
      </c>
      <c r="J198">
        <f>(NFL2025Results3[[#This Row],[Home Margin]]-NFL2025Results3[[#This Row],[Home Forecast]])^2</f>
        <v>16.324061162535276</v>
      </c>
    </row>
    <row r="199" spans="4:10" x14ac:dyDescent="0.2">
      <c r="D199" t="s">
        <v>39</v>
      </c>
      <c r="E199" t="s">
        <v>32</v>
      </c>
      <c r="F199" t="s">
        <v>10</v>
      </c>
      <c r="G199" t="s">
        <v>17</v>
      </c>
      <c r="H199">
        <f>NFL2025Results3[[#This Row],[Home Points]]-NFL2025Results3[[#This Row],[Away Points]]</f>
        <v>1</v>
      </c>
      <c r="I199">
        <f>VLOOKUP(NFL2025Results3[[#This Row],[Home Team]],TeamRating,2,FALSE)-VLOOKUP(NFL2025Results3[[#This Row],[Away Team]],TeamRating,2,FALSE)+HomeEdge</f>
        <v>10.119691785766795</v>
      </c>
      <c r="J199">
        <f>(NFL2025Results3[[#This Row],[Home Margin]]-NFL2025Results3[[#This Row],[Home Forecast]])^2</f>
        <v>83.168778267382351</v>
      </c>
    </row>
    <row r="200" spans="4:10" x14ac:dyDescent="0.2">
      <c r="D200" t="s">
        <v>31</v>
      </c>
      <c r="E200" t="s">
        <v>33</v>
      </c>
      <c r="F200" t="s">
        <v>25</v>
      </c>
      <c r="G200" t="s">
        <v>69</v>
      </c>
      <c r="H200">
        <f>NFL2025Results3[[#This Row],[Home Points]]-NFL2025Results3[[#This Row],[Away Points]]</f>
        <v>18</v>
      </c>
      <c r="I200">
        <f>VLOOKUP(NFL2025Results3[[#This Row],[Home Team]],TeamRating,2,FALSE)-VLOOKUP(NFL2025Results3[[#This Row],[Away Team]],TeamRating,2,FALSE)+HomeEdge</f>
        <v>9.6113225992906841</v>
      </c>
      <c r="J200">
        <f>(NFL2025Results3[[#This Row],[Home Margin]]-NFL2025Results3[[#This Row],[Home Forecast]])^2</f>
        <v>70.369908533171198</v>
      </c>
    </row>
    <row r="201" spans="4:10" x14ac:dyDescent="0.2">
      <c r="D201" t="s">
        <v>45</v>
      </c>
      <c r="E201" t="s">
        <v>5</v>
      </c>
      <c r="F201" t="s">
        <v>68</v>
      </c>
      <c r="G201" t="s">
        <v>57</v>
      </c>
      <c r="H201">
        <f>NFL2025Results3[[#This Row],[Home Points]]-NFL2025Results3[[#This Row],[Away Points]]</f>
        <v>14</v>
      </c>
      <c r="I201">
        <f>VLOOKUP(NFL2025Results3[[#This Row],[Home Team]],TeamRating,2,FALSE)-VLOOKUP(NFL2025Results3[[#This Row],[Away Team]],TeamRating,2,FALSE)+HomeEdge</f>
        <v>14.526350304675516</v>
      </c>
      <c r="J201">
        <f>(NFL2025Results3[[#This Row],[Home Margin]]-NFL2025Results3[[#This Row],[Home Forecast]])^2</f>
        <v>0.27704464323200834</v>
      </c>
    </row>
    <row r="202" spans="4:10" x14ac:dyDescent="0.2">
      <c r="D202" t="s">
        <v>43</v>
      </c>
      <c r="E202" t="s">
        <v>13</v>
      </c>
      <c r="F202" t="s">
        <v>60</v>
      </c>
      <c r="G202" t="s">
        <v>49</v>
      </c>
      <c r="H202">
        <f>NFL2025Results3[[#This Row],[Home Points]]-NFL2025Results3[[#This Row],[Away Points]]</f>
        <v>28</v>
      </c>
      <c r="I202">
        <f>VLOOKUP(NFL2025Results3[[#This Row],[Home Team]],TeamRating,2,FALSE)-VLOOKUP(NFL2025Results3[[#This Row],[Away Team]],TeamRating,2,FALSE)+HomeEdge</f>
        <v>17.99795804506104</v>
      </c>
      <c r="J202">
        <f>(NFL2025Results3[[#This Row],[Home Margin]]-NFL2025Results3[[#This Row],[Home Forecast]])^2</f>
        <v>100.04084326835917</v>
      </c>
    </row>
    <row r="203" spans="4:10" x14ac:dyDescent="0.2">
      <c r="D203" t="s">
        <v>50</v>
      </c>
      <c r="E203" t="s">
        <v>19</v>
      </c>
      <c r="F203" t="s">
        <v>76</v>
      </c>
      <c r="G203" t="s">
        <v>37</v>
      </c>
      <c r="H203">
        <f>NFL2025Results3[[#This Row],[Home Points]]-NFL2025Results3[[#This Row],[Away Points]]</f>
        <v>5</v>
      </c>
      <c r="I203">
        <f>VLOOKUP(NFL2025Results3[[#This Row],[Home Team]],TeamRating,2,FALSE)-VLOOKUP(NFL2025Results3[[#This Row],[Away Team]],TeamRating,2,FALSE)+HomeEdge</f>
        <v>13.377087278898312</v>
      </c>
      <c r="J203">
        <f>(NFL2025Results3[[#This Row],[Home Margin]]-NFL2025Results3[[#This Row],[Home Forecast]])^2</f>
        <v>70.175591278279924</v>
      </c>
    </row>
    <row r="204" spans="4:10" x14ac:dyDescent="0.2">
      <c r="D204" t="s">
        <v>40</v>
      </c>
      <c r="E204" t="s">
        <v>20</v>
      </c>
      <c r="F204" t="s">
        <v>59</v>
      </c>
      <c r="G204" t="s">
        <v>63</v>
      </c>
      <c r="H204">
        <f>NFL2025Results3[[#This Row],[Home Points]]-NFL2025Results3[[#This Row],[Away Points]]</f>
        <v>2</v>
      </c>
      <c r="I204">
        <f>VLOOKUP(NFL2025Results3[[#This Row],[Home Team]],TeamRating,2,FALSE)-VLOOKUP(NFL2025Results3[[#This Row],[Away Team]],TeamRating,2,FALSE)+HomeEdge</f>
        <v>9.3601767547465116</v>
      </c>
      <c r="J204">
        <f>(NFL2025Results3[[#This Row],[Home Margin]]-NFL2025Results3[[#This Row],[Home Forecast]])^2</f>
        <v>54.172201861110892</v>
      </c>
    </row>
    <row r="205" spans="4:10" x14ac:dyDescent="0.2">
      <c r="D205" t="s">
        <v>15</v>
      </c>
      <c r="E205" t="s">
        <v>23</v>
      </c>
      <c r="F205" t="s">
        <v>78</v>
      </c>
      <c r="G205" t="s">
        <v>61</v>
      </c>
      <c r="H205">
        <f>NFL2025Results3[[#This Row],[Home Points]]-NFL2025Results3[[#This Row],[Away Points]]</f>
        <v>17</v>
      </c>
      <c r="I205">
        <f>VLOOKUP(NFL2025Results3[[#This Row],[Home Team]],TeamRating,2,FALSE)-VLOOKUP(NFL2025Results3[[#This Row],[Away Team]],TeamRating,2,FALSE)+HomeEdge</f>
        <v>8.8319699999169714</v>
      </c>
      <c r="J205">
        <f>(NFL2025Results3[[#This Row],[Home Margin]]-NFL2025Results3[[#This Row],[Home Forecast]])^2</f>
        <v>66.71671408225636</v>
      </c>
    </row>
    <row r="206" spans="4:10" x14ac:dyDescent="0.2">
      <c r="D206" t="s">
        <v>24</v>
      </c>
      <c r="E206" t="s">
        <v>36</v>
      </c>
      <c r="F206" t="s">
        <v>37</v>
      </c>
      <c r="G206" t="s">
        <v>18</v>
      </c>
      <c r="H206">
        <f>NFL2025Results3[[#This Row],[Home Points]]-NFL2025Results3[[#This Row],[Away Points]]</f>
        <v>24</v>
      </c>
      <c r="I206">
        <f>VLOOKUP(NFL2025Results3[[#This Row],[Home Team]],TeamRating,2,FALSE)-VLOOKUP(NFL2025Results3[[#This Row],[Away Team]],TeamRating,2,FALSE)+HomeEdge</f>
        <v>12.35076238989102</v>
      </c>
      <c r="J206">
        <f>(NFL2025Results3[[#This Row],[Home Margin]]-NFL2025Results3[[#This Row],[Home Forecast]])^2</f>
        <v>135.70473689677758</v>
      </c>
    </row>
    <row r="207" spans="4:10" x14ac:dyDescent="0.2">
      <c r="D207" t="s">
        <v>54</v>
      </c>
      <c r="E207" t="s">
        <v>32</v>
      </c>
      <c r="F207" t="s">
        <v>59</v>
      </c>
      <c r="G207" t="s">
        <v>66</v>
      </c>
      <c r="H207">
        <f>NFL2025Results3[[#This Row],[Home Points]]-NFL2025Results3[[#This Row],[Away Points]]</f>
        <v>31</v>
      </c>
      <c r="I207">
        <f>VLOOKUP(NFL2025Results3[[#This Row],[Home Team]],TeamRating,2,FALSE)-VLOOKUP(NFL2025Results3[[#This Row],[Away Team]],TeamRating,2,FALSE)+HomeEdge</f>
        <v>11.389230141890495</v>
      </c>
      <c r="J207">
        <f>(NFL2025Results3[[#This Row],[Home Margin]]-NFL2025Results3[[#This Row],[Home Forecast]])^2</f>
        <v>384.58229442773637</v>
      </c>
    </row>
    <row r="208" spans="4:10" x14ac:dyDescent="0.2">
      <c r="D208" t="s">
        <v>28</v>
      </c>
      <c r="E208" t="s">
        <v>12</v>
      </c>
      <c r="F208" t="s">
        <v>6</v>
      </c>
      <c r="G208" t="s">
        <v>7</v>
      </c>
      <c r="H208">
        <f>NFL2025Results3[[#This Row],[Home Points]]-NFL2025Results3[[#This Row],[Away Points]]</f>
        <v>4</v>
      </c>
      <c r="I208">
        <f>VLOOKUP(NFL2025Results3[[#This Row],[Home Team]],TeamRating,2,FALSE)-VLOOKUP(NFL2025Results3[[#This Row],[Away Team]],TeamRating,2,FALSE)+HomeEdge</f>
        <v>8.8845845442503961</v>
      </c>
      <c r="J208">
        <f>(NFL2025Results3[[#This Row],[Home Margin]]-NFL2025Results3[[#This Row],[Home Forecast]])^2</f>
        <v>23.85916616992985</v>
      </c>
    </row>
    <row r="209" spans="4:10" x14ac:dyDescent="0.2">
      <c r="D209" t="s">
        <v>35</v>
      </c>
      <c r="E209" t="s">
        <v>51</v>
      </c>
      <c r="F209" t="s">
        <v>10</v>
      </c>
      <c r="G209" t="s">
        <v>62</v>
      </c>
      <c r="H209">
        <f>NFL2025Results3[[#This Row],[Home Points]]-NFL2025Results3[[#This Row],[Away Points]]</f>
        <v>5</v>
      </c>
      <c r="I209">
        <f>VLOOKUP(NFL2025Results3[[#This Row],[Home Team]],TeamRating,2,FALSE)-VLOOKUP(NFL2025Results3[[#This Row],[Away Team]],TeamRating,2,FALSE)+HomeEdge</f>
        <v>6.5452441620048702</v>
      </c>
      <c r="J209">
        <f>(NFL2025Results3[[#This Row],[Home Margin]]-NFL2025Results3[[#This Row],[Home Forecast]])^2</f>
        <v>2.3877795202101337</v>
      </c>
    </row>
    <row r="210" spans="4:10" x14ac:dyDescent="0.2">
      <c r="D210" t="s">
        <v>39</v>
      </c>
      <c r="E210" t="s">
        <v>30</v>
      </c>
      <c r="F210" t="s">
        <v>6</v>
      </c>
      <c r="G210" t="s">
        <v>21</v>
      </c>
      <c r="H210">
        <f>NFL2025Results3[[#This Row],[Home Points]]-NFL2025Results3[[#This Row],[Away Points]]</f>
        <v>7</v>
      </c>
      <c r="I210">
        <f>VLOOKUP(NFL2025Results3[[#This Row],[Home Team]],TeamRating,2,FALSE)-VLOOKUP(NFL2025Results3[[#This Row],[Away Team]],TeamRating,2,FALSE)+HomeEdge</f>
        <v>12.921650379311453</v>
      </c>
      <c r="J210">
        <f>(NFL2025Results3[[#This Row],[Home Margin]]-NFL2025Results3[[#This Row],[Home Forecast]])^2</f>
        <v>35.065943214799475</v>
      </c>
    </row>
    <row r="211" spans="4:10" x14ac:dyDescent="0.2">
      <c r="D211" t="s">
        <v>44</v>
      </c>
      <c r="E211" t="s">
        <v>55</v>
      </c>
      <c r="F211" t="s">
        <v>64</v>
      </c>
      <c r="G211" t="s">
        <v>11</v>
      </c>
      <c r="H211">
        <f>NFL2025Results3[[#This Row],[Home Points]]-NFL2025Results3[[#This Row],[Away Points]]</f>
        <v>7</v>
      </c>
      <c r="I211">
        <f>VLOOKUP(NFL2025Results3[[#This Row],[Home Team]],TeamRating,2,FALSE)-VLOOKUP(NFL2025Results3[[#This Row],[Away Team]],TeamRating,2,FALSE)+HomeEdge</f>
        <v>11.142975713556506</v>
      </c>
      <c r="J211">
        <f>(NFL2025Results3[[#This Row],[Home Margin]]-NFL2025Results3[[#This Row],[Home Forecast]])^2</f>
        <v>17.164247763119043</v>
      </c>
    </row>
    <row r="212" spans="4:10" x14ac:dyDescent="0.2">
      <c r="D212" t="s">
        <v>46</v>
      </c>
      <c r="E212" t="s">
        <v>27</v>
      </c>
      <c r="F212" t="s">
        <v>79</v>
      </c>
      <c r="G212" t="s">
        <v>21</v>
      </c>
      <c r="H212">
        <f>NFL2025Results3[[#This Row],[Home Points]]-NFL2025Results3[[#This Row],[Away Points]]</f>
        <v>28</v>
      </c>
      <c r="I212">
        <f>VLOOKUP(NFL2025Results3[[#This Row],[Home Team]],TeamRating,2,FALSE)-VLOOKUP(NFL2025Results3[[#This Row],[Away Team]],TeamRating,2,FALSE)+HomeEdge</f>
        <v>17.079691143234918</v>
      </c>
      <c r="J212">
        <f>(NFL2025Results3[[#This Row],[Home Margin]]-NFL2025Results3[[#This Row],[Home Forecast]])^2</f>
        <v>119.2531455271419</v>
      </c>
    </row>
    <row r="213" spans="4:10" x14ac:dyDescent="0.2">
      <c r="D213" t="s">
        <v>47</v>
      </c>
      <c r="E213" t="s">
        <v>9</v>
      </c>
      <c r="F213" t="s">
        <v>7</v>
      </c>
      <c r="G213" t="s">
        <v>18</v>
      </c>
      <c r="H213">
        <f>NFL2025Results3[[#This Row],[Home Points]]-NFL2025Results3[[#This Row],[Away Points]]</f>
        <v>10</v>
      </c>
      <c r="I213">
        <f>VLOOKUP(NFL2025Results3[[#This Row],[Home Team]],TeamRating,2,FALSE)-VLOOKUP(NFL2025Results3[[#This Row],[Away Team]],TeamRating,2,FALSE)+HomeEdge</f>
        <v>8.553663479436949</v>
      </c>
      <c r="J213">
        <f>(NFL2025Results3[[#This Row],[Home Margin]]-NFL2025Results3[[#This Row],[Home Forecast]])^2</f>
        <v>2.0918893307144328</v>
      </c>
    </row>
    <row r="214" spans="4:10" x14ac:dyDescent="0.2">
      <c r="D214" t="s">
        <v>8</v>
      </c>
      <c r="E214" t="s">
        <v>4</v>
      </c>
      <c r="F214" t="s">
        <v>62</v>
      </c>
      <c r="G214" t="s">
        <v>61</v>
      </c>
      <c r="H214">
        <f>NFL2025Results3[[#This Row],[Home Points]]-NFL2025Results3[[#This Row],[Away Points]]</f>
        <v>3</v>
      </c>
      <c r="I214">
        <f>VLOOKUP(NFL2025Results3[[#This Row],[Home Team]],TeamRating,2,FALSE)-VLOOKUP(NFL2025Results3[[#This Row],[Away Team]],TeamRating,2,FALSE)+HomeEdge</f>
        <v>8.1008261065547309</v>
      </c>
      <c r="J214">
        <f>(NFL2025Results3[[#This Row],[Home Margin]]-NFL2025Results3[[#This Row],[Home Forecast]])^2</f>
        <v>26.018426969310294</v>
      </c>
    </row>
    <row r="215" spans="4:10" x14ac:dyDescent="0.2">
      <c r="D215" t="s">
        <v>13</v>
      </c>
      <c r="E215" t="s">
        <v>12</v>
      </c>
      <c r="F215" t="s">
        <v>63</v>
      </c>
      <c r="G215" t="s">
        <v>64</v>
      </c>
      <c r="H215">
        <f>NFL2025Results3[[#This Row],[Home Points]]-NFL2025Results3[[#This Row],[Away Points]]</f>
        <v>1</v>
      </c>
      <c r="I215">
        <f>VLOOKUP(NFL2025Results3[[#This Row],[Home Team]],TeamRating,2,FALSE)-VLOOKUP(NFL2025Results3[[#This Row],[Away Team]],TeamRating,2,FALSE)+HomeEdge</f>
        <v>8.6746563568787263</v>
      </c>
      <c r="J215">
        <f>(NFL2025Results3[[#This Row],[Home Margin]]-NFL2025Results3[[#This Row],[Home Forecast]])^2</f>
        <v>58.900350196179041</v>
      </c>
    </row>
    <row r="216" spans="4:10" x14ac:dyDescent="0.2">
      <c r="D216" t="s">
        <v>50</v>
      </c>
      <c r="E216" t="s">
        <v>31</v>
      </c>
      <c r="F216" t="s">
        <v>73</v>
      </c>
      <c r="G216" t="s">
        <v>59</v>
      </c>
      <c r="H216">
        <f>NFL2025Results3[[#This Row],[Home Points]]-NFL2025Results3[[#This Row],[Away Points]]</f>
        <v>4</v>
      </c>
      <c r="I216">
        <f>VLOOKUP(NFL2025Results3[[#This Row],[Home Team]],TeamRating,2,FALSE)-VLOOKUP(NFL2025Results3[[#This Row],[Away Team]],TeamRating,2,FALSE)+HomeEdge</f>
        <v>9.8469250283283358</v>
      </c>
      <c r="J216">
        <f>(NFL2025Results3[[#This Row],[Home Margin]]-NFL2025Results3[[#This Row],[Home Forecast]])^2</f>
        <v>34.186532286892309</v>
      </c>
    </row>
    <row r="217" spans="4:10" x14ac:dyDescent="0.2">
      <c r="D217" t="s">
        <v>55</v>
      </c>
      <c r="E217" t="s">
        <v>20</v>
      </c>
      <c r="F217" t="s">
        <v>59</v>
      </c>
      <c r="G217" t="s">
        <v>65</v>
      </c>
      <c r="H217">
        <f>NFL2025Results3[[#This Row],[Home Points]]-NFL2025Results3[[#This Row],[Away Points]]</f>
        <v>28</v>
      </c>
      <c r="I217">
        <f>VLOOKUP(NFL2025Results3[[#This Row],[Home Team]],TeamRating,2,FALSE)-VLOOKUP(NFL2025Results3[[#This Row],[Away Team]],TeamRating,2,FALSE)+HomeEdge</f>
        <v>11.002947713224579</v>
      </c>
      <c r="J217">
        <f>(NFL2025Results3[[#This Row],[Home Margin]]-NFL2025Results3[[#This Row],[Home Forecast]])^2</f>
        <v>288.89978643937758</v>
      </c>
    </row>
    <row r="218" spans="4:10" x14ac:dyDescent="0.2">
      <c r="D218" t="s">
        <v>51</v>
      </c>
      <c r="E218" t="s">
        <v>19</v>
      </c>
      <c r="F218" t="s">
        <v>6</v>
      </c>
      <c r="G218" t="s">
        <v>66</v>
      </c>
      <c r="H218">
        <f>NFL2025Results3[[#This Row],[Home Points]]-NFL2025Results3[[#This Row],[Away Points]]</f>
        <v>24</v>
      </c>
      <c r="I218">
        <f>VLOOKUP(NFL2025Results3[[#This Row],[Home Team]],TeamRating,2,FALSE)-VLOOKUP(NFL2025Results3[[#This Row],[Away Team]],TeamRating,2,FALSE)+HomeEdge</f>
        <v>13.94944011162211</v>
      </c>
      <c r="J218">
        <f>(NFL2025Results3[[#This Row],[Home Margin]]-NFL2025Results3[[#This Row],[Home Forecast]])^2</f>
        <v>101.01375406987059</v>
      </c>
    </row>
    <row r="219" spans="4:10" x14ac:dyDescent="0.2">
      <c r="D219" t="s">
        <v>47</v>
      </c>
      <c r="E219" t="s">
        <v>27</v>
      </c>
      <c r="F219" t="s">
        <v>53</v>
      </c>
      <c r="G219" t="s">
        <v>7</v>
      </c>
      <c r="H219">
        <f>NFL2025Results3[[#This Row],[Home Points]]-NFL2025Results3[[#This Row],[Away Points]]</f>
        <v>20</v>
      </c>
      <c r="I219">
        <f>VLOOKUP(NFL2025Results3[[#This Row],[Home Team]],TeamRating,2,FALSE)-VLOOKUP(NFL2025Results3[[#This Row],[Away Team]],TeamRating,2,FALSE)+HomeEdge</f>
        <v>13.736426193201272</v>
      </c>
      <c r="J219">
        <f>(NFL2025Results3[[#This Row],[Home Margin]]-NFL2025Results3[[#This Row],[Home Forecast]])^2</f>
        <v>39.232356833215114</v>
      </c>
    </row>
    <row r="220" spans="4:10" x14ac:dyDescent="0.2">
      <c r="D220" t="s">
        <v>15</v>
      </c>
      <c r="E220" t="s">
        <v>36</v>
      </c>
      <c r="F220" t="s">
        <v>67</v>
      </c>
      <c r="G220" t="s">
        <v>7</v>
      </c>
      <c r="H220">
        <f>NFL2025Results3[[#This Row],[Home Points]]-NFL2025Results3[[#This Row],[Away Points]]</f>
        <v>28</v>
      </c>
      <c r="I220">
        <f>VLOOKUP(NFL2025Results3[[#This Row],[Home Team]],TeamRating,2,FALSE)-VLOOKUP(NFL2025Results3[[#This Row],[Away Team]],TeamRating,2,FALSE)+HomeEdge</f>
        <v>19.812155563627808</v>
      </c>
      <c r="J220">
        <f>(NFL2025Results3[[#This Row],[Home Margin]]-NFL2025Results3[[#This Row],[Home Forecast]])^2</f>
        <v>67.040796514231062</v>
      </c>
    </row>
    <row r="221" spans="4:10" x14ac:dyDescent="0.2">
      <c r="D221" t="s">
        <v>8</v>
      </c>
      <c r="E221" t="s">
        <v>9</v>
      </c>
      <c r="F221" t="s">
        <v>22</v>
      </c>
      <c r="G221" t="s">
        <v>29</v>
      </c>
      <c r="H221">
        <f>NFL2025Results3[[#This Row],[Home Points]]-NFL2025Results3[[#This Row],[Away Points]]</f>
        <v>3</v>
      </c>
      <c r="I221">
        <f>VLOOKUP(NFL2025Results3[[#This Row],[Home Team]],TeamRating,2,FALSE)-VLOOKUP(NFL2025Results3[[#This Row],[Away Team]],TeamRating,2,FALSE)+HomeEdge</f>
        <v>3.6969191638865375</v>
      </c>
      <c r="J221">
        <f>(NFL2025Results3[[#This Row],[Home Margin]]-NFL2025Results3[[#This Row],[Home Forecast]])^2</f>
        <v>0.48569632099231053</v>
      </c>
    </row>
    <row r="222" spans="4:10" x14ac:dyDescent="0.2">
      <c r="D222" t="s">
        <v>32</v>
      </c>
      <c r="E222" t="s">
        <v>33</v>
      </c>
      <c r="F222" t="s">
        <v>63</v>
      </c>
      <c r="G222" t="s">
        <v>11</v>
      </c>
      <c r="H222">
        <f>NFL2025Results3[[#This Row],[Home Points]]-NFL2025Results3[[#This Row],[Away Points]]</f>
        <v>8</v>
      </c>
      <c r="I222">
        <f>VLOOKUP(NFL2025Results3[[#This Row],[Home Team]],TeamRating,2,FALSE)-VLOOKUP(NFL2025Results3[[#This Row],[Away Team]],TeamRating,2,FALSE)+HomeEdge</f>
        <v>6.7881354525117468</v>
      </c>
      <c r="J222">
        <f>(NFL2025Results3[[#This Row],[Home Margin]]-NFL2025Results3[[#This Row],[Home Forecast]])^2</f>
        <v>1.4686156814589089</v>
      </c>
    </row>
    <row r="223" spans="4:10" x14ac:dyDescent="0.2">
      <c r="D223" t="s">
        <v>4</v>
      </c>
      <c r="E223" t="s">
        <v>30</v>
      </c>
      <c r="F223" t="s">
        <v>59</v>
      </c>
      <c r="G223" t="s">
        <v>66</v>
      </c>
      <c r="H223">
        <f>NFL2025Results3[[#This Row],[Home Points]]-NFL2025Results3[[#This Row],[Away Points]]</f>
        <v>31</v>
      </c>
      <c r="I223">
        <f>VLOOKUP(NFL2025Results3[[#This Row],[Home Team]],TeamRating,2,FALSE)-VLOOKUP(NFL2025Results3[[#This Row],[Away Team]],TeamRating,2,FALSE)+HomeEdge</f>
        <v>14.68079838067176</v>
      </c>
      <c r="J223">
        <f>(NFL2025Results3[[#This Row],[Home Margin]]-NFL2025Results3[[#This Row],[Home Forecast]])^2</f>
        <v>266.31634149228546</v>
      </c>
    </row>
    <row r="224" spans="4:10" x14ac:dyDescent="0.2">
      <c r="D224" t="s">
        <v>28</v>
      </c>
      <c r="E224" t="s">
        <v>16</v>
      </c>
      <c r="F224" t="s">
        <v>7</v>
      </c>
      <c r="G224" t="s">
        <v>21</v>
      </c>
      <c r="H224">
        <f>NFL2025Results3[[#This Row],[Home Points]]-NFL2025Results3[[#This Row],[Away Points]]</f>
        <v>3</v>
      </c>
      <c r="I224">
        <f>VLOOKUP(NFL2025Results3[[#This Row],[Home Team]],TeamRating,2,FALSE)-VLOOKUP(NFL2025Results3[[#This Row],[Away Team]],TeamRating,2,FALSE)+HomeEdge</f>
        <v>11.19026799777019</v>
      </c>
      <c r="J224">
        <f>(NFL2025Results3[[#This Row],[Home Margin]]-NFL2025Results3[[#This Row],[Home Forecast]])^2</f>
        <v>67.080489875298525</v>
      </c>
    </row>
    <row r="225" spans="4:10" x14ac:dyDescent="0.2">
      <c r="D225" t="s">
        <v>43</v>
      </c>
      <c r="E225" t="s">
        <v>23</v>
      </c>
      <c r="F225" t="s">
        <v>56</v>
      </c>
      <c r="G225" t="s">
        <v>22</v>
      </c>
      <c r="H225">
        <f>NFL2025Results3[[#This Row],[Home Points]]-NFL2025Results3[[#This Row],[Away Points]]</f>
        <v>2</v>
      </c>
      <c r="I225">
        <f>VLOOKUP(NFL2025Results3[[#This Row],[Home Team]],TeamRating,2,FALSE)-VLOOKUP(NFL2025Results3[[#This Row],[Away Team]],TeamRating,2,FALSE)+HomeEdge</f>
        <v>10.9036663154066</v>
      </c>
      <c r="J225">
        <f>(NFL2025Results3[[#This Row],[Home Margin]]-NFL2025Results3[[#This Row],[Home Forecast]])^2</f>
        <v>79.275273856106139</v>
      </c>
    </row>
    <row r="226" spans="4:10" x14ac:dyDescent="0.2">
      <c r="D226" t="s">
        <v>39</v>
      </c>
      <c r="E226" t="s">
        <v>44</v>
      </c>
      <c r="F226" t="s">
        <v>37</v>
      </c>
      <c r="G226" t="s">
        <v>17</v>
      </c>
      <c r="H226">
        <f>NFL2025Results3[[#This Row],[Home Points]]-NFL2025Results3[[#This Row],[Away Points]]</f>
        <v>8</v>
      </c>
      <c r="I226">
        <f>VLOOKUP(NFL2025Results3[[#This Row],[Home Team]],TeamRating,2,FALSE)-VLOOKUP(NFL2025Results3[[#This Row],[Away Team]],TeamRating,2,FALSE)+HomeEdge</f>
        <v>8.8980581622333528</v>
      </c>
      <c r="J226">
        <f>(NFL2025Results3[[#This Row],[Home Margin]]-NFL2025Results3[[#This Row],[Home Forecast]])^2</f>
        <v>0.80650846275394694</v>
      </c>
    </row>
    <row r="227" spans="4:10" x14ac:dyDescent="0.2">
      <c r="D227" t="s">
        <v>46</v>
      </c>
      <c r="E227" t="s">
        <v>45</v>
      </c>
      <c r="F227" t="s">
        <v>52</v>
      </c>
      <c r="G227" t="s">
        <v>37</v>
      </c>
      <c r="H227">
        <f>NFL2025Results3[[#This Row],[Home Points]]-NFL2025Results3[[#This Row],[Away Points]]</f>
        <v>7</v>
      </c>
      <c r="I227">
        <f>VLOOKUP(NFL2025Results3[[#This Row],[Home Team]],TeamRating,2,FALSE)-VLOOKUP(NFL2025Results3[[#This Row],[Away Team]],TeamRating,2,FALSE)+HomeEdge</f>
        <v>13.326244105526261</v>
      </c>
      <c r="J227">
        <f>(NFL2025Results3[[#This Row],[Home Margin]]-NFL2025Results3[[#This Row],[Home Forecast]])^2</f>
        <v>40.021364482705756</v>
      </c>
    </row>
    <row r="228" spans="4:10" x14ac:dyDescent="0.2">
      <c r="D228" t="s">
        <v>42</v>
      </c>
      <c r="E228" t="s">
        <v>40</v>
      </c>
      <c r="F228" t="s">
        <v>60</v>
      </c>
      <c r="G228" t="s">
        <v>6</v>
      </c>
      <c r="H228">
        <f>NFL2025Results3[[#This Row],[Home Points]]-NFL2025Results3[[#This Row],[Away Points]]</f>
        <v>13</v>
      </c>
      <c r="I228">
        <f>VLOOKUP(NFL2025Results3[[#This Row],[Home Team]],TeamRating,2,FALSE)-VLOOKUP(NFL2025Results3[[#This Row],[Away Team]],TeamRating,2,FALSE)+HomeEdge</f>
        <v>14.053206543237325</v>
      </c>
      <c r="J228">
        <f>(NFL2025Results3[[#This Row],[Home Margin]]-NFL2025Results3[[#This Row],[Home Forecast]])^2</f>
        <v>1.1092440227179148</v>
      </c>
    </row>
    <row r="229" spans="4:10" x14ac:dyDescent="0.2">
      <c r="D229" t="s">
        <v>54</v>
      </c>
      <c r="E229" t="s">
        <v>5</v>
      </c>
      <c r="F229" t="s">
        <v>37</v>
      </c>
      <c r="G229" t="s">
        <v>17</v>
      </c>
      <c r="H229">
        <f>NFL2025Results3[[#This Row],[Home Points]]-NFL2025Results3[[#This Row],[Away Points]]</f>
        <v>8</v>
      </c>
      <c r="I229">
        <f>VLOOKUP(NFL2025Results3[[#This Row],[Home Team]],TeamRating,2,FALSE)-VLOOKUP(NFL2025Results3[[#This Row],[Away Team]],TeamRating,2,FALSE)+HomeEdge</f>
        <v>11.062149392826381</v>
      </c>
      <c r="J229">
        <f>(NFL2025Results3[[#This Row],[Home Margin]]-NFL2025Results3[[#This Row],[Home Forecast]])^2</f>
        <v>9.376758903986973</v>
      </c>
    </row>
    <row r="230" spans="4:10" x14ac:dyDescent="0.2">
      <c r="D230" t="s">
        <v>35</v>
      </c>
      <c r="E230" t="s">
        <v>24</v>
      </c>
      <c r="F230" t="s">
        <v>64</v>
      </c>
      <c r="G230" t="s">
        <v>69</v>
      </c>
      <c r="H230">
        <f>NFL2025Results3[[#This Row],[Home Points]]-NFL2025Results3[[#This Row],[Away Points]]</f>
        <v>13</v>
      </c>
      <c r="I230">
        <f>VLOOKUP(NFL2025Results3[[#This Row],[Home Team]],TeamRating,2,FALSE)-VLOOKUP(NFL2025Results3[[#This Row],[Away Team]],TeamRating,2,FALSE)+HomeEdge</f>
        <v>12.498550650119837</v>
      </c>
      <c r="J230">
        <f>(NFL2025Results3[[#This Row],[Home Margin]]-NFL2025Results3[[#This Row],[Home Forecast]])^2</f>
        <v>0.2514514504952382</v>
      </c>
    </row>
    <row r="231" spans="4:10" x14ac:dyDescent="0.2">
      <c r="D231" t="s">
        <v>43</v>
      </c>
      <c r="E231" t="s">
        <v>46</v>
      </c>
      <c r="F231" t="s">
        <v>70</v>
      </c>
      <c r="G231" t="s">
        <v>60</v>
      </c>
      <c r="H231">
        <f>NFL2025Results3[[#This Row],[Home Points]]-NFL2025Results3[[#This Row],[Away Points]]</f>
        <v>1</v>
      </c>
      <c r="I231">
        <f>VLOOKUP(NFL2025Results3[[#This Row],[Home Team]],TeamRating,2,FALSE)-VLOOKUP(NFL2025Results3[[#This Row],[Away Team]],TeamRating,2,FALSE)+HomeEdge</f>
        <v>8.2864309998131525</v>
      </c>
      <c r="J231">
        <f>(NFL2025Results3[[#This Row],[Home Margin]]-NFL2025Results3[[#This Row],[Home Forecast]])^2</f>
        <v>53.092076715038097</v>
      </c>
    </row>
    <row r="232" spans="4:10" x14ac:dyDescent="0.2">
      <c r="D232" t="s">
        <v>4</v>
      </c>
      <c r="E232" t="s">
        <v>32</v>
      </c>
      <c r="F232" t="s">
        <v>63</v>
      </c>
      <c r="G232" t="s">
        <v>56</v>
      </c>
      <c r="H232">
        <f>NFL2025Results3[[#This Row],[Home Points]]-NFL2025Results3[[#This Row],[Away Points]]</f>
        <v>11</v>
      </c>
      <c r="I232">
        <f>VLOOKUP(NFL2025Results3[[#This Row],[Home Team]],TeamRating,2,FALSE)-VLOOKUP(NFL2025Results3[[#This Row],[Away Team]],TeamRating,2,FALSE)+HomeEdge</f>
        <v>11.878839787127101</v>
      </c>
      <c r="J232">
        <f>(NFL2025Results3[[#This Row],[Home Margin]]-NFL2025Results3[[#This Row],[Home Forecast]])^2</f>
        <v>0.77235937143760736</v>
      </c>
    </row>
    <row r="233" spans="4:10" x14ac:dyDescent="0.2">
      <c r="D233" t="s">
        <v>55</v>
      </c>
      <c r="E233" t="s">
        <v>44</v>
      </c>
      <c r="F233" t="s">
        <v>62</v>
      </c>
      <c r="G233" t="s">
        <v>22</v>
      </c>
      <c r="H233">
        <f>NFL2025Results3[[#This Row],[Home Points]]-NFL2025Results3[[#This Row],[Away Points]]</f>
        <v>6</v>
      </c>
      <c r="I233">
        <f>VLOOKUP(NFL2025Results3[[#This Row],[Home Team]],TeamRating,2,FALSE)-VLOOKUP(NFL2025Results3[[#This Row],[Away Team]],TeamRating,2,FALSE)+HomeEdge</f>
        <v>8.5008824365800173</v>
      </c>
      <c r="J233">
        <f>(NFL2025Results3[[#This Row],[Home Margin]]-NFL2025Results3[[#This Row],[Home Forecast]])^2</f>
        <v>6.2544129615944044</v>
      </c>
    </row>
    <row r="234" spans="4:10" x14ac:dyDescent="0.2">
      <c r="D234" t="s">
        <v>50</v>
      </c>
      <c r="E234" t="s">
        <v>20</v>
      </c>
      <c r="F234" t="s">
        <v>14</v>
      </c>
      <c r="G234" t="s">
        <v>7</v>
      </c>
      <c r="H234">
        <f>NFL2025Results3[[#This Row],[Home Points]]-NFL2025Results3[[#This Row],[Away Points]]</f>
        <v>3</v>
      </c>
      <c r="I234">
        <f>VLOOKUP(NFL2025Results3[[#This Row],[Home Team]],TeamRating,2,FALSE)-VLOOKUP(NFL2025Results3[[#This Row],[Away Team]],TeamRating,2,FALSE)+HomeEdge</f>
        <v>13.950543828218391</v>
      </c>
      <c r="J234">
        <f>(NFL2025Results3[[#This Row],[Home Margin]]-NFL2025Results3[[#This Row],[Home Forecast]])^2</f>
        <v>119.91441013373191</v>
      </c>
    </row>
    <row r="235" spans="4:10" x14ac:dyDescent="0.2">
      <c r="D235" t="s">
        <v>16</v>
      </c>
      <c r="E235" t="s">
        <v>12</v>
      </c>
      <c r="F235" t="s">
        <v>14</v>
      </c>
      <c r="G235" t="s">
        <v>7</v>
      </c>
      <c r="H235">
        <f>NFL2025Results3[[#This Row],[Home Points]]-NFL2025Results3[[#This Row],[Away Points]]</f>
        <v>3</v>
      </c>
      <c r="I235">
        <f>VLOOKUP(NFL2025Results3[[#This Row],[Home Team]],TeamRating,2,FALSE)-VLOOKUP(NFL2025Results3[[#This Row],[Away Team]],TeamRating,2,FALSE)+HomeEdge</f>
        <v>7.5162456215484674</v>
      </c>
      <c r="J235">
        <f>(NFL2025Results3[[#This Row],[Home Margin]]-NFL2025Results3[[#This Row],[Home Forecast]])^2</f>
        <v>20.396474514155702</v>
      </c>
    </row>
    <row r="236" spans="4:10" x14ac:dyDescent="0.2">
      <c r="D236" t="s">
        <v>19</v>
      </c>
      <c r="E236" t="s">
        <v>24</v>
      </c>
      <c r="F236" t="s">
        <v>79</v>
      </c>
      <c r="G236" t="s">
        <v>11</v>
      </c>
      <c r="H236">
        <f>NFL2025Results3[[#This Row],[Home Points]]-NFL2025Results3[[#This Row],[Away Points]]</f>
        <v>24</v>
      </c>
      <c r="I236">
        <f>VLOOKUP(NFL2025Results3[[#This Row],[Home Team]],TeamRating,2,FALSE)-VLOOKUP(NFL2025Results3[[#This Row],[Away Team]],TeamRating,2,FALSE)+HomeEdge</f>
        <v>11.647724526629382</v>
      </c>
      <c r="J236">
        <f>(NFL2025Results3[[#This Row],[Home Margin]]-NFL2025Results3[[#This Row],[Home Forecast]])^2</f>
        <v>152.57870937003332</v>
      </c>
    </row>
    <row r="237" spans="4:10" x14ac:dyDescent="0.2">
      <c r="D237" t="s">
        <v>8</v>
      </c>
      <c r="E237" t="s">
        <v>5</v>
      </c>
      <c r="F237" t="s">
        <v>37</v>
      </c>
      <c r="G237" t="s">
        <v>21</v>
      </c>
      <c r="H237">
        <f>NFL2025Results3[[#This Row],[Home Points]]-NFL2025Results3[[#This Row],[Away Points]]</f>
        <v>17</v>
      </c>
      <c r="I237">
        <f>VLOOKUP(NFL2025Results3[[#This Row],[Home Team]],TeamRating,2,FALSE)-VLOOKUP(NFL2025Results3[[#This Row],[Away Team]],TeamRating,2,FALSE)+HomeEdge</f>
        <v>9.8306560695494554</v>
      </c>
      <c r="J237">
        <f>(NFL2025Results3[[#This Row],[Home Margin]]-NFL2025Results3[[#This Row],[Home Forecast]])^2</f>
        <v>51.39949239308806</v>
      </c>
    </row>
    <row r="238" spans="4:10" x14ac:dyDescent="0.2">
      <c r="D238" t="s">
        <v>40</v>
      </c>
      <c r="E238" t="s">
        <v>9</v>
      </c>
      <c r="F238" t="s">
        <v>17</v>
      </c>
      <c r="G238" t="s">
        <v>49</v>
      </c>
      <c r="H238">
        <f>NFL2025Results3[[#This Row],[Home Points]]-NFL2025Results3[[#This Row],[Away Points]]</f>
        <v>17</v>
      </c>
      <c r="I238">
        <f>VLOOKUP(NFL2025Results3[[#This Row],[Home Team]],TeamRating,2,FALSE)-VLOOKUP(NFL2025Results3[[#This Row],[Away Team]],TeamRating,2,FALSE)+HomeEdge</f>
        <v>1.6189274469083585</v>
      </c>
      <c r="J238">
        <f>(NFL2025Results3[[#This Row],[Home Margin]]-NFL2025Results3[[#This Row],[Home Forecast]])^2</f>
        <v>236.57739288346903</v>
      </c>
    </row>
    <row r="239" spans="4:10" x14ac:dyDescent="0.2">
      <c r="D239" t="s">
        <v>54</v>
      </c>
      <c r="E239" t="s">
        <v>33</v>
      </c>
      <c r="F239" t="s">
        <v>22</v>
      </c>
      <c r="G239" t="s">
        <v>29</v>
      </c>
      <c r="H239">
        <f>NFL2025Results3[[#This Row],[Home Points]]-NFL2025Results3[[#This Row],[Away Points]]</f>
        <v>3</v>
      </c>
      <c r="I239">
        <f>VLOOKUP(NFL2025Results3[[#This Row],[Home Team]],TeamRating,2,FALSE)-VLOOKUP(NFL2025Results3[[#This Row],[Away Team]],TeamRating,2,FALSE)+HomeEdge</f>
        <v>8.3554365193339795</v>
      </c>
      <c r="J239">
        <f>(NFL2025Results3[[#This Row],[Home Margin]]-NFL2025Results3[[#This Row],[Home Forecast]])^2</f>
        <v>28.68070031261605</v>
      </c>
    </row>
    <row r="240" spans="4:10" x14ac:dyDescent="0.2">
      <c r="D240" t="s">
        <v>28</v>
      </c>
      <c r="E240" t="s">
        <v>36</v>
      </c>
      <c r="F240" t="s">
        <v>63</v>
      </c>
      <c r="G240" t="s">
        <v>34</v>
      </c>
      <c r="H240">
        <f>NFL2025Results3[[#This Row],[Home Points]]-NFL2025Results3[[#This Row],[Away Points]]</f>
        <v>23</v>
      </c>
      <c r="I240">
        <f>VLOOKUP(NFL2025Results3[[#This Row],[Home Team]],TeamRating,2,FALSE)-VLOOKUP(NFL2025Results3[[#This Row],[Away Team]],TeamRating,2,FALSE)+HomeEdge</f>
        <v>13.917751096496328</v>
      </c>
      <c r="J240">
        <f>(NFL2025Results3[[#This Row],[Home Margin]]-NFL2025Results3[[#This Row],[Home Forecast]])^2</f>
        <v>82.487245145193654</v>
      </c>
    </row>
    <row r="241" spans="4:10" x14ac:dyDescent="0.2">
      <c r="D241" t="s">
        <v>13</v>
      </c>
      <c r="E241" t="s">
        <v>27</v>
      </c>
      <c r="F241" t="s">
        <v>17</v>
      </c>
      <c r="G241" t="s">
        <v>61</v>
      </c>
      <c r="H241">
        <f>NFL2025Results3[[#This Row],[Home Points]]-NFL2025Results3[[#This Row],[Away Points]]</f>
        <v>7</v>
      </c>
      <c r="I241">
        <f>VLOOKUP(NFL2025Results3[[#This Row],[Home Team]],TeamRating,2,FALSE)-VLOOKUP(NFL2025Results3[[#This Row],[Away Team]],TeamRating,2,FALSE)+HomeEdge</f>
        <v>7.3681640979870302</v>
      </c>
      <c r="J241">
        <f>(NFL2025Results3[[#This Row],[Home Margin]]-NFL2025Results3[[#This Row],[Home Forecast]])^2</f>
        <v>0.13554480304660357</v>
      </c>
    </row>
    <row r="242" spans="4:10" x14ac:dyDescent="0.2">
      <c r="D242" t="s">
        <v>15</v>
      </c>
      <c r="E242" t="s">
        <v>39</v>
      </c>
      <c r="F242" t="s">
        <v>37</v>
      </c>
      <c r="G242" t="s">
        <v>7</v>
      </c>
      <c r="H242">
        <f>NFL2025Results3[[#This Row],[Home Points]]-NFL2025Results3[[#This Row],[Away Points]]</f>
        <v>14</v>
      </c>
      <c r="I242">
        <f>VLOOKUP(NFL2025Results3[[#This Row],[Home Team]],TeamRating,2,FALSE)-VLOOKUP(NFL2025Results3[[#This Row],[Away Team]],TeamRating,2,FALSE)+HomeEdge</f>
        <v>14.452788982754356</v>
      </c>
      <c r="J242">
        <f>(NFL2025Results3[[#This Row],[Home Margin]]-NFL2025Results3[[#This Row],[Home Forecast]])^2</f>
        <v>0.20501786290372456</v>
      </c>
    </row>
    <row r="243" spans="4:10" x14ac:dyDescent="0.2">
      <c r="D243" t="s">
        <v>35</v>
      </c>
      <c r="E243" t="s">
        <v>45</v>
      </c>
      <c r="F243" t="s">
        <v>63</v>
      </c>
      <c r="G243" t="s">
        <v>6</v>
      </c>
      <c r="H243">
        <f>NFL2025Results3[[#This Row],[Home Points]]-NFL2025Results3[[#This Row],[Away Points]]</f>
        <v>5</v>
      </c>
      <c r="I243">
        <f>VLOOKUP(NFL2025Results3[[#This Row],[Home Team]],TeamRating,2,FALSE)-VLOOKUP(NFL2025Results3[[#This Row],[Away Team]],TeamRating,2,FALSE)+HomeEdge</f>
        <v>4.9342781160963103</v>
      </c>
      <c r="J243">
        <f>(NFL2025Results3[[#This Row],[Home Margin]]-NFL2025Results3[[#This Row],[Home Forecast]])^2</f>
        <v>4.3193660238500693E-3</v>
      </c>
    </row>
    <row r="244" spans="4:10" x14ac:dyDescent="0.2">
      <c r="D244" t="s">
        <v>47</v>
      </c>
      <c r="E244" t="s">
        <v>30</v>
      </c>
      <c r="F244" t="s">
        <v>14</v>
      </c>
      <c r="G244" t="s">
        <v>11</v>
      </c>
      <c r="H244">
        <f>NFL2025Results3[[#This Row],[Home Points]]-NFL2025Results3[[#This Row],[Away Points]]</f>
        <v>2</v>
      </c>
      <c r="I244">
        <f>VLOOKUP(NFL2025Results3[[#This Row],[Home Team]],TeamRating,2,FALSE)-VLOOKUP(NFL2025Results3[[#This Row],[Away Team]],TeamRating,2,FALSE)+HomeEdge</f>
        <v>17.816439727708641</v>
      </c>
      <c r="J244">
        <f>(NFL2025Results3[[#This Row],[Home Margin]]-NFL2025Results3[[#This Row],[Home Forecast]])^2</f>
        <v>250.1597656602402</v>
      </c>
    </row>
    <row r="245" spans="4:10" x14ac:dyDescent="0.2">
      <c r="D245" t="s">
        <v>31</v>
      </c>
      <c r="E245" t="s">
        <v>51</v>
      </c>
      <c r="F245" t="s">
        <v>64</v>
      </c>
      <c r="G245" t="s">
        <v>6</v>
      </c>
      <c r="H245">
        <f>NFL2025Results3[[#This Row],[Home Points]]-NFL2025Results3[[#This Row],[Away Points]]</f>
        <v>4</v>
      </c>
      <c r="I245">
        <f>VLOOKUP(NFL2025Results3[[#This Row],[Home Team]],TeamRating,2,FALSE)-VLOOKUP(NFL2025Results3[[#This Row],[Away Team]],TeamRating,2,FALSE)+HomeEdge</f>
        <v>9.2245802890843915</v>
      </c>
      <c r="J245">
        <f>(NFL2025Results3[[#This Row],[Home Margin]]-NFL2025Results3[[#This Row],[Home Forecast]])^2</f>
        <v>27.296239197089143</v>
      </c>
    </row>
    <row r="246" spans="4:10" x14ac:dyDescent="0.2">
      <c r="D246" t="s">
        <v>42</v>
      </c>
      <c r="E246" t="s">
        <v>23</v>
      </c>
      <c r="F246" t="s">
        <v>67</v>
      </c>
      <c r="G246" t="s">
        <v>10</v>
      </c>
      <c r="H246">
        <f>NFL2025Results3[[#This Row],[Home Points]]-NFL2025Results3[[#This Row],[Away Points]]</f>
        <v>21</v>
      </c>
      <c r="I246">
        <f>VLOOKUP(NFL2025Results3[[#This Row],[Home Team]],TeamRating,2,FALSE)-VLOOKUP(NFL2025Results3[[#This Row],[Away Team]],TeamRating,2,FALSE)+HomeEdge</f>
        <v>6.3924408762685356</v>
      </c>
      <c r="J246">
        <f>(NFL2025Results3[[#This Row],[Home Margin]]-NFL2025Results3[[#This Row],[Home Forecast]])^2</f>
        <v>213.38078355331035</v>
      </c>
    </row>
    <row r="247" spans="4:10" x14ac:dyDescent="0.2">
      <c r="D247" t="s">
        <v>5</v>
      </c>
      <c r="E247" t="s">
        <v>32</v>
      </c>
      <c r="F247" t="s">
        <v>57</v>
      </c>
      <c r="G247" t="s">
        <v>14</v>
      </c>
      <c r="H247">
        <f>NFL2025Results3[[#This Row],[Home Points]]-NFL2025Results3[[#This Row],[Away Points]]</f>
        <v>7</v>
      </c>
      <c r="I247">
        <f>VLOOKUP(NFL2025Results3[[#This Row],[Home Team]],TeamRating,2,FALSE)-VLOOKUP(NFL2025Results3[[#This Row],[Away Team]],TeamRating,2,FALSE)+HomeEdge</f>
        <v>10.149009824132376</v>
      </c>
      <c r="J247">
        <f>(NFL2025Results3[[#This Row],[Home Margin]]-NFL2025Results3[[#This Row],[Home Forecast]])^2</f>
        <v>9.9162628724822177</v>
      </c>
    </row>
    <row r="248" spans="4:10" x14ac:dyDescent="0.2">
      <c r="D248" t="s">
        <v>54</v>
      </c>
      <c r="E248" t="s">
        <v>45</v>
      </c>
      <c r="F248" t="s">
        <v>14</v>
      </c>
      <c r="G248" t="s">
        <v>18</v>
      </c>
      <c r="H248">
        <f>NFL2025Results3[[#This Row],[Home Points]]-NFL2025Results3[[#This Row],[Away Points]]</f>
        <v>13</v>
      </c>
      <c r="I248">
        <f>VLOOKUP(NFL2025Results3[[#This Row],[Home Team]],TeamRating,2,FALSE)-VLOOKUP(NFL2025Results3[[#This Row],[Away Team]],TeamRating,2,FALSE)+HomeEdge</f>
        <v>6.3577281632191278</v>
      </c>
      <c r="J248">
        <f>(NFL2025Results3[[#This Row],[Home Margin]]-NFL2025Results3[[#This Row],[Home Forecast]])^2</f>
        <v>44.119775153692345</v>
      </c>
    </row>
    <row r="249" spans="4:10" x14ac:dyDescent="0.2">
      <c r="D249" t="s">
        <v>39</v>
      </c>
      <c r="E249" t="s">
        <v>9</v>
      </c>
      <c r="F249" t="s">
        <v>7</v>
      </c>
      <c r="G249" t="s">
        <v>29</v>
      </c>
      <c r="H249">
        <f>NFL2025Results3[[#This Row],[Home Points]]-NFL2025Results3[[#This Row],[Away Points]]</f>
        <v>7</v>
      </c>
      <c r="I249">
        <f>VLOOKUP(NFL2025Results3[[#This Row],[Home Team]],TeamRating,2,FALSE)-VLOOKUP(NFL2025Results3[[#This Row],[Away Team]],TeamRating,2,FALSE)+HomeEdge</f>
        <v>3.658874131039763</v>
      </c>
      <c r="J249">
        <f>(NFL2025Results3[[#This Row],[Home Margin]]-NFL2025Results3[[#This Row],[Home Forecast]])^2</f>
        <v>11.163122072235298</v>
      </c>
    </row>
    <row r="250" spans="4:10" x14ac:dyDescent="0.2">
      <c r="D250" t="s">
        <v>47</v>
      </c>
      <c r="E250" t="s">
        <v>8</v>
      </c>
      <c r="F250" t="s">
        <v>7</v>
      </c>
      <c r="G250" t="s">
        <v>22</v>
      </c>
      <c r="H250">
        <f>NFL2025Results3[[#This Row],[Home Points]]-NFL2025Results3[[#This Row],[Away Points]]</f>
        <v>4</v>
      </c>
      <c r="I250">
        <f>VLOOKUP(NFL2025Results3[[#This Row],[Home Team]],TeamRating,2,FALSE)-VLOOKUP(NFL2025Results3[[#This Row],[Away Team]],TeamRating,2,FALSE)+HomeEdge</f>
        <v>14.678673390618673</v>
      </c>
      <c r="J250">
        <f>(NFL2025Results3[[#This Row],[Home Margin]]-NFL2025Results3[[#This Row],[Home Forecast]])^2</f>
        <v>114.03406538350731</v>
      </c>
    </row>
    <row r="251" spans="4:10" x14ac:dyDescent="0.2">
      <c r="D251" t="s">
        <v>51</v>
      </c>
      <c r="E251" t="s">
        <v>44</v>
      </c>
      <c r="F251" t="s">
        <v>52</v>
      </c>
      <c r="G251" t="s">
        <v>6</v>
      </c>
      <c r="H251">
        <f>NFL2025Results3[[#This Row],[Home Points]]-NFL2025Results3[[#This Row],[Away Points]]</f>
        <v>17</v>
      </c>
      <c r="I251">
        <f>VLOOKUP(NFL2025Results3[[#This Row],[Home Team]],TeamRating,2,FALSE)-VLOOKUP(NFL2025Results3[[#This Row],[Away Team]],TeamRating,2,FALSE)+HomeEdge</f>
        <v>12.020831384297628</v>
      </c>
      <c r="J251">
        <f>(NFL2025Results3[[#This Row],[Home Margin]]-NFL2025Results3[[#This Row],[Home Forecast]])^2</f>
        <v>24.792120103595479</v>
      </c>
    </row>
    <row r="252" spans="4:10" x14ac:dyDescent="0.2">
      <c r="D252" t="s">
        <v>43</v>
      </c>
      <c r="E252" t="s">
        <v>16</v>
      </c>
      <c r="F252" t="s">
        <v>10</v>
      </c>
      <c r="G252" t="s">
        <v>18</v>
      </c>
      <c r="H252">
        <f>NFL2025Results3[[#This Row],[Home Points]]-NFL2025Results3[[#This Row],[Away Points]]</f>
        <v>17</v>
      </c>
      <c r="I252">
        <f>VLOOKUP(NFL2025Results3[[#This Row],[Home Team]],TeamRating,2,FALSE)-VLOOKUP(NFL2025Results3[[#This Row],[Away Team]],TeamRating,2,FALSE)+HomeEdge</f>
        <v>19.156368780391297</v>
      </c>
      <c r="J252">
        <f>(NFL2025Results3[[#This Row],[Home Margin]]-NFL2025Results3[[#This Row],[Home Forecast]])^2</f>
        <v>4.6499263170462495</v>
      </c>
    </row>
    <row r="253" spans="4:10" x14ac:dyDescent="0.2">
      <c r="D253" t="s">
        <v>19</v>
      </c>
      <c r="E253" t="s">
        <v>27</v>
      </c>
      <c r="F253" t="s">
        <v>60</v>
      </c>
      <c r="G253" t="s">
        <v>48</v>
      </c>
      <c r="H253">
        <f>NFL2025Results3[[#This Row],[Home Points]]-NFL2025Results3[[#This Row],[Away Points]]</f>
        <v>23</v>
      </c>
      <c r="I253">
        <f>VLOOKUP(NFL2025Results3[[#This Row],[Home Team]],TeamRating,2,FALSE)-VLOOKUP(NFL2025Results3[[#This Row],[Away Team]],TeamRating,2,FALSE)+HomeEdge</f>
        <v>7.8368990303145134</v>
      </c>
      <c r="J253">
        <f>(NFL2025Results3[[#This Row],[Home Margin]]-NFL2025Results3[[#This Row],[Home Forecast]])^2</f>
        <v>229.91963101687696</v>
      </c>
    </row>
    <row r="254" spans="4:10" x14ac:dyDescent="0.2">
      <c r="D254" t="s">
        <v>20</v>
      </c>
      <c r="E254" t="s">
        <v>35</v>
      </c>
      <c r="F254" t="s">
        <v>29</v>
      </c>
      <c r="G254" t="s">
        <v>34</v>
      </c>
      <c r="H254">
        <f>NFL2025Results3[[#This Row],[Home Points]]-NFL2025Results3[[#This Row],[Away Points]]</f>
        <v>7</v>
      </c>
      <c r="I254">
        <f>VLOOKUP(NFL2025Results3[[#This Row],[Home Team]],TeamRating,2,FALSE)-VLOOKUP(NFL2025Results3[[#This Row],[Away Team]],TeamRating,2,FALSE)+HomeEdge</f>
        <v>8.3976464022577257</v>
      </c>
      <c r="J254">
        <f>(NFL2025Results3[[#This Row],[Home Margin]]-NFL2025Results3[[#This Row],[Home Forecast]])^2</f>
        <v>1.9534154657439644</v>
      </c>
    </row>
    <row r="255" spans="4:10" x14ac:dyDescent="0.2">
      <c r="D255" t="s">
        <v>15</v>
      </c>
      <c r="E255" t="s">
        <v>23</v>
      </c>
      <c r="F255" t="s">
        <v>14</v>
      </c>
      <c r="G255" t="s">
        <v>21</v>
      </c>
      <c r="H255">
        <f>NFL2025Results3[[#This Row],[Home Points]]-NFL2025Results3[[#This Row],[Away Points]]</f>
        <v>6</v>
      </c>
      <c r="I255">
        <f>VLOOKUP(NFL2025Results3[[#This Row],[Home Team]],TeamRating,2,FALSE)-VLOOKUP(NFL2025Results3[[#This Row],[Away Team]],TeamRating,2,FALSE)+HomeEdge</f>
        <v>8.8319699999169714</v>
      </c>
      <c r="J255">
        <f>(NFL2025Results3[[#This Row],[Home Margin]]-NFL2025Results3[[#This Row],[Home Forecast]])^2</f>
        <v>8.0200540804297304</v>
      </c>
    </row>
    <row r="256" spans="4:10" x14ac:dyDescent="0.2">
      <c r="D256" t="s">
        <v>24</v>
      </c>
      <c r="E256" t="s">
        <v>12</v>
      </c>
      <c r="F256" t="s">
        <v>7</v>
      </c>
      <c r="G256" t="s">
        <v>21</v>
      </c>
      <c r="H256">
        <f>NFL2025Results3[[#This Row],[Home Points]]-NFL2025Results3[[#This Row],[Away Points]]</f>
        <v>3</v>
      </c>
      <c r="I256">
        <f>VLOOKUP(NFL2025Results3[[#This Row],[Home Team]],TeamRating,2,FALSE)-VLOOKUP(NFL2025Results3[[#This Row],[Away Team]],TeamRating,2,FALSE)+HomeEdge</f>
        <v>7.3175958376450891</v>
      </c>
      <c r="J256">
        <f>(NFL2025Results3[[#This Row],[Home Margin]]-NFL2025Results3[[#This Row],[Home Forecast]])^2</f>
        <v>18.641633817250199</v>
      </c>
    </row>
    <row r="257" spans="4:10" x14ac:dyDescent="0.2">
      <c r="D257" t="s">
        <v>28</v>
      </c>
      <c r="E257" t="s">
        <v>40</v>
      </c>
      <c r="F257" t="s">
        <v>37</v>
      </c>
      <c r="G257" t="s">
        <v>17</v>
      </c>
      <c r="H257">
        <f>NFL2025Results3[[#This Row],[Home Points]]-NFL2025Results3[[#This Row],[Away Points]]</f>
        <v>8</v>
      </c>
      <c r="I257">
        <f>VLOOKUP(NFL2025Results3[[#This Row],[Home Team]],TeamRating,2,FALSE)-VLOOKUP(NFL2025Results3[[#This Row],[Away Team]],TeamRating,2,FALSE)+HomeEdge</f>
        <v>10.598331199754281</v>
      </c>
      <c r="J257">
        <f>(NFL2025Results3[[#This Row],[Home Margin]]-NFL2025Results3[[#This Row],[Home Forecast]])^2</f>
        <v>6.751325023616519</v>
      </c>
    </row>
    <row r="258" spans="4:10" x14ac:dyDescent="0.2">
      <c r="D258" t="s">
        <v>31</v>
      </c>
      <c r="E258" t="s">
        <v>36</v>
      </c>
      <c r="F258" t="s">
        <v>71</v>
      </c>
      <c r="G258" t="s">
        <v>18</v>
      </c>
      <c r="H258">
        <f>NFL2025Results3[[#This Row],[Home Points]]-NFL2025Results3[[#This Row],[Away Points]]</f>
        <v>32</v>
      </c>
      <c r="I258">
        <f>VLOOKUP(NFL2025Results3[[#This Row],[Home Team]],TeamRating,2,FALSE)-VLOOKUP(NFL2025Results3[[#This Row],[Away Team]],TeamRating,2,FALSE)+HomeEdge</f>
        <v>17.706720092022117</v>
      </c>
      <c r="J258">
        <f>(NFL2025Results3[[#This Row],[Home Margin]]-NFL2025Results3[[#This Row],[Home Forecast]])^2</f>
        <v>204.29785052780426</v>
      </c>
    </row>
    <row r="259" spans="4:10" x14ac:dyDescent="0.2">
      <c r="D259" t="s">
        <v>33</v>
      </c>
      <c r="E259" t="s">
        <v>30</v>
      </c>
      <c r="F259" t="s">
        <v>37</v>
      </c>
      <c r="G259" t="s">
        <v>18</v>
      </c>
      <c r="H259">
        <f>NFL2025Results3[[#This Row],[Home Points]]-NFL2025Results3[[#This Row],[Away Points]]</f>
        <v>24</v>
      </c>
      <c r="I259">
        <f>VLOOKUP(NFL2025Results3[[#This Row],[Home Team]],TeamRating,2,FALSE)-VLOOKUP(NFL2025Results3[[#This Row],[Away Team]],TeamRating,2,FALSE)+HomeEdge</f>
        <v>15.657681291169435</v>
      </c>
      <c r="J259">
        <f>(NFL2025Results3[[#This Row],[Home Margin]]-NFL2025Results3[[#This Row],[Home Forecast]])^2</f>
        <v>69.59428143970446</v>
      </c>
    </row>
    <row r="260" spans="4:10" x14ac:dyDescent="0.2">
      <c r="D260" t="s">
        <v>4</v>
      </c>
      <c r="E260" t="s">
        <v>50</v>
      </c>
      <c r="F260" t="s">
        <v>29</v>
      </c>
      <c r="G260" t="s">
        <v>41</v>
      </c>
      <c r="H260">
        <f>NFL2025Results3[[#This Row],[Home Points]]-NFL2025Results3[[#This Row],[Away Points]]</f>
        <v>1</v>
      </c>
      <c r="I260">
        <f>VLOOKUP(NFL2025Results3[[#This Row],[Home Team]],TeamRating,2,FALSE)-VLOOKUP(NFL2025Results3[[#This Row],[Away Team]],TeamRating,2,FALSE)+HomeEdge</f>
        <v>9.03065668708809</v>
      </c>
      <c r="J260">
        <f>(NFL2025Results3[[#This Row],[Home Margin]]-NFL2025Results3[[#This Row],[Home Forecast]])^2</f>
        <v>64.491446825872657</v>
      </c>
    </row>
    <row r="261" spans="4:10" x14ac:dyDescent="0.2">
      <c r="D261" t="s">
        <v>42</v>
      </c>
      <c r="E261" t="s">
        <v>55</v>
      </c>
      <c r="F261" t="s">
        <v>71</v>
      </c>
      <c r="G261" t="s">
        <v>70</v>
      </c>
      <c r="H261">
        <f>NFL2025Results3[[#This Row],[Home Points]]-NFL2025Results3[[#This Row],[Away Points]]</f>
        <v>4</v>
      </c>
      <c r="I261">
        <f>VLOOKUP(NFL2025Results3[[#This Row],[Home Team]],TeamRating,2,FALSE)-VLOOKUP(NFL2025Results3[[#This Row],[Away Team]],TeamRating,2,FALSE)+HomeEdge</f>
        <v>12.410435584759258</v>
      </c>
      <c r="J261">
        <f>(NFL2025Results3[[#This Row],[Home Margin]]-NFL2025Results3[[#This Row],[Home Forecast]])^2</f>
        <v>70.735426725384798</v>
      </c>
    </row>
    <row r="262" spans="4:10" x14ac:dyDescent="0.2">
      <c r="D262" t="s">
        <v>13</v>
      </c>
      <c r="E262" t="s">
        <v>46</v>
      </c>
      <c r="F262" t="s">
        <v>10</v>
      </c>
      <c r="G262" t="s">
        <v>6</v>
      </c>
      <c r="H262">
        <f>NFL2025Results3[[#This Row],[Home Points]]-NFL2025Results3[[#This Row],[Away Points]]</f>
        <v>3</v>
      </c>
      <c r="I262">
        <f>VLOOKUP(NFL2025Results3[[#This Row],[Home Team]],TeamRating,2,FALSE)-VLOOKUP(NFL2025Results3[[#This Row],[Away Team]],TeamRating,2,FALSE)+HomeEdge</f>
        <v>0.11040202982037428</v>
      </c>
      <c r="J262">
        <f>(NFL2025Results3[[#This Row],[Home Margin]]-NFL2025Results3[[#This Row],[Home Forecast]])^2</f>
        <v>8.349776429266214</v>
      </c>
    </row>
    <row r="263" spans="4:10" x14ac:dyDescent="0.2">
      <c r="D263" t="s">
        <v>12</v>
      </c>
      <c r="E263" t="s">
        <v>16</v>
      </c>
      <c r="F263" t="s">
        <v>22</v>
      </c>
      <c r="G263" t="s">
        <v>48</v>
      </c>
      <c r="H263">
        <f>NFL2025Results3[[#This Row],[Home Points]]-NFL2025Results3[[#This Row],[Away Points]]</f>
        <v>2</v>
      </c>
      <c r="I263">
        <f>VLOOKUP(NFL2025Results3[[#This Row],[Home Team]],TeamRating,2,FALSE)-VLOOKUP(NFL2025Results3[[#This Row],[Away Team]],TeamRating,2,FALSE)+HomeEdge</f>
        <v>12.127612528588056</v>
      </c>
      <c r="J263">
        <f>(NFL2025Results3[[#This Row],[Home Margin]]-NFL2025Results3[[#This Row],[Home Forecast]])^2</f>
        <v>102.56853552921376</v>
      </c>
    </row>
    <row r="264" spans="4:10" x14ac:dyDescent="0.2">
      <c r="D264" t="s">
        <v>43</v>
      </c>
      <c r="E264" t="s">
        <v>42</v>
      </c>
      <c r="F264" t="s">
        <v>29</v>
      </c>
      <c r="G264" t="s">
        <v>65</v>
      </c>
      <c r="H264">
        <f>NFL2025Results3[[#This Row],[Home Points]]-NFL2025Results3[[#This Row],[Away Points]]</f>
        <v>10</v>
      </c>
      <c r="I264">
        <f>VLOOKUP(NFL2025Results3[[#This Row],[Home Team]],TeamRating,2,FALSE)-VLOOKUP(NFL2025Results3[[#This Row],[Away Team]],TeamRating,2,FALSE)+HomeEdge</f>
        <v>14.333154514206326</v>
      </c>
      <c r="J264">
        <f>(NFL2025Results3[[#This Row],[Home Margin]]-NFL2025Results3[[#This Row],[Home Forecast]])^2</f>
        <v>18.776228043986659</v>
      </c>
    </row>
    <row r="265" spans="4:10" x14ac:dyDescent="0.2">
      <c r="D265" t="s">
        <v>13</v>
      </c>
      <c r="E265" t="s">
        <v>28</v>
      </c>
      <c r="F265" t="s">
        <v>61</v>
      </c>
      <c r="G265" t="s">
        <v>21</v>
      </c>
      <c r="H265">
        <f>NFL2025Results3[[#This Row],[Home Points]]-NFL2025Results3[[#This Row],[Away Points]]</f>
        <v>2</v>
      </c>
      <c r="I265">
        <f>VLOOKUP(NFL2025Results3[[#This Row],[Home Team]],TeamRating,2,FALSE)-VLOOKUP(NFL2025Results3[[#This Row],[Away Team]],TeamRating,2,FALSE)+HomeEdge</f>
        <v>9.6120008876965919</v>
      </c>
      <c r="J265">
        <f>(NFL2025Results3[[#This Row],[Home Margin]]-NFL2025Results3[[#This Row],[Home Forecast]])^2</f>
        <v>57.942557514293703</v>
      </c>
    </row>
    <row r="266" spans="4:10" x14ac:dyDescent="0.2">
      <c r="D266" t="s">
        <v>20</v>
      </c>
      <c r="E266" t="s">
        <v>19</v>
      </c>
      <c r="F266" t="s">
        <v>7</v>
      </c>
      <c r="G266" t="s">
        <v>56</v>
      </c>
      <c r="H266">
        <f>NFL2025Results3[[#This Row],[Home Points]]-NFL2025Results3[[#This Row],[Away Points]]</f>
        <v>2</v>
      </c>
      <c r="I266">
        <f>VLOOKUP(NFL2025Results3[[#This Row],[Home Team]],TeamRating,2,FALSE)-VLOOKUP(NFL2025Results3[[#This Row],[Away Team]],TeamRating,2,FALSE)+HomeEdge</f>
        <v>9.2484725257481806</v>
      </c>
      <c r="J266">
        <f>(NFL2025Results3[[#This Row],[Home Margin]]-NFL2025Results3[[#This Row],[Home Forecast]])^2</f>
        <v>52.540353956526211</v>
      </c>
    </row>
    <row r="267" spans="4:10" x14ac:dyDescent="0.2">
      <c r="D267" t="s">
        <v>47</v>
      </c>
      <c r="E267" t="s">
        <v>23</v>
      </c>
      <c r="F267" t="s">
        <v>70</v>
      </c>
      <c r="G267" t="s">
        <v>57</v>
      </c>
      <c r="H267">
        <f>NFL2025Results3[[#This Row],[Home Points]]-NFL2025Results3[[#This Row],[Away Points]]</f>
        <v>8</v>
      </c>
      <c r="I267">
        <f>VLOOKUP(NFL2025Results3[[#This Row],[Home Team]],TeamRating,2,FALSE)-VLOOKUP(NFL2025Results3[[#This Row],[Away Team]],TeamRating,2,FALSE)+HomeEdge</f>
        <v>9.0958994406280631</v>
      </c>
      <c r="J267">
        <f>(NFL2025Results3[[#This Row],[Home Margin]]-NFL2025Results3[[#This Row],[Home Forecast]])^2</f>
        <v>1.2009955839689017</v>
      </c>
    </row>
    <row r="268" spans="4:10" x14ac:dyDescent="0.2">
      <c r="D268" t="s">
        <v>33</v>
      </c>
      <c r="E268" t="s">
        <v>5</v>
      </c>
      <c r="F268" t="s">
        <v>37</v>
      </c>
      <c r="G268" t="s">
        <v>21</v>
      </c>
      <c r="H268">
        <f>NFL2025Results3[[#This Row],[Home Points]]-NFL2025Results3[[#This Row],[Away Points]]</f>
        <v>17</v>
      </c>
      <c r="I268">
        <f>VLOOKUP(NFL2025Results3[[#This Row],[Home Team]],TeamRating,2,FALSE)-VLOOKUP(NFL2025Results3[[#This Row],[Away Team]],TeamRating,2,FALSE)+HomeEdge</f>
        <v>12.528641948560663</v>
      </c>
      <c r="J268">
        <f>(NFL2025Results3[[#This Row],[Home Margin]]-NFL2025Results3[[#This Row],[Home Forecast]])^2</f>
        <v>19.993042824171383</v>
      </c>
    </row>
    <row r="269" spans="4:10" x14ac:dyDescent="0.2">
      <c r="D269" t="s">
        <v>54</v>
      </c>
      <c r="E269" t="s">
        <v>44</v>
      </c>
      <c r="F269" t="s">
        <v>22</v>
      </c>
      <c r="G269" t="s">
        <v>65</v>
      </c>
      <c r="H269">
        <f>NFL2025Results3[[#This Row],[Home Points]]-NFL2025Results3[[#This Row],[Away Points]]</f>
        <v>13</v>
      </c>
      <c r="I269">
        <f>VLOOKUP(NFL2025Results3[[#This Row],[Home Team]],TeamRating,2,FALSE)-VLOOKUP(NFL2025Results3[[#This Row],[Away Team]],TeamRating,2,FALSE)+HomeEdge</f>
        <v>10.167596518357053</v>
      </c>
      <c r="J269">
        <f>(NFL2025Results3[[#This Row],[Home Margin]]-NFL2025Results3[[#This Row],[Home Forecast]])^2</f>
        <v>8.0225094828230876</v>
      </c>
    </row>
    <row r="270" spans="4:10" x14ac:dyDescent="0.2">
      <c r="D270" t="s">
        <v>15</v>
      </c>
      <c r="E270" t="s">
        <v>40</v>
      </c>
      <c r="F270" t="s">
        <v>52</v>
      </c>
      <c r="G270" t="s">
        <v>75</v>
      </c>
      <c r="H270">
        <f>NFL2025Results3[[#This Row],[Home Points]]-NFL2025Results3[[#This Row],[Away Points]]</f>
        <v>34</v>
      </c>
      <c r="I270">
        <f>VLOOKUP(NFL2025Results3[[#This Row],[Home Team]],TeamRating,2,FALSE)-VLOOKUP(NFL2025Results3[[#This Row],[Away Team]],TeamRating,2,FALSE)+HomeEdge</f>
        <v>16.492735666885761</v>
      </c>
      <c r="J270">
        <f>(NFL2025Results3[[#This Row],[Home Margin]]-NFL2025Results3[[#This Row],[Home Forecast]])^2</f>
        <v>306.50430442953399</v>
      </c>
    </row>
    <row r="271" spans="4:10" x14ac:dyDescent="0.2">
      <c r="D271" t="s">
        <v>50</v>
      </c>
      <c r="E271" t="s">
        <v>36</v>
      </c>
      <c r="F271" t="s">
        <v>73</v>
      </c>
      <c r="G271" t="s">
        <v>26</v>
      </c>
      <c r="H271">
        <f>NFL2025Results3[[#This Row],[Home Points]]-NFL2025Results3[[#This Row],[Away Points]]</f>
        <v>27</v>
      </c>
      <c r="I271">
        <f>VLOOKUP(NFL2025Results3[[#This Row],[Home Team]],TeamRating,2,FALSE)-VLOOKUP(NFL2025Results3[[#This Row],[Away Team]],TeamRating,2,FALSE)+HomeEdge</f>
        <v>17.731716045282191</v>
      </c>
      <c r="J271">
        <f>(NFL2025Results3[[#This Row],[Home Margin]]-NFL2025Results3[[#This Row],[Home Forecast]])^2</f>
        <v>85.901087465279588</v>
      </c>
    </row>
    <row r="272" spans="4:10" x14ac:dyDescent="0.2">
      <c r="D272" t="s">
        <v>45</v>
      </c>
      <c r="E272" t="s">
        <v>55</v>
      </c>
      <c r="F272" t="s">
        <v>61</v>
      </c>
      <c r="G272" t="s">
        <v>22</v>
      </c>
      <c r="H272">
        <f>NFL2025Results3[[#This Row],[Home Points]]-NFL2025Results3[[#This Row],[Away Points]]</f>
        <v>3</v>
      </c>
      <c r="I272">
        <f>VLOOKUP(NFL2025Results3[[#This Row],[Home Team]],TeamRating,2,FALSE)-VLOOKUP(NFL2025Results3[[#This Row],[Away Team]],TeamRating,2,FALSE)+HomeEdge</f>
        <v>14.952844068694432</v>
      </c>
      <c r="J272">
        <f>(NFL2025Results3[[#This Row],[Home Margin]]-NFL2025Results3[[#This Row],[Home Forecast]])^2</f>
        <v>142.87048133052366</v>
      </c>
    </row>
    <row r="273" spans="4:10" x14ac:dyDescent="0.2">
      <c r="D273" t="s">
        <v>46</v>
      </c>
      <c r="E273" t="s">
        <v>27</v>
      </c>
      <c r="F273" t="s">
        <v>60</v>
      </c>
      <c r="G273" t="s">
        <v>7</v>
      </c>
      <c r="H273">
        <f>NFL2025Results3[[#This Row],[Home Points]]-NFL2025Results3[[#This Row],[Away Points]]</f>
        <v>17</v>
      </c>
      <c r="I273">
        <f>VLOOKUP(NFL2025Results3[[#This Row],[Home Team]],TeamRating,2,FALSE)-VLOOKUP(NFL2025Results3[[#This Row],[Away Team]],TeamRating,2,FALSE)+HomeEdge</f>
        <v>17.079691143234918</v>
      </c>
      <c r="J273">
        <f>(NFL2025Results3[[#This Row],[Home Margin]]-NFL2025Results3[[#This Row],[Home Forecast]])^2</f>
        <v>6.3506783100881628E-3</v>
      </c>
    </row>
    <row r="274" spans="4:10" x14ac:dyDescent="0.2">
      <c r="D274" t="s">
        <v>39</v>
      </c>
      <c r="E274" t="s">
        <v>8</v>
      </c>
      <c r="F274" t="s">
        <v>61</v>
      </c>
      <c r="G274" t="s">
        <v>65</v>
      </c>
      <c r="H274">
        <f>NFL2025Results3[[#This Row],[Home Points]]-NFL2025Results3[[#This Row],[Away Points]]</f>
        <v>16</v>
      </c>
      <c r="I274">
        <f>VLOOKUP(NFL2025Results3[[#This Row],[Home Team]],TeamRating,2,FALSE)-VLOOKUP(NFL2025Results3[[#This Row],[Away Team]],TeamRating,2,FALSE)+HomeEdge</f>
        <v>9.7838840422214872</v>
      </c>
      <c r="J274">
        <f>(NFL2025Results3[[#This Row],[Home Margin]]-NFL2025Results3[[#This Row],[Home Forecast]])^2</f>
        <v>38.640097600548678</v>
      </c>
    </row>
    <row r="275" spans="4:10" x14ac:dyDescent="0.2">
      <c r="D275" t="s">
        <v>30</v>
      </c>
      <c r="E275" t="s">
        <v>9</v>
      </c>
      <c r="F275" t="s">
        <v>48</v>
      </c>
      <c r="G275" t="s">
        <v>41</v>
      </c>
      <c r="H275">
        <f>NFL2025Results3[[#This Row],[Home Points]]-NFL2025Results3[[#This Row],[Away Points]]</f>
        <v>2</v>
      </c>
      <c r="I275">
        <f>VLOOKUP(NFL2025Results3[[#This Row],[Home Team]],TeamRating,2,FALSE)-VLOOKUP(NFL2025Results3[[#This Row],[Away Team]],TeamRating,2,FALSE)+HomeEdge</f>
        <v>0.55915282679657174</v>
      </c>
      <c r="J275">
        <f>(NFL2025Results3[[#This Row],[Home Margin]]-NFL2025Results3[[#This Row],[Home Forecast]])^2</f>
        <v>2.0760405765283099</v>
      </c>
    </row>
    <row r="276" spans="4:10" x14ac:dyDescent="0.2">
      <c r="D276" t="s">
        <v>31</v>
      </c>
      <c r="E276" t="s">
        <v>24</v>
      </c>
      <c r="F276" t="s">
        <v>70</v>
      </c>
      <c r="G276" t="s">
        <v>18</v>
      </c>
      <c r="H276">
        <f>NFL2025Results3[[#This Row],[Home Points]]-NFL2025Results3[[#This Row],[Away Points]]</f>
        <v>28</v>
      </c>
      <c r="I276">
        <f>VLOOKUP(NFL2025Results3[[#This Row],[Home Team]],TeamRating,2,FALSE)-VLOOKUP(NFL2025Results3[[#This Row],[Away Team]],TeamRating,2,FALSE)+HomeEdge</f>
        <v>15.177886777199358</v>
      </c>
      <c r="J276">
        <f>(NFL2025Results3[[#This Row],[Home Margin]]-NFL2025Results3[[#This Row],[Home Forecast]])^2</f>
        <v>164.40658749831906</v>
      </c>
    </row>
    <row r="277" spans="4:10" x14ac:dyDescent="0.2">
      <c r="D277" t="s">
        <v>32</v>
      </c>
      <c r="E277" t="s">
        <v>4</v>
      </c>
      <c r="F277" t="s">
        <v>6</v>
      </c>
      <c r="G277" t="s">
        <v>21</v>
      </c>
      <c r="H277">
        <f>NFL2025Results3[[#This Row],[Home Points]]-NFL2025Results3[[#This Row],[Away Points]]</f>
        <v>7</v>
      </c>
      <c r="I277">
        <f>VLOOKUP(NFL2025Results3[[#This Row],[Home Team]],TeamRating,2,FALSE)-VLOOKUP(NFL2025Results3[[#This Row],[Away Team]],TeamRating,2,FALSE)+HomeEdge</f>
        <v>7.7650183630094229</v>
      </c>
      <c r="J277">
        <f>(NFL2025Results3[[#This Row],[Home Margin]]-NFL2025Results3[[#This Row],[Home Forecast]])^2</f>
        <v>0.58525309574161721</v>
      </c>
    </row>
    <row r="278" spans="4:10" x14ac:dyDescent="0.2">
      <c r="D278" t="s">
        <v>35</v>
      </c>
      <c r="E278" t="s">
        <v>51</v>
      </c>
      <c r="F278" t="s">
        <v>17</v>
      </c>
      <c r="G278" t="s">
        <v>6</v>
      </c>
      <c r="H278">
        <f>NFL2025Results3[[#This Row],[Home Points]]-NFL2025Results3[[#This Row],[Away Points]]</f>
        <v>2</v>
      </c>
      <c r="I278">
        <f>VLOOKUP(NFL2025Results3[[#This Row],[Home Team]],TeamRating,2,FALSE)-VLOOKUP(NFL2025Results3[[#This Row],[Away Team]],TeamRating,2,FALSE)+HomeEdge</f>
        <v>6.5452441620048702</v>
      </c>
      <c r="J278">
        <f>(NFL2025Results3[[#This Row],[Home Margin]]-NFL2025Results3[[#This Row],[Home Forecast]])^2</f>
        <v>20.659244492239356</v>
      </c>
    </row>
  </sheetData>
  <pageMargins left="0.7" right="0.7" top="0.75" bottom="0.75" header="0.3" footer="0.3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0E0B6-3087-674D-AF2E-C5C6970EA60C}">
  <dimension ref="A1:D273"/>
  <sheetViews>
    <sheetView tabSelected="1" workbookViewId="0">
      <selection activeCell="H29" sqref="H29"/>
    </sheetView>
  </sheetViews>
  <sheetFormatPr baseColWidth="10" defaultRowHeight="16" x14ac:dyDescent="0.2"/>
  <cols>
    <col min="1" max="1" width="36" customWidth="1"/>
    <col min="2" max="2" width="32.5" customWidth="1"/>
    <col min="3" max="3" width="14.33203125" bestFit="1" customWidth="1"/>
    <col min="4" max="4" width="13.6640625" customWidth="1"/>
    <col min="5" max="5" width="8.1640625" bestFit="1" customWidth="1"/>
    <col min="6" max="6" width="7.5" bestFit="1" customWidth="1"/>
    <col min="7" max="8" width="22.1640625" bestFit="1" customWidth="1"/>
    <col min="9" max="9" width="14.33203125" customWidth="1"/>
    <col min="10" max="10" width="23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14</v>
      </c>
      <c r="D4" t="s">
        <v>7</v>
      </c>
    </row>
    <row r="5" spans="1:4" x14ac:dyDescent="0.2">
      <c r="A5" t="s">
        <v>15</v>
      </c>
      <c r="B5" t="s">
        <v>16</v>
      </c>
      <c r="C5" t="s">
        <v>17</v>
      </c>
      <c r="D5" t="s">
        <v>18</v>
      </c>
    </row>
    <row r="6" spans="1:4" x14ac:dyDescent="0.2">
      <c r="A6" t="s">
        <v>19</v>
      </c>
      <c r="B6" t="s">
        <v>20</v>
      </c>
      <c r="C6" t="s">
        <v>21</v>
      </c>
      <c r="D6" t="s">
        <v>22</v>
      </c>
    </row>
    <row r="7" spans="1:4" x14ac:dyDescent="0.2">
      <c r="A7" t="s">
        <v>23</v>
      </c>
      <c r="B7" t="s">
        <v>24</v>
      </c>
      <c r="C7" t="s">
        <v>25</v>
      </c>
      <c r="D7" t="s">
        <v>26</v>
      </c>
    </row>
    <row r="8" spans="1:4" x14ac:dyDescent="0.2">
      <c r="A8" t="s">
        <v>27</v>
      </c>
      <c r="B8" t="s">
        <v>28</v>
      </c>
      <c r="C8" t="s">
        <v>7</v>
      </c>
      <c r="D8" t="s">
        <v>29</v>
      </c>
    </row>
    <row r="9" spans="1:4" x14ac:dyDescent="0.2">
      <c r="A9" t="s">
        <v>30</v>
      </c>
      <c r="B9" t="s">
        <v>31</v>
      </c>
      <c r="C9" t="s">
        <v>7</v>
      </c>
      <c r="D9" t="s">
        <v>29</v>
      </c>
    </row>
    <row r="10" spans="1:4" x14ac:dyDescent="0.2">
      <c r="A10" t="s">
        <v>32</v>
      </c>
      <c r="B10" t="s">
        <v>33</v>
      </c>
      <c r="C10" t="s">
        <v>11</v>
      </c>
      <c r="D10" t="s">
        <v>34</v>
      </c>
    </row>
    <row r="11" spans="1:4" x14ac:dyDescent="0.2">
      <c r="A11" t="s">
        <v>35</v>
      </c>
      <c r="B11" t="s">
        <v>36</v>
      </c>
      <c r="C11" t="s">
        <v>37</v>
      </c>
      <c r="D11" t="s">
        <v>38</v>
      </c>
    </row>
    <row r="12" spans="1:4" x14ac:dyDescent="0.2">
      <c r="A12" t="s">
        <v>39</v>
      </c>
      <c r="B12" t="s">
        <v>40</v>
      </c>
      <c r="C12" t="s">
        <v>7</v>
      </c>
      <c r="D12" t="s">
        <v>41</v>
      </c>
    </row>
    <row r="13" spans="1:4" x14ac:dyDescent="0.2">
      <c r="A13" t="s">
        <v>42</v>
      </c>
      <c r="B13" t="s">
        <v>43</v>
      </c>
      <c r="C13" t="s">
        <v>21</v>
      </c>
      <c r="D13" t="s">
        <v>29</v>
      </c>
    </row>
    <row r="14" spans="1:4" x14ac:dyDescent="0.2">
      <c r="A14" t="s">
        <v>44</v>
      </c>
      <c r="B14" t="s">
        <v>45</v>
      </c>
      <c r="C14" t="s">
        <v>10</v>
      </c>
      <c r="D14" t="s">
        <v>29</v>
      </c>
    </row>
    <row r="15" spans="1:4" x14ac:dyDescent="0.2">
      <c r="A15" t="s">
        <v>46</v>
      </c>
      <c r="B15" t="s">
        <v>47</v>
      </c>
      <c r="C15" t="s">
        <v>48</v>
      </c>
      <c r="D15" t="s">
        <v>49</v>
      </c>
    </row>
    <row r="16" spans="1:4" x14ac:dyDescent="0.2">
      <c r="A16" t="s">
        <v>50</v>
      </c>
      <c r="B16" t="s">
        <v>51</v>
      </c>
      <c r="C16" t="s">
        <v>52</v>
      </c>
      <c r="D16" t="s">
        <v>53</v>
      </c>
    </row>
    <row r="17" spans="1:4" x14ac:dyDescent="0.2">
      <c r="A17" t="s">
        <v>54</v>
      </c>
      <c r="B17" t="s">
        <v>55</v>
      </c>
      <c r="C17" t="s">
        <v>10</v>
      </c>
      <c r="D17" t="s">
        <v>6</v>
      </c>
    </row>
    <row r="18" spans="1:4" x14ac:dyDescent="0.2">
      <c r="A18" t="s">
        <v>44</v>
      </c>
      <c r="B18" t="s">
        <v>32</v>
      </c>
      <c r="C18" t="s">
        <v>10</v>
      </c>
      <c r="D18" t="s">
        <v>56</v>
      </c>
    </row>
    <row r="19" spans="1:4" x14ac:dyDescent="0.2">
      <c r="A19" t="s">
        <v>50</v>
      </c>
      <c r="B19" t="s">
        <v>36</v>
      </c>
      <c r="C19" t="s">
        <v>57</v>
      </c>
      <c r="D19" t="s">
        <v>18</v>
      </c>
    </row>
    <row r="20" spans="1:4" x14ac:dyDescent="0.2">
      <c r="A20" t="s">
        <v>45</v>
      </c>
      <c r="B20" t="s">
        <v>55</v>
      </c>
      <c r="C20" t="s">
        <v>58</v>
      </c>
      <c r="D20" t="s">
        <v>11</v>
      </c>
    </row>
    <row r="21" spans="1:4" x14ac:dyDescent="0.2">
      <c r="A21" t="s">
        <v>19</v>
      </c>
      <c r="B21" t="s">
        <v>15</v>
      </c>
      <c r="C21" t="s">
        <v>59</v>
      </c>
      <c r="D21" t="s">
        <v>10</v>
      </c>
    </row>
    <row r="22" spans="1:4" x14ac:dyDescent="0.2">
      <c r="A22" t="s">
        <v>51</v>
      </c>
      <c r="B22" t="s">
        <v>20</v>
      </c>
      <c r="C22" t="s">
        <v>52</v>
      </c>
      <c r="D22" t="s">
        <v>21</v>
      </c>
    </row>
    <row r="23" spans="1:4" x14ac:dyDescent="0.2">
      <c r="A23" t="s">
        <v>5</v>
      </c>
      <c r="B23" t="s">
        <v>33</v>
      </c>
      <c r="C23" t="s">
        <v>53</v>
      </c>
      <c r="D23" t="s">
        <v>60</v>
      </c>
    </row>
    <row r="24" spans="1:4" x14ac:dyDescent="0.2">
      <c r="A24" t="s">
        <v>31</v>
      </c>
      <c r="B24" t="s">
        <v>24</v>
      </c>
      <c r="C24" t="s">
        <v>25</v>
      </c>
      <c r="D24" t="s">
        <v>10</v>
      </c>
    </row>
    <row r="25" spans="1:4" x14ac:dyDescent="0.2">
      <c r="A25" t="s">
        <v>42</v>
      </c>
      <c r="B25" t="s">
        <v>28</v>
      </c>
      <c r="C25" t="s">
        <v>17</v>
      </c>
      <c r="D25" t="s">
        <v>11</v>
      </c>
    </row>
    <row r="26" spans="1:4" x14ac:dyDescent="0.2">
      <c r="A26" t="s">
        <v>46</v>
      </c>
      <c r="B26" t="s">
        <v>40</v>
      </c>
      <c r="C26" t="s">
        <v>25</v>
      </c>
      <c r="D26" t="s">
        <v>61</v>
      </c>
    </row>
    <row r="27" spans="1:4" x14ac:dyDescent="0.2">
      <c r="A27" t="s">
        <v>43</v>
      </c>
      <c r="B27" t="s">
        <v>35</v>
      </c>
      <c r="C27" t="s">
        <v>59</v>
      </c>
      <c r="D27" t="s">
        <v>21</v>
      </c>
    </row>
    <row r="28" spans="1:4" x14ac:dyDescent="0.2">
      <c r="A28" t="s">
        <v>27</v>
      </c>
      <c r="B28" t="s">
        <v>16</v>
      </c>
      <c r="C28" t="s">
        <v>10</v>
      </c>
      <c r="D28" t="s">
        <v>62</v>
      </c>
    </row>
    <row r="29" spans="1:4" x14ac:dyDescent="0.2">
      <c r="A29" t="s">
        <v>23</v>
      </c>
      <c r="B29" t="s">
        <v>39</v>
      </c>
      <c r="C29" t="s">
        <v>63</v>
      </c>
      <c r="D29" t="s">
        <v>64</v>
      </c>
    </row>
    <row r="30" spans="1:4" x14ac:dyDescent="0.2">
      <c r="A30" t="s">
        <v>4</v>
      </c>
      <c r="B30" t="s">
        <v>9</v>
      </c>
      <c r="C30" t="s">
        <v>7</v>
      </c>
      <c r="D30" t="s">
        <v>21</v>
      </c>
    </row>
    <row r="31" spans="1:4" x14ac:dyDescent="0.2">
      <c r="A31" t="s">
        <v>13</v>
      </c>
      <c r="B31" t="s">
        <v>54</v>
      </c>
      <c r="C31" t="s">
        <v>62</v>
      </c>
      <c r="D31" t="s">
        <v>34</v>
      </c>
    </row>
    <row r="32" spans="1:4" x14ac:dyDescent="0.2">
      <c r="A32" t="s">
        <v>12</v>
      </c>
      <c r="B32" t="s">
        <v>47</v>
      </c>
      <c r="C32" t="s">
        <v>7</v>
      </c>
      <c r="D32" t="s">
        <v>61</v>
      </c>
    </row>
    <row r="33" spans="1:4" x14ac:dyDescent="0.2">
      <c r="A33" t="s">
        <v>8</v>
      </c>
      <c r="B33" t="s">
        <v>30</v>
      </c>
      <c r="C33" t="s">
        <v>7</v>
      </c>
      <c r="D33" t="s">
        <v>49</v>
      </c>
    </row>
    <row r="34" spans="1:4" x14ac:dyDescent="0.2">
      <c r="A34" t="s">
        <v>50</v>
      </c>
      <c r="B34" t="s">
        <v>24</v>
      </c>
      <c r="C34" t="s">
        <v>59</v>
      </c>
      <c r="D34" t="s">
        <v>11</v>
      </c>
    </row>
    <row r="35" spans="1:4" x14ac:dyDescent="0.2">
      <c r="A35" t="s">
        <v>16</v>
      </c>
      <c r="B35" t="s">
        <v>13</v>
      </c>
      <c r="C35" t="s">
        <v>57</v>
      </c>
      <c r="D35" t="s">
        <v>66</v>
      </c>
    </row>
    <row r="36" spans="1:4" x14ac:dyDescent="0.2">
      <c r="A36" t="s">
        <v>54</v>
      </c>
      <c r="B36" t="s">
        <v>19</v>
      </c>
      <c r="C36" t="s">
        <v>67</v>
      </c>
      <c r="D36" t="s">
        <v>18</v>
      </c>
    </row>
    <row r="37" spans="1:4" x14ac:dyDescent="0.2">
      <c r="A37" t="s">
        <v>20</v>
      </c>
      <c r="B37" t="s">
        <v>44</v>
      </c>
      <c r="C37" t="s">
        <v>29</v>
      </c>
      <c r="D37" t="s">
        <v>18</v>
      </c>
    </row>
    <row r="38" spans="1:4" x14ac:dyDescent="0.2">
      <c r="A38" t="s">
        <v>23</v>
      </c>
      <c r="B38" t="s">
        <v>40</v>
      </c>
      <c r="C38" t="s">
        <v>52</v>
      </c>
      <c r="D38" t="s">
        <v>7</v>
      </c>
    </row>
    <row r="39" spans="1:4" x14ac:dyDescent="0.2">
      <c r="A39" t="s">
        <v>15</v>
      </c>
      <c r="B39" t="s">
        <v>47</v>
      </c>
      <c r="C39" t="s">
        <v>21</v>
      </c>
      <c r="D39" t="s">
        <v>18</v>
      </c>
    </row>
    <row r="40" spans="1:4" x14ac:dyDescent="0.2">
      <c r="A40" t="s">
        <v>35</v>
      </c>
      <c r="B40" t="s">
        <v>31</v>
      </c>
      <c r="C40" t="s">
        <v>11</v>
      </c>
      <c r="D40" t="s">
        <v>48</v>
      </c>
    </row>
    <row r="41" spans="1:4" x14ac:dyDescent="0.2">
      <c r="A41" t="s">
        <v>12</v>
      </c>
      <c r="B41" t="s">
        <v>36</v>
      </c>
      <c r="C41" t="s">
        <v>63</v>
      </c>
      <c r="D41" t="s">
        <v>10</v>
      </c>
    </row>
    <row r="42" spans="1:4" x14ac:dyDescent="0.2">
      <c r="A42" t="s">
        <v>4</v>
      </c>
      <c r="B42" t="s">
        <v>46</v>
      </c>
      <c r="C42" t="s">
        <v>25</v>
      </c>
      <c r="D42" t="s">
        <v>17</v>
      </c>
    </row>
    <row r="43" spans="1:4" x14ac:dyDescent="0.2">
      <c r="A43" t="s">
        <v>32</v>
      </c>
      <c r="B43" t="s">
        <v>30</v>
      </c>
      <c r="C43" t="s">
        <v>52</v>
      </c>
      <c r="D43" t="s">
        <v>6</v>
      </c>
    </row>
    <row r="44" spans="1:4" x14ac:dyDescent="0.2">
      <c r="A44" t="s">
        <v>8</v>
      </c>
      <c r="B44" t="s">
        <v>39</v>
      </c>
      <c r="C44" t="s">
        <v>14</v>
      </c>
      <c r="D44" t="s">
        <v>7</v>
      </c>
    </row>
    <row r="45" spans="1:4" x14ac:dyDescent="0.2">
      <c r="A45" t="s">
        <v>43</v>
      </c>
      <c r="B45" t="s">
        <v>28</v>
      </c>
      <c r="C45" t="s">
        <v>68</v>
      </c>
      <c r="D45" t="s">
        <v>29</v>
      </c>
    </row>
    <row r="46" spans="1:4" x14ac:dyDescent="0.2">
      <c r="A46" t="s">
        <v>55</v>
      </c>
      <c r="B46" t="s">
        <v>5</v>
      </c>
      <c r="C46" t="s">
        <v>59</v>
      </c>
      <c r="D46" t="s">
        <v>48</v>
      </c>
    </row>
    <row r="47" spans="1:4" x14ac:dyDescent="0.2">
      <c r="A47" t="s">
        <v>42</v>
      </c>
      <c r="B47" t="s">
        <v>27</v>
      </c>
      <c r="C47" t="s">
        <v>22</v>
      </c>
      <c r="D47" t="s">
        <v>69</v>
      </c>
    </row>
    <row r="48" spans="1:4" x14ac:dyDescent="0.2">
      <c r="A48" t="s">
        <v>9</v>
      </c>
      <c r="B48" t="s">
        <v>33</v>
      </c>
      <c r="C48" t="s">
        <v>62</v>
      </c>
      <c r="D48" t="s">
        <v>49</v>
      </c>
    </row>
    <row r="49" spans="1:4" x14ac:dyDescent="0.2">
      <c r="A49" t="s">
        <v>45</v>
      </c>
      <c r="B49" t="s">
        <v>51</v>
      </c>
      <c r="C49" t="s">
        <v>70</v>
      </c>
      <c r="D49" t="s">
        <v>57</v>
      </c>
    </row>
    <row r="50" spans="1:4" x14ac:dyDescent="0.2">
      <c r="A50" t="s">
        <v>43</v>
      </c>
      <c r="B50" t="s">
        <v>27</v>
      </c>
      <c r="C50" t="s">
        <v>14</v>
      </c>
      <c r="D50" t="s">
        <v>7</v>
      </c>
    </row>
    <row r="51" spans="1:4" x14ac:dyDescent="0.2">
      <c r="A51" t="s">
        <v>35</v>
      </c>
      <c r="B51" t="s">
        <v>54</v>
      </c>
      <c r="C51" t="s">
        <v>6</v>
      </c>
      <c r="D51" t="s">
        <v>11</v>
      </c>
    </row>
    <row r="52" spans="1:4" x14ac:dyDescent="0.2">
      <c r="A52" t="s">
        <v>13</v>
      </c>
      <c r="B52" t="s">
        <v>32</v>
      </c>
      <c r="C52" t="s">
        <v>37</v>
      </c>
      <c r="D52" t="s">
        <v>10</v>
      </c>
    </row>
    <row r="53" spans="1:4" x14ac:dyDescent="0.2">
      <c r="A53" t="s">
        <v>50</v>
      </c>
      <c r="B53" t="s">
        <v>28</v>
      </c>
      <c r="C53" t="s">
        <v>59</v>
      </c>
      <c r="D53" t="s">
        <v>61</v>
      </c>
    </row>
    <row r="54" spans="1:4" x14ac:dyDescent="0.2">
      <c r="A54" t="s">
        <v>31</v>
      </c>
      <c r="B54" t="s">
        <v>16</v>
      </c>
      <c r="C54" t="s">
        <v>71</v>
      </c>
      <c r="D54" t="s">
        <v>29</v>
      </c>
    </row>
    <row r="55" spans="1:4" x14ac:dyDescent="0.2">
      <c r="A55" t="s">
        <v>45</v>
      </c>
      <c r="B55" t="s">
        <v>20</v>
      </c>
      <c r="C55" t="s">
        <v>37</v>
      </c>
      <c r="D55" t="s">
        <v>18</v>
      </c>
    </row>
    <row r="56" spans="1:4" x14ac:dyDescent="0.2">
      <c r="A56" t="s">
        <v>47</v>
      </c>
      <c r="B56" t="s">
        <v>40</v>
      </c>
      <c r="C56" t="s">
        <v>17</v>
      </c>
      <c r="D56" t="s">
        <v>66</v>
      </c>
    </row>
    <row r="57" spans="1:4" x14ac:dyDescent="0.2">
      <c r="A57" t="s">
        <v>33</v>
      </c>
      <c r="B57" t="s">
        <v>8</v>
      </c>
      <c r="C57" t="s">
        <v>11</v>
      </c>
      <c r="D57" t="s">
        <v>56</v>
      </c>
    </row>
    <row r="58" spans="1:4" x14ac:dyDescent="0.2">
      <c r="A58" t="s">
        <v>4</v>
      </c>
      <c r="B58" t="s">
        <v>12</v>
      </c>
      <c r="C58" t="s">
        <v>59</v>
      </c>
      <c r="D58" t="s">
        <v>72</v>
      </c>
    </row>
    <row r="59" spans="1:4" x14ac:dyDescent="0.2">
      <c r="A59" t="s">
        <v>46</v>
      </c>
      <c r="B59" t="s">
        <v>23</v>
      </c>
      <c r="C59" t="s">
        <v>10</v>
      </c>
      <c r="D59" t="s">
        <v>7</v>
      </c>
    </row>
    <row r="60" spans="1:4" x14ac:dyDescent="0.2">
      <c r="A60" t="s">
        <v>15</v>
      </c>
      <c r="B60" t="s">
        <v>42</v>
      </c>
      <c r="C60" t="s">
        <v>17</v>
      </c>
      <c r="D60" t="s">
        <v>11</v>
      </c>
    </row>
    <row r="61" spans="1:4" x14ac:dyDescent="0.2">
      <c r="A61" t="s">
        <v>55</v>
      </c>
      <c r="B61" t="s">
        <v>30</v>
      </c>
      <c r="C61" t="s">
        <v>72</v>
      </c>
      <c r="D61" t="s">
        <v>6</v>
      </c>
    </row>
    <row r="62" spans="1:4" x14ac:dyDescent="0.2">
      <c r="A62" t="s">
        <v>9</v>
      </c>
      <c r="B62" t="s">
        <v>51</v>
      </c>
      <c r="C62" t="s">
        <v>60</v>
      </c>
      <c r="D62" t="s">
        <v>7</v>
      </c>
    </row>
    <row r="63" spans="1:4" x14ac:dyDescent="0.2">
      <c r="A63" t="s">
        <v>44</v>
      </c>
      <c r="B63" t="s">
        <v>5</v>
      </c>
      <c r="C63" t="s">
        <v>53</v>
      </c>
      <c r="D63" t="s">
        <v>53</v>
      </c>
    </row>
    <row r="64" spans="1:4" x14ac:dyDescent="0.2">
      <c r="A64" t="s">
        <v>24</v>
      </c>
      <c r="B64" t="s">
        <v>36</v>
      </c>
      <c r="C64" t="s">
        <v>10</v>
      </c>
      <c r="D64" t="s">
        <v>11</v>
      </c>
    </row>
    <row r="65" spans="1:4" x14ac:dyDescent="0.2">
      <c r="A65" t="s">
        <v>39</v>
      </c>
      <c r="B65" t="s">
        <v>19</v>
      </c>
      <c r="C65" t="s">
        <v>64</v>
      </c>
      <c r="D65" t="s">
        <v>65</v>
      </c>
    </row>
    <row r="66" spans="1:4" x14ac:dyDescent="0.2">
      <c r="A66" t="s">
        <v>42</v>
      </c>
      <c r="B66" t="s">
        <v>46</v>
      </c>
      <c r="C66" t="s">
        <v>17</v>
      </c>
      <c r="D66" t="s">
        <v>14</v>
      </c>
    </row>
    <row r="67" spans="1:4" x14ac:dyDescent="0.2">
      <c r="A67" t="s">
        <v>54</v>
      </c>
      <c r="B67" t="s">
        <v>20</v>
      </c>
      <c r="C67" t="s">
        <v>11</v>
      </c>
      <c r="D67" t="s">
        <v>21</v>
      </c>
    </row>
    <row r="68" spans="1:4" x14ac:dyDescent="0.2">
      <c r="A68" t="s">
        <v>16</v>
      </c>
      <c r="B68" t="s">
        <v>24</v>
      </c>
      <c r="C68" t="s">
        <v>10</v>
      </c>
      <c r="D68" t="s">
        <v>6</v>
      </c>
    </row>
    <row r="69" spans="1:4" x14ac:dyDescent="0.2">
      <c r="A69" t="s">
        <v>23</v>
      </c>
      <c r="B69" t="s">
        <v>30</v>
      </c>
      <c r="C69" t="s">
        <v>53</v>
      </c>
      <c r="D69" t="s">
        <v>34</v>
      </c>
    </row>
    <row r="70" spans="1:4" x14ac:dyDescent="0.2">
      <c r="A70" t="s">
        <v>5</v>
      </c>
      <c r="B70" t="s">
        <v>36</v>
      </c>
      <c r="C70" t="s">
        <v>60</v>
      </c>
      <c r="D70" t="s">
        <v>62</v>
      </c>
    </row>
    <row r="71" spans="1:4" x14ac:dyDescent="0.2">
      <c r="A71" t="s">
        <v>39</v>
      </c>
      <c r="B71" t="s">
        <v>4</v>
      </c>
      <c r="C71" t="s">
        <v>11</v>
      </c>
      <c r="D71" t="s">
        <v>21</v>
      </c>
    </row>
    <row r="72" spans="1:4" x14ac:dyDescent="0.2">
      <c r="A72" t="s">
        <v>47</v>
      </c>
      <c r="B72" t="s">
        <v>51</v>
      </c>
      <c r="C72" t="s">
        <v>68</v>
      </c>
      <c r="D72" t="s">
        <v>18</v>
      </c>
    </row>
    <row r="73" spans="1:4" x14ac:dyDescent="0.2">
      <c r="A73" t="s">
        <v>28</v>
      </c>
      <c r="B73" t="s">
        <v>33</v>
      </c>
      <c r="C73" t="s">
        <v>17</v>
      </c>
      <c r="D73" t="s">
        <v>48</v>
      </c>
    </row>
    <row r="74" spans="1:4" x14ac:dyDescent="0.2">
      <c r="A74" t="s">
        <v>40</v>
      </c>
      <c r="B74" t="s">
        <v>27</v>
      </c>
      <c r="C74" t="s">
        <v>62</v>
      </c>
      <c r="D74" t="s">
        <v>11</v>
      </c>
    </row>
    <row r="75" spans="1:4" x14ac:dyDescent="0.2">
      <c r="A75" t="s">
        <v>12</v>
      </c>
      <c r="B75" t="s">
        <v>43</v>
      </c>
      <c r="C75" t="s">
        <v>70</v>
      </c>
      <c r="D75" t="s">
        <v>73</v>
      </c>
    </row>
    <row r="76" spans="1:4" x14ac:dyDescent="0.2">
      <c r="A76" t="s">
        <v>45</v>
      </c>
      <c r="B76" t="s">
        <v>19</v>
      </c>
      <c r="C76" t="s">
        <v>60</v>
      </c>
      <c r="D76" t="s">
        <v>6</v>
      </c>
    </row>
    <row r="77" spans="1:4" x14ac:dyDescent="0.2">
      <c r="A77" t="s">
        <v>32</v>
      </c>
      <c r="B77" t="s">
        <v>8</v>
      </c>
      <c r="C77" t="s">
        <v>10</v>
      </c>
      <c r="D77" t="s">
        <v>18</v>
      </c>
    </row>
    <row r="78" spans="1:4" x14ac:dyDescent="0.2">
      <c r="A78" t="s">
        <v>31</v>
      </c>
      <c r="B78" t="s">
        <v>50</v>
      </c>
      <c r="C78" t="s">
        <v>14</v>
      </c>
      <c r="D78" t="s">
        <v>7</v>
      </c>
    </row>
    <row r="79" spans="1:4" x14ac:dyDescent="0.2">
      <c r="A79" t="s">
        <v>15</v>
      </c>
      <c r="B79" t="s">
        <v>9</v>
      </c>
      <c r="C79" t="s">
        <v>59</v>
      </c>
      <c r="D79" t="s">
        <v>64</v>
      </c>
    </row>
    <row r="80" spans="1:4" x14ac:dyDescent="0.2">
      <c r="A80" t="s">
        <v>33</v>
      </c>
      <c r="B80" t="s">
        <v>4</v>
      </c>
      <c r="C80" t="s">
        <v>37</v>
      </c>
      <c r="D80" t="s">
        <v>21</v>
      </c>
    </row>
    <row r="81" spans="1:4" x14ac:dyDescent="0.2">
      <c r="A81" t="s">
        <v>39</v>
      </c>
      <c r="B81" t="s">
        <v>36</v>
      </c>
      <c r="C81" t="s">
        <v>29</v>
      </c>
      <c r="D81" t="s">
        <v>74</v>
      </c>
    </row>
    <row r="82" spans="1:4" x14ac:dyDescent="0.2">
      <c r="A82" t="s">
        <v>16</v>
      </c>
      <c r="B82" t="s">
        <v>5</v>
      </c>
      <c r="C82" t="s">
        <v>57</v>
      </c>
      <c r="D82" t="s">
        <v>10</v>
      </c>
    </row>
    <row r="83" spans="1:4" x14ac:dyDescent="0.2">
      <c r="A83" t="s">
        <v>35</v>
      </c>
      <c r="B83" t="s">
        <v>20</v>
      </c>
      <c r="C83" t="s">
        <v>14</v>
      </c>
      <c r="D83" t="s">
        <v>49</v>
      </c>
    </row>
    <row r="84" spans="1:4" x14ac:dyDescent="0.2">
      <c r="A84" t="s">
        <v>23</v>
      </c>
      <c r="B84" t="s">
        <v>27</v>
      </c>
      <c r="C84" t="s">
        <v>59</v>
      </c>
      <c r="D84" t="s">
        <v>10</v>
      </c>
    </row>
    <row r="85" spans="1:4" x14ac:dyDescent="0.2">
      <c r="A85" t="s">
        <v>43</v>
      </c>
      <c r="B85" t="s">
        <v>15</v>
      </c>
      <c r="C85" t="s">
        <v>7</v>
      </c>
      <c r="D85" t="s">
        <v>41</v>
      </c>
    </row>
    <row r="86" spans="1:4" x14ac:dyDescent="0.2">
      <c r="A86" t="s">
        <v>8</v>
      </c>
      <c r="B86" t="s">
        <v>24</v>
      </c>
      <c r="C86" t="s">
        <v>63</v>
      </c>
      <c r="D86" t="s">
        <v>10</v>
      </c>
    </row>
    <row r="87" spans="1:4" x14ac:dyDescent="0.2">
      <c r="A87" t="s">
        <v>31</v>
      </c>
      <c r="B87" t="s">
        <v>28</v>
      </c>
      <c r="C87" t="s">
        <v>72</v>
      </c>
      <c r="D87" t="s">
        <v>61</v>
      </c>
    </row>
    <row r="88" spans="1:4" x14ac:dyDescent="0.2">
      <c r="A88" t="s">
        <v>46</v>
      </c>
      <c r="B88" t="s">
        <v>51</v>
      </c>
      <c r="C88" t="s">
        <v>21</v>
      </c>
      <c r="D88" t="s">
        <v>65</v>
      </c>
    </row>
    <row r="89" spans="1:4" x14ac:dyDescent="0.2">
      <c r="A89" t="s">
        <v>30</v>
      </c>
      <c r="B89" t="s">
        <v>40</v>
      </c>
      <c r="C89" t="s">
        <v>7</v>
      </c>
      <c r="D89" t="s">
        <v>18</v>
      </c>
    </row>
    <row r="90" spans="1:4" x14ac:dyDescent="0.2">
      <c r="A90" t="s">
        <v>44</v>
      </c>
      <c r="B90" t="s">
        <v>19</v>
      </c>
      <c r="C90" t="s">
        <v>10</v>
      </c>
      <c r="D90" t="s">
        <v>56</v>
      </c>
    </row>
    <row r="91" spans="1:4" x14ac:dyDescent="0.2">
      <c r="A91" t="s">
        <v>12</v>
      </c>
      <c r="B91" t="s">
        <v>42</v>
      </c>
      <c r="C91" t="s">
        <v>57</v>
      </c>
      <c r="D91" t="s">
        <v>61</v>
      </c>
    </row>
    <row r="92" spans="1:4" x14ac:dyDescent="0.2">
      <c r="A92" t="s">
        <v>9</v>
      </c>
      <c r="B92" t="s">
        <v>45</v>
      </c>
      <c r="C92" t="s">
        <v>57</v>
      </c>
      <c r="D92" t="s">
        <v>21</v>
      </c>
    </row>
    <row r="93" spans="1:4" x14ac:dyDescent="0.2">
      <c r="A93" t="s">
        <v>13</v>
      </c>
      <c r="B93" t="s">
        <v>50</v>
      </c>
      <c r="C93" t="s">
        <v>6</v>
      </c>
      <c r="D93" t="s">
        <v>48</v>
      </c>
    </row>
    <row r="94" spans="1:4" x14ac:dyDescent="0.2">
      <c r="A94" t="s">
        <v>55</v>
      </c>
      <c r="B94" t="s">
        <v>32</v>
      </c>
      <c r="C94" t="s">
        <v>72</v>
      </c>
      <c r="D94" t="s">
        <v>6</v>
      </c>
    </row>
    <row r="95" spans="1:4" x14ac:dyDescent="0.2">
      <c r="A95" t="s">
        <v>19</v>
      </c>
      <c r="B95" t="s">
        <v>35</v>
      </c>
      <c r="C95" t="s">
        <v>25</v>
      </c>
      <c r="D95" t="s">
        <v>59</v>
      </c>
    </row>
    <row r="96" spans="1:4" x14ac:dyDescent="0.2">
      <c r="A96" t="s">
        <v>46</v>
      </c>
      <c r="B96" t="s">
        <v>15</v>
      </c>
      <c r="C96" t="s">
        <v>73</v>
      </c>
      <c r="D96" t="s">
        <v>75</v>
      </c>
    </row>
    <row r="97" spans="1:4" x14ac:dyDescent="0.2">
      <c r="A97" t="s">
        <v>55</v>
      </c>
      <c r="B97" t="s">
        <v>28</v>
      </c>
      <c r="C97" t="s">
        <v>17</v>
      </c>
      <c r="D97" t="s">
        <v>48</v>
      </c>
    </row>
    <row r="98" spans="1:4" x14ac:dyDescent="0.2">
      <c r="A98" t="s">
        <v>4</v>
      </c>
      <c r="B98" t="s">
        <v>54</v>
      </c>
      <c r="C98" t="s">
        <v>64</v>
      </c>
      <c r="D98" t="s">
        <v>62</v>
      </c>
    </row>
    <row r="99" spans="1:4" x14ac:dyDescent="0.2">
      <c r="A99" t="s">
        <v>16</v>
      </c>
      <c r="B99" t="s">
        <v>36</v>
      </c>
      <c r="C99" t="s">
        <v>29</v>
      </c>
      <c r="D99" t="s">
        <v>34</v>
      </c>
    </row>
    <row r="100" spans="1:4" x14ac:dyDescent="0.2">
      <c r="A100" t="s">
        <v>20</v>
      </c>
      <c r="B100" t="s">
        <v>24</v>
      </c>
      <c r="C100" t="s">
        <v>59</v>
      </c>
      <c r="D100" t="s">
        <v>34</v>
      </c>
    </row>
    <row r="101" spans="1:4" x14ac:dyDescent="0.2">
      <c r="A101" t="s">
        <v>9</v>
      </c>
      <c r="B101" t="s">
        <v>30</v>
      </c>
      <c r="C101" t="s">
        <v>59</v>
      </c>
      <c r="D101" t="s">
        <v>66</v>
      </c>
    </row>
    <row r="102" spans="1:4" x14ac:dyDescent="0.2">
      <c r="A102" t="s">
        <v>31</v>
      </c>
      <c r="B102" t="s">
        <v>40</v>
      </c>
      <c r="C102" t="s">
        <v>59</v>
      </c>
      <c r="D102" t="s">
        <v>29</v>
      </c>
    </row>
    <row r="103" spans="1:4" x14ac:dyDescent="0.2">
      <c r="A103" t="s">
        <v>23</v>
      </c>
      <c r="B103" t="s">
        <v>8</v>
      </c>
      <c r="C103" t="s">
        <v>70</v>
      </c>
      <c r="D103" t="s">
        <v>6</v>
      </c>
    </row>
    <row r="104" spans="1:4" x14ac:dyDescent="0.2">
      <c r="A104" t="s">
        <v>39</v>
      </c>
      <c r="B104" t="s">
        <v>33</v>
      </c>
      <c r="C104" t="s">
        <v>25</v>
      </c>
      <c r="D104" t="s">
        <v>38</v>
      </c>
    </row>
    <row r="105" spans="1:4" x14ac:dyDescent="0.2">
      <c r="A105" t="s">
        <v>44</v>
      </c>
      <c r="B105" t="s">
        <v>27</v>
      </c>
      <c r="C105" t="s">
        <v>10</v>
      </c>
      <c r="D105" t="s">
        <v>14</v>
      </c>
    </row>
    <row r="106" spans="1:4" x14ac:dyDescent="0.2">
      <c r="A106" t="s">
        <v>5</v>
      </c>
      <c r="B106" t="s">
        <v>32</v>
      </c>
      <c r="C106" t="s">
        <v>68</v>
      </c>
      <c r="D106" t="s">
        <v>62</v>
      </c>
    </row>
    <row r="107" spans="1:4" x14ac:dyDescent="0.2">
      <c r="A107" t="s">
        <v>42</v>
      </c>
      <c r="B107" t="s">
        <v>13</v>
      </c>
      <c r="C107" t="s">
        <v>7</v>
      </c>
      <c r="D107" t="s">
        <v>18</v>
      </c>
    </row>
    <row r="108" spans="1:4" x14ac:dyDescent="0.2">
      <c r="A108" t="s">
        <v>45</v>
      </c>
      <c r="B108" t="s">
        <v>12</v>
      </c>
      <c r="C108" t="s">
        <v>6</v>
      </c>
      <c r="D108" t="s">
        <v>49</v>
      </c>
    </row>
    <row r="109" spans="1:4" x14ac:dyDescent="0.2">
      <c r="A109" t="s">
        <v>43</v>
      </c>
      <c r="B109" t="s">
        <v>47</v>
      </c>
      <c r="C109" t="s">
        <v>10</v>
      </c>
      <c r="D109" t="s">
        <v>61</v>
      </c>
    </row>
    <row r="110" spans="1:4" x14ac:dyDescent="0.2">
      <c r="A110" t="s">
        <v>8</v>
      </c>
      <c r="B110" t="s">
        <v>54</v>
      </c>
      <c r="C110" t="s">
        <v>60</v>
      </c>
      <c r="D110" t="s">
        <v>18</v>
      </c>
    </row>
    <row r="111" spans="1:4" x14ac:dyDescent="0.2">
      <c r="A111" t="s">
        <v>24</v>
      </c>
      <c r="B111" t="s">
        <v>13</v>
      </c>
      <c r="C111" t="s">
        <v>37</v>
      </c>
      <c r="D111" t="s">
        <v>18</v>
      </c>
    </row>
    <row r="112" spans="1:4" x14ac:dyDescent="0.2">
      <c r="A112" t="s">
        <v>50</v>
      </c>
      <c r="B112" t="s">
        <v>16</v>
      </c>
      <c r="C112" t="s">
        <v>53</v>
      </c>
      <c r="D112" t="s">
        <v>49</v>
      </c>
    </row>
    <row r="113" spans="1:4" x14ac:dyDescent="0.2">
      <c r="A113" t="s">
        <v>51</v>
      </c>
      <c r="B113" t="s">
        <v>55</v>
      </c>
      <c r="C113" t="s">
        <v>57</v>
      </c>
      <c r="D113" t="s">
        <v>22</v>
      </c>
    </row>
    <row r="114" spans="1:4" x14ac:dyDescent="0.2">
      <c r="A114" t="s">
        <v>47</v>
      </c>
      <c r="B114" t="s">
        <v>42</v>
      </c>
      <c r="C114" t="s">
        <v>17</v>
      </c>
      <c r="D114" t="s">
        <v>69</v>
      </c>
    </row>
    <row r="115" spans="1:4" x14ac:dyDescent="0.2">
      <c r="A115" t="s">
        <v>36</v>
      </c>
      <c r="B115" t="s">
        <v>19</v>
      </c>
      <c r="C115" t="s">
        <v>76</v>
      </c>
      <c r="D115" t="s">
        <v>70</v>
      </c>
    </row>
    <row r="116" spans="1:4" x14ac:dyDescent="0.2">
      <c r="A116" t="s">
        <v>31</v>
      </c>
      <c r="B116" t="s">
        <v>20</v>
      </c>
      <c r="C116" t="s">
        <v>38</v>
      </c>
      <c r="D116" t="s">
        <v>29</v>
      </c>
    </row>
    <row r="117" spans="1:4" x14ac:dyDescent="0.2">
      <c r="A117" t="s">
        <v>4</v>
      </c>
      <c r="B117" t="s">
        <v>33</v>
      </c>
      <c r="C117" t="s">
        <v>70</v>
      </c>
      <c r="D117" t="s">
        <v>7</v>
      </c>
    </row>
    <row r="118" spans="1:4" x14ac:dyDescent="0.2">
      <c r="A118" t="s">
        <v>12</v>
      </c>
      <c r="B118" t="s">
        <v>28</v>
      </c>
      <c r="C118" t="s">
        <v>14</v>
      </c>
      <c r="D118" t="s">
        <v>65</v>
      </c>
    </row>
    <row r="119" spans="1:4" x14ac:dyDescent="0.2">
      <c r="A119" t="s">
        <v>23</v>
      </c>
      <c r="B119" t="s">
        <v>40</v>
      </c>
      <c r="C119" t="s">
        <v>70</v>
      </c>
      <c r="D119" t="s">
        <v>48</v>
      </c>
    </row>
    <row r="120" spans="1:4" x14ac:dyDescent="0.2">
      <c r="A120" t="s">
        <v>39</v>
      </c>
      <c r="B120" t="s">
        <v>5</v>
      </c>
      <c r="C120" t="s">
        <v>68</v>
      </c>
      <c r="D120" t="s">
        <v>6</v>
      </c>
    </row>
    <row r="121" spans="1:4" x14ac:dyDescent="0.2">
      <c r="A121" t="s">
        <v>44</v>
      </c>
      <c r="B121" t="s">
        <v>35</v>
      </c>
      <c r="C121" t="s">
        <v>73</v>
      </c>
      <c r="D121" t="s">
        <v>72</v>
      </c>
    </row>
    <row r="122" spans="1:4" x14ac:dyDescent="0.2">
      <c r="A122" t="s">
        <v>9</v>
      </c>
      <c r="B122" t="s">
        <v>32</v>
      </c>
      <c r="C122" t="s">
        <v>64</v>
      </c>
      <c r="D122" t="s">
        <v>75</v>
      </c>
    </row>
    <row r="123" spans="1:4" x14ac:dyDescent="0.2">
      <c r="A123" t="s">
        <v>51</v>
      </c>
      <c r="B123" t="s">
        <v>24</v>
      </c>
      <c r="C123" t="s">
        <v>64</v>
      </c>
      <c r="D123" t="s">
        <v>34</v>
      </c>
    </row>
    <row r="124" spans="1:4" x14ac:dyDescent="0.2">
      <c r="A124" t="s">
        <v>31</v>
      </c>
      <c r="B124" t="s">
        <v>13</v>
      </c>
      <c r="C124" t="s">
        <v>6</v>
      </c>
      <c r="D124" t="s">
        <v>14</v>
      </c>
    </row>
    <row r="125" spans="1:4" x14ac:dyDescent="0.2">
      <c r="A125" t="s">
        <v>55</v>
      </c>
      <c r="B125" t="s">
        <v>19</v>
      </c>
      <c r="C125" t="s">
        <v>77</v>
      </c>
      <c r="D125" t="s">
        <v>71</v>
      </c>
    </row>
    <row r="126" spans="1:4" x14ac:dyDescent="0.2">
      <c r="A126" t="s">
        <v>54</v>
      </c>
      <c r="B126" t="s">
        <v>45</v>
      </c>
      <c r="C126" t="s">
        <v>10</v>
      </c>
      <c r="D126" t="s">
        <v>6</v>
      </c>
    </row>
    <row r="127" spans="1:4" x14ac:dyDescent="0.2">
      <c r="A127" t="s">
        <v>16</v>
      </c>
      <c r="B127" t="s">
        <v>44</v>
      </c>
      <c r="C127" t="s">
        <v>22</v>
      </c>
      <c r="D127" t="s">
        <v>29</v>
      </c>
    </row>
    <row r="128" spans="1:4" x14ac:dyDescent="0.2">
      <c r="A128" t="s">
        <v>35</v>
      </c>
      <c r="B128" t="s">
        <v>23</v>
      </c>
      <c r="C128" t="s">
        <v>10</v>
      </c>
      <c r="D128" t="s">
        <v>7</v>
      </c>
    </row>
    <row r="129" spans="1:4" x14ac:dyDescent="0.2">
      <c r="A129" t="s">
        <v>39</v>
      </c>
      <c r="B129" t="s">
        <v>47</v>
      </c>
      <c r="C129" t="s">
        <v>56</v>
      </c>
      <c r="D129" t="s">
        <v>69</v>
      </c>
    </row>
    <row r="130" spans="1:4" x14ac:dyDescent="0.2">
      <c r="A130" t="s">
        <v>42</v>
      </c>
      <c r="B130" t="s">
        <v>33</v>
      </c>
      <c r="C130" t="s">
        <v>37</v>
      </c>
      <c r="D130" t="s">
        <v>6</v>
      </c>
    </row>
    <row r="131" spans="1:4" x14ac:dyDescent="0.2">
      <c r="A131" t="s">
        <v>8</v>
      </c>
      <c r="B131" t="s">
        <v>40</v>
      </c>
      <c r="C131" t="s">
        <v>10</v>
      </c>
      <c r="D131" t="s">
        <v>7</v>
      </c>
    </row>
    <row r="132" spans="1:4" x14ac:dyDescent="0.2">
      <c r="A132" t="s">
        <v>15</v>
      </c>
      <c r="B132" t="s">
        <v>30</v>
      </c>
      <c r="C132" t="s">
        <v>57</v>
      </c>
      <c r="D132" t="s">
        <v>63</v>
      </c>
    </row>
    <row r="133" spans="1:4" x14ac:dyDescent="0.2">
      <c r="A133" t="s">
        <v>46</v>
      </c>
      <c r="B133" t="s">
        <v>28</v>
      </c>
      <c r="C133" t="s">
        <v>37</v>
      </c>
      <c r="D133" t="s">
        <v>18</v>
      </c>
    </row>
    <row r="134" spans="1:4" x14ac:dyDescent="0.2">
      <c r="A134" t="s">
        <v>50</v>
      </c>
      <c r="B134" t="s">
        <v>9</v>
      </c>
      <c r="C134" t="s">
        <v>64</v>
      </c>
      <c r="D134" t="s">
        <v>11</v>
      </c>
    </row>
    <row r="135" spans="1:4" x14ac:dyDescent="0.2">
      <c r="A135" t="s">
        <v>43</v>
      </c>
      <c r="B135" t="s">
        <v>32</v>
      </c>
      <c r="C135" t="s">
        <v>70</v>
      </c>
      <c r="D135" t="s">
        <v>48</v>
      </c>
    </row>
    <row r="136" spans="1:4" x14ac:dyDescent="0.2">
      <c r="A136" t="s">
        <v>27</v>
      </c>
      <c r="B136" t="s">
        <v>5</v>
      </c>
      <c r="C136" t="s">
        <v>10</v>
      </c>
      <c r="D136" t="s">
        <v>21</v>
      </c>
    </row>
    <row r="137" spans="1:4" x14ac:dyDescent="0.2">
      <c r="A137" t="s">
        <v>39</v>
      </c>
      <c r="B137" t="s">
        <v>30</v>
      </c>
      <c r="C137" t="s">
        <v>18</v>
      </c>
      <c r="D137" t="s">
        <v>75</v>
      </c>
    </row>
    <row r="138" spans="1:4" x14ac:dyDescent="0.2">
      <c r="A138" t="s">
        <v>23</v>
      </c>
      <c r="B138" t="s">
        <v>13</v>
      </c>
      <c r="C138" t="s">
        <v>59</v>
      </c>
      <c r="D138" t="s">
        <v>72</v>
      </c>
    </row>
    <row r="139" spans="1:4" x14ac:dyDescent="0.2">
      <c r="A139" t="s">
        <v>24</v>
      </c>
      <c r="B139" t="s">
        <v>50</v>
      </c>
      <c r="C139" t="s">
        <v>57</v>
      </c>
      <c r="D139" t="s">
        <v>29</v>
      </c>
    </row>
    <row r="140" spans="1:4" x14ac:dyDescent="0.2">
      <c r="A140" t="s">
        <v>55</v>
      </c>
      <c r="B140" t="s">
        <v>33</v>
      </c>
      <c r="C140" t="s">
        <v>6</v>
      </c>
      <c r="D140" t="s">
        <v>7</v>
      </c>
    </row>
    <row r="141" spans="1:4" x14ac:dyDescent="0.2">
      <c r="A141" t="s">
        <v>36</v>
      </c>
      <c r="B141" t="s">
        <v>20</v>
      </c>
      <c r="C141" t="s">
        <v>10</v>
      </c>
      <c r="D141" t="s">
        <v>7</v>
      </c>
    </row>
    <row r="142" spans="1:4" x14ac:dyDescent="0.2">
      <c r="A142" t="s">
        <v>47</v>
      </c>
      <c r="B142" t="s">
        <v>15</v>
      </c>
      <c r="C142" t="s">
        <v>78</v>
      </c>
      <c r="D142" t="s">
        <v>63</v>
      </c>
    </row>
    <row r="143" spans="1:4" x14ac:dyDescent="0.2">
      <c r="A143" t="s">
        <v>51</v>
      </c>
      <c r="B143" t="s">
        <v>54</v>
      </c>
      <c r="C143" t="s">
        <v>10</v>
      </c>
      <c r="D143" t="s">
        <v>61</v>
      </c>
    </row>
    <row r="144" spans="1:4" x14ac:dyDescent="0.2">
      <c r="A144" t="s">
        <v>28</v>
      </c>
      <c r="B144" t="s">
        <v>16</v>
      </c>
      <c r="C144" t="s">
        <v>21</v>
      </c>
      <c r="D144" t="s">
        <v>75</v>
      </c>
    </row>
    <row r="145" spans="1:4" x14ac:dyDescent="0.2">
      <c r="A145" t="s">
        <v>31</v>
      </c>
      <c r="B145" t="s">
        <v>12</v>
      </c>
      <c r="C145" t="s">
        <v>64</v>
      </c>
      <c r="D145" t="s">
        <v>14</v>
      </c>
    </row>
    <row r="146" spans="1:4" x14ac:dyDescent="0.2">
      <c r="A146" t="s">
        <v>43</v>
      </c>
      <c r="B146" t="s">
        <v>27</v>
      </c>
      <c r="C146" t="s">
        <v>68</v>
      </c>
      <c r="D146" t="s">
        <v>62</v>
      </c>
    </row>
    <row r="147" spans="1:4" x14ac:dyDescent="0.2">
      <c r="A147" t="s">
        <v>45</v>
      </c>
      <c r="B147" t="s">
        <v>32</v>
      </c>
      <c r="C147" t="s">
        <v>68</v>
      </c>
      <c r="D147" t="s">
        <v>62</v>
      </c>
    </row>
    <row r="148" spans="1:4" x14ac:dyDescent="0.2">
      <c r="A148" t="s">
        <v>46</v>
      </c>
      <c r="B148" t="s">
        <v>42</v>
      </c>
      <c r="C148" t="s">
        <v>71</v>
      </c>
      <c r="D148" t="s">
        <v>17</v>
      </c>
    </row>
    <row r="149" spans="1:4" x14ac:dyDescent="0.2">
      <c r="A149" t="s">
        <v>8</v>
      </c>
      <c r="B149" t="s">
        <v>35</v>
      </c>
      <c r="C149" t="s">
        <v>72</v>
      </c>
      <c r="D149" t="s">
        <v>18</v>
      </c>
    </row>
    <row r="150" spans="1:4" x14ac:dyDescent="0.2">
      <c r="A150" t="s">
        <v>4</v>
      </c>
      <c r="B150" t="s">
        <v>44</v>
      </c>
      <c r="C150" t="s">
        <v>18</v>
      </c>
      <c r="D150" t="s">
        <v>75</v>
      </c>
    </row>
    <row r="151" spans="1:4" x14ac:dyDescent="0.2">
      <c r="A151" t="s">
        <v>31</v>
      </c>
      <c r="B151" t="s">
        <v>36</v>
      </c>
      <c r="C151" t="s">
        <v>10</v>
      </c>
      <c r="D151" t="s">
        <v>48</v>
      </c>
    </row>
    <row r="152" spans="1:4" x14ac:dyDescent="0.2">
      <c r="A152" t="s">
        <v>24</v>
      </c>
      <c r="B152" t="s">
        <v>32</v>
      </c>
      <c r="C152" t="s">
        <v>22</v>
      </c>
      <c r="D152" t="s">
        <v>29</v>
      </c>
    </row>
    <row r="153" spans="1:4" x14ac:dyDescent="0.2">
      <c r="A153" t="s">
        <v>16</v>
      </c>
      <c r="B153" t="s">
        <v>13</v>
      </c>
      <c r="C153" t="s">
        <v>57</v>
      </c>
      <c r="D153" t="s">
        <v>10</v>
      </c>
    </row>
    <row r="154" spans="1:4" x14ac:dyDescent="0.2">
      <c r="A154" t="s">
        <v>50</v>
      </c>
      <c r="B154" t="s">
        <v>12</v>
      </c>
      <c r="C154" t="s">
        <v>68</v>
      </c>
      <c r="D154" t="s">
        <v>38</v>
      </c>
    </row>
    <row r="155" spans="1:4" x14ac:dyDescent="0.2">
      <c r="A155" t="s">
        <v>55</v>
      </c>
      <c r="B155" t="s">
        <v>54</v>
      </c>
      <c r="C155" t="s">
        <v>61</v>
      </c>
      <c r="D155" t="s">
        <v>21</v>
      </c>
    </row>
    <row r="156" spans="1:4" x14ac:dyDescent="0.2">
      <c r="A156" t="s">
        <v>35</v>
      </c>
      <c r="B156" t="s">
        <v>19</v>
      </c>
      <c r="C156" t="s">
        <v>37</v>
      </c>
      <c r="D156" t="s">
        <v>41</v>
      </c>
    </row>
    <row r="157" spans="1:4" x14ac:dyDescent="0.2">
      <c r="A157" t="s">
        <v>44</v>
      </c>
      <c r="B157" t="s">
        <v>33</v>
      </c>
      <c r="C157" t="s">
        <v>10</v>
      </c>
      <c r="D157" t="s">
        <v>7</v>
      </c>
    </row>
    <row r="158" spans="1:4" x14ac:dyDescent="0.2">
      <c r="A158" t="s">
        <v>47</v>
      </c>
      <c r="B158" t="s">
        <v>40</v>
      </c>
      <c r="C158" t="s">
        <v>22</v>
      </c>
      <c r="D158" t="s">
        <v>29</v>
      </c>
    </row>
    <row r="159" spans="1:4" x14ac:dyDescent="0.2">
      <c r="A159" t="s">
        <v>15</v>
      </c>
      <c r="B159" t="s">
        <v>8</v>
      </c>
      <c r="C159" t="s">
        <v>73</v>
      </c>
      <c r="D159" t="s">
        <v>34</v>
      </c>
    </row>
    <row r="160" spans="1:4" x14ac:dyDescent="0.2">
      <c r="A160" t="s">
        <v>42</v>
      </c>
      <c r="B160" t="s">
        <v>27</v>
      </c>
      <c r="C160" t="s">
        <v>52</v>
      </c>
      <c r="D160" t="s">
        <v>62</v>
      </c>
    </row>
    <row r="161" spans="1:4" x14ac:dyDescent="0.2">
      <c r="A161" t="s">
        <v>46</v>
      </c>
      <c r="B161" t="s">
        <v>43</v>
      </c>
      <c r="C161" t="s">
        <v>11</v>
      </c>
      <c r="D161" t="s">
        <v>61</v>
      </c>
    </row>
    <row r="162" spans="1:4" x14ac:dyDescent="0.2">
      <c r="A162" t="s">
        <v>51</v>
      </c>
      <c r="B162" t="s">
        <v>20</v>
      </c>
      <c r="C162" t="s">
        <v>14</v>
      </c>
      <c r="D162" t="s">
        <v>22</v>
      </c>
    </row>
    <row r="163" spans="1:4" x14ac:dyDescent="0.2">
      <c r="A163" t="s">
        <v>39</v>
      </c>
      <c r="B163" t="s">
        <v>9</v>
      </c>
      <c r="C163" t="s">
        <v>62</v>
      </c>
      <c r="D163" t="s">
        <v>61</v>
      </c>
    </row>
    <row r="164" spans="1:4" x14ac:dyDescent="0.2">
      <c r="A164" t="s">
        <v>4</v>
      </c>
      <c r="B164" t="s">
        <v>45</v>
      </c>
      <c r="C164" t="s">
        <v>22</v>
      </c>
      <c r="D164" t="s">
        <v>49</v>
      </c>
    </row>
    <row r="165" spans="1:4" x14ac:dyDescent="0.2">
      <c r="A165" t="s">
        <v>5</v>
      </c>
      <c r="B165" t="s">
        <v>30</v>
      </c>
      <c r="C165" t="s">
        <v>25</v>
      </c>
      <c r="D165" t="s">
        <v>22</v>
      </c>
    </row>
    <row r="166" spans="1:4" x14ac:dyDescent="0.2">
      <c r="A166" t="s">
        <v>47</v>
      </c>
      <c r="B166" t="s">
        <v>50</v>
      </c>
      <c r="C166" t="s">
        <v>14</v>
      </c>
      <c r="D166" t="s">
        <v>61</v>
      </c>
    </row>
    <row r="167" spans="1:4" x14ac:dyDescent="0.2">
      <c r="A167" t="s">
        <v>55</v>
      </c>
      <c r="B167" t="s">
        <v>35</v>
      </c>
      <c r="C167" t="s">
        <v>59</v>
      </c>
      <c r="D167" t="s">
        <v>64</v>
      </c>
    </row>
    <row r="168" spans="1:4" x14ac:dyDescent="0.2">
      <c r="A168" t="s">
        <v>31</v>
      </c>
      <c r="B168" t="s">
        <v>19</v>
      </c>
      <c r="C168" t="s">
        <v>17</v>
      </c>
      <c r="D168" t="s">
        <v>7</v>
      </c>
    </row>
    <row r="169" spans="1:4" x14ac:dyDescent="0.2">
      <c r="A169" t="s">
        <v>9</v>
      </c>
      <c r="B169" t="s">
        <v>23</v>
      </c>
      <c r="C169" t="s">
        <v>14</v>
      </c>
      <c r="D169" t="s">
        <v>7</v>
      </c>
    </row>
    <row r="170" spans="1:4" x14ac:dyDescent="0.2">
      <c r="A170" t="s">
        <v>45</v>
      </c>
      <c r="B170" t="s">
        <v>33</v>
      </c>
      <c r="C170" t="s">
        <v>37</v>
      </c>
      <c r="D170" t="s">
        <v>10</v>
      </c>
    </row>
    <row r="171" spans="1:4" x14ac:dyDescent="0.2">
      <c r="A171" t="s">
        <v>44</v>
      </c>
      <c r="B171" t="s">
        <v>54</v>
      </c>
      <c r="C171" t="s">
        <v>14</v>
      </c>
      <c r="D171" t="s">
        <v>34</v>
      </c>
    </row>
    <row r="172" spans="1:4" x14ac:dyDescent="0.2">
      <c r="A172" t="s">
        <v>51</v>
      </c>
      <c r="B172" t="s">
        <v>36</v>
      </c>
      <c r="C172" t="s">
        <v>14</v>
      </c>
      <c r="D172" t="s">
        <v>18</v>
      </c>
    </row>
    <row r="173" spans="1:4" x14ac:dyDescent="0.2">
      <c r="A173" t="s">
        <v>43</v>
      </c>
      <c r="B173" t="s">
        <v>40</v>
      </c>
      <c r="C173" t="s">
        <v>57</v>
      </c>
      <c r="D173" t="s">
        <v>6</v>
      </c>
    </row>
    <row r="174" spans="1:4" x14ac:dyDescent="0.2">
      <c r="A174" t="s">
        <v>20</v>
      </c>
      <c r="B174" t="s">
        <v>30</v>
      </c>
      <c r="C174" t="s">
        <v>6</v>
      </c>
      <c r="D174" t="s">
        <v>18</v>
      </c>
    </row>
    <row r="175" spans="1:4" x14ac:dyDescent="0.2">
      <c r="A175" t="s">
        <v>15</v>
      </c>
      <c r="B175" t="s">
        <v>27</v>
      </c>
      <c r="C175" t="s">
        <v>10</v>
      </c>
      <c r="D175" t="s">
        <v>6</v>
      </c>
    </row>
    <row r="176" spans="1:4" x14ac:dyDescent="0.2">
      <c r="A176" t="s">
        <v>13</v>
      </c>
      <c r="B176" t="s">
        <v>28</v>
      </c>
      <c r="C176" t="s">
        <v>6</v>
      </c>
      <c r="D176" t="s">
        <v>18</v>
      </c>
    </row>
    <row r="177" spans="1:4" x14ac:dyDescent="0.2">
      <c r="A177" t="s">
        <v>5</v>
      </c>
      <c r="B177" t="s">
        <v>4</v>
      </c>
      <c r="C177" t="s">
        <v>6</v>
      </c>
      <c r="D177" t="s">
        <v>11</v>
      </c>
    </row>
    <row r="178" spans="1:4" x14ac:dyDescent="0.2">
      <c r="A178" t="s">
        <v>46</v>
      </c>
      <c r="B178" t="s">
        <v>12</v>
      </c>
      <c r="C178" t="s">
        <v>37</v>
      </c>
      <c r="D178" t="s">
        <v>75</v>
      </c>
    </row>
    <row r="179" spans="1:4" x14ac:dyDescent="0.2">
      <c r="A179" t="s">
        <v>42</v>
      </c>
      <c r="B179" t="s">
        <v>16</v>
      </c>
      <c r="C179" t="s">
        <v>7</v>
      </c>
      <c r="D179" t="s">
        <v>49</v>
      </c>
    </row>
    <row r="180" spans="1:4" x14ac:dyDescent="0.2">
      <c r="A180" t="s">
        <v>44</v>
      </c>
      <c r="B180" t="s">
        <v>45</v>
      </c>
      <c r="C180" t="s">
        <v>59</v>
      </c>
      <c r="D180" t="s">
        <v>6</v>
      </c>
    </row>
    <row r="181" spans="1:4" x14ac:dyDescent="0.2">
      <c r="A181" t="s">
        <v>5</v>
      </c>
      <c r="B181" t="s">
        <v>9</v>
      </c>
      <c r="C181" t="s">
        <v>59</v>
      </c>
      <c r="D181" t="s">
        <v>64</v>
      </c>
    </row>
    <row r="182" spans="1:4" x14ac:dyDescent="0.2">
      <c r="A182" t="s">
        <v>19</v>
      </c>
      <c r="B182" t="s">
        <v>51</v>
      </c>
      <c r="C182" t="s">
        <v>38</v>
      </c>
      <c r="D182" t="s">
        <v>48</v>
      </c>
    </row>
    <row r="183" spans="1:4" x14ac:dyDescent="0.2">
      <c r="A183" t="s">
        <v>55</v>
      </c>
      <c r="B183" t="s">
        <v>4</v>
      </c>
      <c r="C183" t="s">
        <v>6</v>
      </c>
      <c r="D183" t="s">
        <v>69</v>
      </c>
    </row>
    <row r="184" spans="1:4" x14ac:dyDescent="0.2">
      <c r="A184" t="s">
        <v>36</v>
      </c>
      <c r="B184" t="s">
        <v>13</v>
      </c>
      <c r="C184" t="s">
        <v>10</v>
      </c>
      <c r="D184" t="s">
        <v>6</v>
      </c>
    </row>
    <row r="185" spans="1:4" x14ac:dyDescent="0.2">
      <c r="A185" t="s">
        <v>42</v>
      </c>
      <c r="B185" t="s">
        <v>20</v>
      </c>
      <c r="C185" t="s">
        <v>17</v>
      </c>
      <c r="D185" t="s">
        <v>26</v>
      </c>
    </row>
    <row r="186" spans="1:4" x14ac:dyDescent="0.2">
      <c r="A186" t="s">
        <v>47</v>
      </c>
      <c r="B186" t="s">
        <v>23</v>
      </c>
      <c r="C186" t="s">
        <v>7</v>
      </c>
      <c r="D186" t="s">
        <v>22</v>
      </c>
    </row>
    <row r="187" spans="1:4" x14ac:dyDescent="0.2">
      <c r="A187" t="s">
        <v>12</v>
      </c>
      <c r="B187" t="s">
        <v>27</v>
      </c>
      <c r="C187" t="s">
        <v>7</v>
      </c>
      <c r="D187" t="s">
        <v>21</v>
      </c>
    </row>
    <row r="188" spans="1:4" x14ac:dyDescent="0.2">
      <c r="A188" t="s">
        <v>15</v>
      </c>
      <c r="B188" t="s">
        <v>40</v>
      </c>
      <c r="C188" t="s">
        <v>72</v>
      </c>
      <c r="D188" t="s">
        <v>65</v>
      </c>
    </row>
    <row r="189" spans="1:4" x14ac:dyDescent="0.2">
      <c r="A189" t="s">
        <v>24</v>
      </c>
      <c r="B189" t="s">
        <v>28</v>
      </c>
      <c r="C189" t="s">
        <v>11</v>
      </c>
      <c r="D189" t="s">
        <v>21</v>
      </c>
    </row>
    <row r="190" spans="1:4" x14ac:dyDescent="0.2">
      <c r="A190" t="s">
        <v>16</v>
      </c>
      <c r="B190" t="s">
        <v>46</v>
      </c>
      <c r="C190" t="s">
        <v>59</v>
      </c>
      <c r="D190" t="s">
        <v>64</v>
      </c>
    </row>
    <row r="191" spans="1:4" x14ac:dyDescent="0.2">
      <c r="A191" t="s">
        <v>43</v>
      </c>
      <c r="B191" t="s">
        <v>54</v>
      </c>
      <c r="C191" t="s">
        <v>17</v>
      </c>
      <c r="D191" t="s">
        <v>66</v>
      </c>
    </row>
    <row r="192" spans="1:4" x14ac:dyDescent="0.2">
      <c r="A192" t="s">
        <v>50</v>
      </c>
      <c r="B192" t="s">
        <v>35</v>
      </c>
      <c r="C192" t="s">
        <v>17</v>
      </c>
      <c r="D192" t="s">
        <v>75</v>
      </c>
    </row>
    <row r="193" spans="1:4" x14ac:dyDescent="0.2">
      <c r="A193" t="s">
        <v>8</v>
      </c>
      <c r="B193" t="s">
        <v>30</v>
      </c>
      <c r="C193" t="s">
        <v>59</v>
      </c>
      <c r="D193" t="s">
        <v>48</v>
      </c>
    </row>
    <row r="194" spans="1:4" x14ac:dyDescent="0.2">
      <c r="A194" t="s">
        <v>39</v>
      </c>
      <c r="B194" t="s">
        <v>32</v>
      </c>
      <c r="C194" t="s">
        <v>10</v>
      </c>
      <c r="D194" t="s">
        <v>17</v>
      </c>
    </row>
    <row r="195" spans="1:4" x14ac:dyDescent="0.2">
      <c r="A195" t="s">
        <v>31</v>
      </c>
      <c r="B195" t="s">
        <v>33</v>
      </c>
      <c r="C195" t="s">
        <v>25</v>
      </c>
      <c r="D195" t="s">
        <v>69</v>
      </c>
    </row>
    <row r="196" spans="1:4" x14ac:dyDescent="0.2">
      <c r="A196" t="s">
        <v>45</v>
      </c>
      <c r="B196" t="s">
        <v>5</v>
      </c>
      <c r="C196" t="s">
        <v>68</v>
      </c>
      <c r="D196" t="s">
        <v>57</v>
      </c>
    </row>
    <row r="197" spans="1:4" x14ac:dyDescent="0.2">
      <c r="A197" t="s">
        <v>43</v>
      </c>
      <c r="B197" t="s">
        <v>13</v>
      </c>
      <c r="C197" t="s">
        <v>60</v>
      </c>
      <c r="D197" t="s">
        <v>49</v>
      </c>
    </row>
    <row r="198" spans="1:4" x14ac:dyDescent="0.2">
      <c r="A198" t="s">
        <v>50</v>
      </c>
      <c r="B198" t="s">
        <v>19</v>
      </c>
      <c r="C198" t="s">
        <v>76</v>
      </c>
      <c r="D198" t="s">
        <v>37</v>
      </c>
    </row>
    <row r="199" spans="1:4" x14ac:dyDescent="0.2">
      <c r="A199" t="s">
        <v>40</v>
      </c>
      <c r="B199" t="s">
        <v>20</v>
      </c>
      <c r="C199" t="s">
        <v>59</v>
      </c>
      <c r="D199" t="s">
        <v>63</v>
      </c>
    </row>
    <row r="200" spans="1:4" x14ac:dyDescent="0.2">
      <c r="A200" t="s">
        <v>15</v>
      </c>
      <c r="B200" t="s">
        <v>23</v>
      </c>
      <c r="C200" t="s">
        <v>78</v>
      </c>
      <c r="D200" t="s">
        <v>61</v>
      </c>
    </row>
    <row r="201" spans="1:4" x14ac:dyDescent="0.2">
      <c r="A201" t="s">
        <v>24</v>
      </c>
      <c r="B201" t="s">
        <v>36</v>
      </c>
      <c r="C201" t="s">
        <v>37</v>
      </c>
      <c r="D201" t="s">
        <v>18</v>
      </c>
    </row>
    <row r="202" spans="1:4" x14ac:dyDescent="0.2">
      <c r="A202" t="s">
        <v>54</v>
      </c>
      <c r="B202" t="s">
        <v>32</v>
      </c>
      <c r="C202" t="s">
        <v>59</v>
      </c>
      <c r="D202" t="s">
        <v>66</v>
      </c>
    </row>
    <row r="203" spans="1:4" x14ac:dyDescent="0.2">
      <c r="A203" t="s">
        <v>28</v>
      </c>
      <c r="B203" t="s">
        <v>12</v>
      </c>
      <c r="C203" t="s">
        <v>6</v>
      </c>
      <c r="D203" t="s">
        <v>7</v>
      </c>
    </row>
    <row r="204" spans="1:4" x14ac:dyDescent="0.2">
      <c r="A204" t="s">
        <v>35</v>
      </c>
      <c r="B204" t="s">
        <v>51</v>
      </c>
      <c r="C204" t="s">
        <v>10</v>
      </c>
      <c r="D204" t="s">
        <v>62</v>
      </c>
    </row>
    <row r="205" spans="1:4" x14ac:dyDescent="0.2">
      <c r="A205" t="s">
        <v>39</v>
      </c>
      <c r="B205" t="s">
        <v>30</v>
      </c>
      <c r="C205" t="s">
        <v>6</v>
      </c>
      <c r="D205" t="s">
        <v>21</v>
      </c>
    </row>
    <row r="206" spans="1:4" x14ac:dyDescent="0.2">
      <c r="A206" t="s">
        <v>44</v>
      </c>
      <c r="B206" t="s">
        <v>55</v>
      </c>
      <c r="C206" t="s">
        <v>64</v>
      </c>
      <c r="D206" t="s">
        <v>11</v>
      </c>
    </row>
    <row r="207" spans="1:4" x14ac:dyDescent="0.2">
      <c r="A207" t="s">
        <v>46</v>
      </c>
      <c r="B207" t="s">
        <v>27</v>
      </c>
      <c r="C207" t="s">
        <v>79</v>
      </c>
      <c r="D207" t="s">
        <v>21</v>
      </c>
    </row>
    <row r="208" spans="1:4" x14ac:dyDescent="0.2">
      <c r="A208" t="s">
        <v>47</v>
      </c>
      <c r="B208" t="s">
        <v>9</v>
      </c>
      <c r="C208" t="s">
        <v>7</v>
      </c>
      <c r="D208" t="s">
        <v>18</v>
      </c>
    </row>
    <row r="209" spans="1:4" x14ac:dyDescent="0.2">
      <c r="A209" t="s">
        <v>8</v>
      </c>
      <c r="B209" t="s">
        <v>4</v>
      </c>
      <c r="C209" t="s">
        <v>62</v>
      </c>
      <c r="D209" t="s">
        <v>61</v>
      </c>
    </row>
    <row r="210" spans="1:4" x14ac:dyDescent="0.2">
      <c r="A210" t="s">
        <v>13</v>
      </c>
      <c r="B210" t="s">
        <v>12</v>
      </c>
      <c r="C210" t="s">
        <v>63</v>
      </c>
      <c r="D210" t="s">
        <v>64</v>
      </c>
    </row>
    <row r="211" spans="1:4" x14ac:dyDescent="0.2">
      <c r="A211" t="s">
        <v>50</v>
      </c>
      <c r="B211" t="s">
        <v>31</v>
      </c>
      <c r="C211" t="s">
        <v>73</v>
      </c>
      <c r="D211" t="s">
        <v>59</v>
      </c>
    </row>
    <row r="212" spans="1:4" x14ac:dyDescent="0.2">
      <c r="A212" t="s">
        <v>55</v>
      </c>
      <c r="B212" t="s">
        <v>20</v>
      </c>
      <c r="C212" t="s">
        <v>59</v>
      </c>
      <c r="D212" t="s">
        <v>65</v>
      </c>
    </row>
    <row r="213" spans="1:4" x14ac:dyDescent="0.2">
      <c r="A213" t="s">
        <v>51</v>
      </c>
      <c r="B213" t="s">
        <v>19</v>
      </c>
      <c r="C213" t="s">
        <v>6</v>
      </c>
      <c r="D213" t="s">
        <v>66</v>
      </c>
    </row>
    <row r="214" spans="1:4" x14ac:dyDescent="0.2">
      <c r="A214" t="s">
        <v>47</v>
      </c>
      <c r="B214" t="s">
        <v>27</v>
      </c>
      <c r="C214" t="s">
        <v>53</v>
      </c>
      <c r="D214" t="s">
        <v>7</v>
      </c>
    </row>
    <row r="215" spans="1:4" x14ac:dyDescent="0.2">
      <c r="A215" t="s">
        <v>15</v>
      </c>
      <c r="B215" t="s">
        <v>36</v>
      </c>
      <c r="C215" t="s">
        <v>67</v>
      </c>
      <c r="D215" t="s">
        <v>7</v>
      </c>
    </row>
    <row r="216" spans="1:4" x14ac:dyDescent="0.2">
      <c r="A216" t="s">
        <v>8</v>
      </c>
      <c r="B216" t="s">
        <v>9</v>
      </c>
      <c r="C216" t="s">
        <v>22</v>
      </c>
      <c r="D216" t="s">
        <v>29</v>
      </c>
    </row>
    <row r="217" spans="1:4" x14ac:dyDescent="0.2">
      <c r="A217" t="s">
        <v>32</v>
      </c>
      <c r="B217" t="s">
        <v>33</v>
      </c>
      <c r="C217" t="s">
        <v>63</v>
      </c>
      <c r="D217" t="s">
        <v>11</v>
      </c>
    </row>
    <row r="218" spans="1:4" x14ac:dyDescent="0.2">
      <c r="A218" t="s">
        <v>4</v>
      </c>
      <c r="B218" t="s">
        <v>30</v>
      </c>
      <c r="C218" t="s">
        <v>59</v>
      </c>
      <c r="D218" t="s">
        <v>66</v>
      </c>
    </row>
    <row r="219" spans="1:4" x14ac:dyDescent="0.2">
      <c r="A219" t="s">
        <v>28</v>
      </c>
      <c r="B219" t="s">
        <v>16</v>
      </c>
      <c r="C219" t="s">
        <v>7</v>
      </c>
      <c r="D219" t="s">
        <v>21</v>
      </c>
    </row>
    <row r="220" spans="1:4" x14ac:dyDescent="0.2">
      <c r="A220" t="s">
        <v>43</v>
      </c>
      <c r="B220" t="s">
        <v>23</v>
      </c>
      <c r="C220" t="s">
        <v>56</v>
      </c>
      <c r="D220" t="s">
        <v>22</v>
      </c>
    </row>
    <row r="221" spans="1:4" x14ac:dyDescent="0.2">
      <c r="A221" t="s">
        <v>39</v>
      </c>
      <c r="B221" t="s">
        <v>44</v>
      </c>
      <c r="C221" t="s">
        <v>37</v>
      </c>
      <c r="D221" t="s">
        <v>17</v>
      </c>
    </row>
    <row r="222" spans="1:4" x14ac:dyDescent="0.2">
      <c r="A222" t="s">
        <v>46</v>
      </c>
      <c r="B222" t="s">
        <v>45</v>
      </c>
      <c r="C222" t="s">
        <v>52</v>
      </c>
      <c r="D222" t="s">
        <v>37</v>
      </c>
    </row>
    <row r="223" spans="1:4" x14ac:dyDescent="0.2">
      <c r="A223" t="s">
        <v>42</v>
      </c>
      <c r="B223" t="s">
        <v>40</v>
      </c>
      <c r="C223" t="s">
        <v>60</v>
      </c>
      <c r="D223" t="s">
        <v>6</v>
      </c>
    </row>
    <row r="224" spans="1:4" x14ac:dyDescent="0.2">
      <c r="A224" t="s">
        <v>54</v>
      </c>
      <c r="B224" t="s">
        <v>5</v>
      </c>
      <c r="C224" t="s">
        <v>37</v>
      </c>
      <c r="D224" t="s">
        <v>17</v>
      </c>
    </row>
    <row r="225" spans="1:4" x14ac:dyDescent="0.2">
      <c r="A225" t="s">
        <v>35</v>
      </c>
      <c r="B225" t="s">
        <v>24</v>
      </c>
      <c r="C225" t="s">
        <v>64</v>
      </c>
      <c r="D225" t="s">
        <v>69</v>
      </c>
    </row>
    <row r="226" spans="1:4" x14ac:dyDescent="0.2">
      <c r="A226" t="s">
        <v>43</v>
      </c>
      <c r="B226" t="s">
        <v>46</v>
      </c>
      <c r="C226" t="s">
        <v>70</v>
      </c>
      <c r="D226" t="s">
        <v>60</v>
      </c>
    </row>
    <row r="227" spans="1:4" x14ac:dyDescent="0.2">
      <c r="A227" t="s">
        <v>4</v>
      </c>
      <c r="B227" t="s">
        <v>32</v>
      </c>
      <c r="C227" t="s">
        <v>63</v>
      </c>
      <c r="D227" t="s">
        <v>56</v>
      </c>
    </row>
    <row r="228" spans="1:4" x14ac:dyDescent="0.2">
      <c r="A228" t="s">
        <v>55</v>
      </c>
      <c r="B228" t="s">
        <v>44</v>
      </c>
      <c r="C228" t="s">
        <v>62</v>
      </c>
      <c r="D228" t="s">
        <v>22</v>
      </c>
    </row>
    <row r="229" spans="1:4" x14ac:dyDescent="0.2">
      <c r="A229" t="s">
        <v>50</v>
      </c>
      <c r="B229" t="s">
        <v>20</v>
      </c>
      <c r="C229" t="s">
        <v>14</v>
      </c>
      <c r="D229" t="s">
        <v>7</v>
      </c>
    </row>
    <row r="230" spans="1:4" x14ac:dyDescent="0.2">
      <c r="A230" t="s">
        <v>16</v>
      </c>
      <c r="B230" t="s">
        <v>12</v>
      </c>
      <c r="C230" t="s">
        <v>14</v>
      </c>
      <c r="D230" t="s">
        <v>7</v>
      </c>
    </row>
    <row r="231" spans="1:4" x14ac:dyDescent="0.2">
      <c r="A231" t="s">
        <v>19</v>
      </c>
      <c r="B231" t="s">
        <v>24</v>
      </c>
      <c r="C231" t="s">
        <v>79</v>
      </c>
      <c r="D231" t="s">
        <v>11</v>
      </c>
    </row>
    <row r="232" spans="1:4" x14ac:dyDescent="0.2">
      <c r="A232" t="s">
        <v>8</v>
      </c>
      <c r="B232" t="s">
        <v>5</v>
      </c>
      <c r="C232" t="s">
        <v>37</v>
      </c>
      <c r="D232" t="s">
        <v>21</v>
      </c>
    </row>
    <row r="233" spans="1:4" x14ac:dyDescent="0.2">
      <c r="A233" t="s">
        <v>40</v>
      </c>
      <c r="B233" t="s">
        <v>9</v>
      </c>
      <c r="C233" t="s">
        <v>17</v>
      </c>
      <c r="D233" t="s">
        <v>49</v>
      </c>
    </row>
    <row r="234" spans="1:4" x14ac:dyDescent="0.2">
      <c r="A234" t="s">
        <v>54</v>
      </c>
      <c r="B234" t="s">
        <v>33</v>
      </c>
      <c r="C234" t="s">
        <v>22</v>
      </c>
      <c r="D234" t="s">
        <v>29</v>
      </c>
    </row>
    <row r="235" spans="1:4" x14ac:dyDescent="0.2">
      <c r="A235" t="s">
        <v>28</v>
      </c>
      <c r="B235" t="s">
        <v>36</v>
      </c>
      <c r="C235" t="s">
        <v>63</v>
      </c>
      <c r="D235" t="s">
        <v>34</v>
      </c>
    </row>
    <row r="236" spans="1:4" x14ac:dyDescent="0.2">
      <c r="A236" t="s">
        <v>13</v>
      </c>
      <c r="B236" t="s">
        <v>27</v>
      </c>
      <c r="C236" t="s">
        <v>17</v>
      </c>
      <c r="D236" t="s">
        <v>61</v>
      </c>
    </row>
    <row r="237" spans="1:4" x14ac:dyDescent="0.2">
      <c r="A237" t="s">
        <v>15</v>
      </c>
      <c r="B237" t="s">
        <v>39</v>
      </c>
      <c r="C237" t="s">
        <v>37</v>
      </c>
      <c r="D237" t="s">
        <v>7</v>
      </c>
    </row>
    <row r="238" spans="1:4" x14ac:dyDescent="0.2">
      <c r="A238" t="s">
        <v>35</v>
      </c>
      <c r="B238" t="s">
        <v>45</v>
      </c>
      <c r="C238" t="s">
        <v>63</v>
      </c>
      <c r="D238" t="s">
        <v>6</v>
      </c>
    </row>
    <row r="239" spans="1:4" x14ac:dyDescent="0.2">
      <c r="A239" t="s">
        <v>47</v>
      </c>
      <c r="B239" t="s">
        <v>30</v>
      </c>
      <c r="C239" t="s">
        <v>14</v>
      </c>
      <c r="D239" t="s">
        <v>11</v>
      </c>
    </row>
    <row r="240" spans="1:4" x14ac:dyDescent="0.2">
      <c r="A240" t="s">
        <v>31</v>
      </c>
      <c r="B240" t="s">
        <v>51</v>
      </c>
      <c r="C240" t="s">
        <v>64</v>
      </c>
      <c r="D240" t="s">
        <v>6</v>
      </c>
    </row>
    <row r="241" spans="1:4" x14ac:dyDescent="0.2">
      <c r="A241" t="s">
        <v>42</v>
      </c>
      <c r="B241" t="s">
        <v>23</v>
      </c>
      <c r="C241" t="s">
        <v>67</v>
      </c>
      <c r="D241" t="s">
        <v>10</v>
      </c>
    </row>
    <row r="242" spans="1:4" x14ac:dyDescent="0.2">
      <c r="A242" t="s">
        <v>5</v>
      </c>
      <c r="B242" t="s">
        <v>32</v>
      </c>
      <c r="C242" t="s">
        <v>57</v>
      </c>
      <c r="D242" t="s">
        <v>14</v>
      </c>
    </row>
    <row r="243" spans="1:4" x14ac:dyDescent="0.2">
      <c r="A243" t="s">
        <v>54</v>
      </c>
      <c r="B243" t="s">
        <v>45</v>
      </c>
      <c r="C243" t="s">
        <v>14</v>
      </c>
      <c r="D243" t="s">
        <v>18</v>
      </c>
    </row>
    <row r="244" spans="1:4" x14ac:dyDescent="0.2">
      <c r="A244" t="s">
        <v>39</v>
      </c>
      <c r="B244" t="s">
        <v>9</v>
      </c>
      <c r="C244" t="s">
        <v>7</v>
      </c>
      <c r="D244" t="s">
        <v>29</v>
      </c>
    </row>
    <row r="245" spans="1:4" x14ac:dyDescent="0.2">
      <c r="A245" t="s">
        <v>47</v>
      </c>
      <c r="B245" t="s">
        <v>8</v>
      </c>
      <c r="C245" t="s">
        <v>7</v>
      </c>
      <c r="D245" t="s">
        <v>22</v>
      </c>
    </row>
    <row r="246" spans="1:4" x14ac:dyDescent="0.2">
      <c r="A246" t="s">
        <v>51</v>
      </c>
      <c r="B246" t="s">
        <v>44</v>
      </c>
      <c r="C246" t="s">
        <v>52</v>
      </c>
      <c r="D246" t="s">
        <v>6</v>
      </c>
    </row>
    <row r="247" spans="1:4" x14ac:dyDescent="0.2">
      <c r="A247" t="s">
        <v>43</v>
      </c>
      <c r="B247" t="s">
        <v>16</v>
      </c>
      <c r="C247" t="s">
        <v>10</v>
      </c>
      <c r="D247" t="s">
        <v>18</v>
      </c>
    </row>
    <row r="248" spans="1:4" x14ac:dyDescent="0.2">
      <c r="A248" t="s">
        <v>19</v>
      </c>
      <c r="B248" t="s">
        <v>27</v>
      </c>
      <c r="C248" t="s">
        <v>60</v>
      </c>
      <c r="D248" t="s">
        <v>48</v>
      </c>
    </row>
    <row r="249" spans="1:4" x14ac:dyDescent="0.2">
      <c r="A249" t="s">
        <v>20</v>
      </c>
      <c r="B249" t="s">
        <v>35</v>
      </c>
      <c r="C249" t="s">
        <v>29</v>
      </c>
      <c r="D249" t="s">
        <v>34</v>
      </c>
    </row>
    <row r="250" spans="1:4" x14ac:dyDescent="0.2">
      <c r="A250" t="s">
        <v>15</v>
      </c>
      <c r="B250" t="s">
        <v>23</v>
      </c>
      <c r="C250" t="s">
        <v>14</v>
      </c>
      <c r="D250" t="s">
        <v>21</v>
      </c>
    </row>
    <row r="251" spans="1:4" x14ac:dyDescent="0.2">
      <c r="A251" t="s">
        <v>24</v>
      </c>
      <c r="B251" t="s">
        <v>12</v>
      </c>
      <c r="C251" t="s">
        <v>7</v>
      </c>
      <c r="D251" t="s">
        <v>21</v>
      </c>
    </row>
    <row r="252" spans="1:4" x14ac:dyDescent="0.2">
      <c r="A252" t="s">
        <v>28</v>
      </c>
      <c r="B252" t="s">
        <v>40</v>
      </c>
      <c r="C252" t="s">
        <v>37</v>
      </c>
      <c r="D252" t="s">
        <v>17</v>
      </c>
    </row>
    <row r="253" spans="1:4" x14ac:dyDescent="0.2">
      <c r="A253" t="s">
        <v>31</v>
      </c>
      <c r="B253" t="s">
        <v>36</v>
      </c>
      <c r="C253" t="s">
        <v>71</v>
      </c>
      <c r="D253" t="s">
        <v>18</v>
      </c>
    </row>
    <row r="254" spans="1:4" x14ac:dyDescent="0.2">
      <c r="A254" t="s">
        <v>33</v>
      </c>
      <c r="B254" t="s">
        <v>30</v>
      </c>
      <c r="C254" t="s">
        <v>37</v>
      </c>
      <c r="D254" t="s">
        <v>18</v>
      </c>
    </row>
    <row r="255" spans="1:4" x14ac:dyDescent="0.2">
      <c r="A255" t="s">
        <v>4</v>
      </c>
      <c r="B255" t="s">
        <v>50</v>
      </c>
      <c r="C255" t="s">
        <v>29</v>
      </c>
      <c r="D255" t="s">
        <v>41</v>
      </c>
    </row>
    <row r="256" spans="1:4" x14ac:dyDescent="0.2">
      <c r="A256" t="s">
        <v>42</v>
      </c>
      <c r="B256" t="s">
        <v>55</v>
      </c>
      <c r="C256" t="s">
        <v>71</v>
      </c>
      <c r="D256" t="s">
        <v>70</v>
      </c>
    </row>
    <row r="257" spans="1:4" x14ac:dyDescent="0.2">
      <c r="A257" t="s">
        <v>13</v>
      </c>
      <c r="B257" t="s">
        <v>46</v>
      </c>
      <c r="C257" t="s">
        <v>10</v>
      </c>
      <c r="D257" t="s">
        <v>6</v>
      </c>
    </row>
    <row r="258" spans="1:4" x14ac:dyDescent="0.2">
      <c r="A258" t="s">
        <v>12</v>
      </c>
      <c r="B258" t="s">
        <v>16</v>
      </c>
      <c r="C258" t="s">
        <v>22</v>
      </c>
      <c r="D258" t="s">
        <v>48</v>
      </c>
    </row>
    <row r="259" spans="1:4" x14ac:dyDescent="0.2">
      <c r="A259" t="s">
        <v>43</v>
      </c>
      <c r="B259" t="s">
        <v>42</v>
      </c>
      <c r="C259" t="s">
        <v>29</v>
      </c>
      <c r="D259" t="s">
        <v>65</v>
      </c>
    </row>
    <row r="260" spans="1:4" x14ac:dyDescent="0.2">
      <c r="A260" t="s">
        <v>13</v>
      </c>
      <c r="B260" t="s">
        <v>28</v>
      </c>
      <c r="C260" t="s">
        <v>61</v>
      </c>
      <c r="D260" t="s">
        <v>21</v>
      </c>
    </row>
    <row r="261" spans="1:4" x14ac:dyDescent="0.2">
      <c r="A261" t="s">
        <v>20</v>
      </c>
      <c r="B261" t="s">
        <v>19</v>
      </c>
      <c r="C261" t="s">
        <v>7</v>
      </c>
      <c r="D261" t="s">
        <v>56</v>
      </c>
    </row>
    <row r="262" spans="1:4" x14ac:dyDescent="0.2">
      <c r="A262" t="s">
        <v>47</v>
      </c>
      <c r="B262" t="s">
        <v>23</v>
      </c>
      <c r="C262" t="s">
        <v>70</v>
      </c>
      <c r="D262" t="s">
        <v>57</v>
      </c>
    </row>
    <row r="263" spans="1:4" x14ac:dyDescent="0.2">
      <c r="A263" t="s">
        <v>33</v>
      </c>
      <c r="B263" t="s">
        <v>5</v>
      </c>
      <c r="C263" t="s">
        <v>37</v>
      </c>
      <c r="D263" t="s">
        <v>21</v>
      </c>
    </row>
    <row r="264" spans="1:4" x14ac:dyDescent="0.2">
      <c r="A264" t="s">
        <v>54</v>
      </c>
      <c r="B264" t="s">
        <v>44</v>
      </c>
      <c r="C264" t="s">
        <v>22</v>
      </c>
      <c r="D264" t="s">
        <v>65</v>
      </c>
    </row>
    <row r="265" spans="1:4" x14ac:dyDescent="0.2">
      <c r="A265" t="s">
        <v>15</v>
      </c>
      <c r="B265" t="s">
        <v>40</v>
      </c>
      <c r="C265" t="s">
        <v>52</v>
      </c>
      <c r="D265" t="s">
        <v>75</v>
      </c>
    </row>
    <row r="266" spans="1:4" x14ac:dyDescent="0.2">
      <c r="A266" t="s">
        <v>50</v>
      </c>
      <c r="B266" t="s">
        <v>36</v>
      </c>
      <c r="C266" t="s">
        <v>73</v>
      </c>
      <c r="D266" t="s">
        <v>26</v>
      </c>
    </row>
    <row r="267" spans="1:4" x14ac:dyDescent="0.2">
      <c r="A267" t="s">
        <v>45</v>
      </c>
      <c r="B267" t="s">
        <v>55</v>
      </c>
      <c r="C267" t="s">
        <v>61</v>
      </c>
      <c r="D267" t="s">
        <v>22</v>
      </c>
    </row>
    <row r="268" spans="1:4" x14ac:dyDescent="0.2">
      <c r="A268" t="s">
        <v>46</v>
      </c>
      <c r="B268" t="s">
        <v>27</v>
      </c>
      <c r="C268" t="s">
        <v>60</v>
      </c>
      <c r="D268" t="s">
        <v>7</v>
      </c>
    </row>
    <row r="269" spans="1:4" x14ac:dyDescent="0.2">
      <c r="A269" t="s">
        <v>39</v>
      </c>
      <c r="B269" t="s">
        <v>8</v>
      </c>
      <c r="C269" t="s">
        <v>61</v>
      </c>
      <c r="D269" t="s">
        <v>65</v>
      </c>
    </row>
    <row r="270" spans="1:4" x14ac:dyDescent="0.2">
      <c r="A270" t="s">
        <v>30</v>
      </c>
      <c r="B270" t="s">
        <v>9</v>
      </c>
      <c r="C270" t="s">
        <v>48</v>
      </c>
      <c r="D270" t="s">
        <v>41</v>
      </c>
    </row>
    <row r="271" spans="1:4" x14ac:dyDescent="0.2">
      <c r="A271" t="s">
        <v>31</v>
      </c>
      <c r="B271" t="s">
        <v>24</v>
      </c>
      <c r="C271" t="s">
        <v>70</v>
      </c>
      <c r="D271" t="s">
        <v>18</v>
      </c>
    </row>
    <row r="272" spans="1:4" x14ac:dyDescent="0.2">
      <c r="A272" t="s">
        <v>32</v>
      </c>
      <c r="B272" t="s">
        <v>4</v>
      </c>
      <c r="C272" t="s">
        <v>6</v>
      </c>
      <c r="D272" t="s">
        <v>21</v>
      </c>
    </row>
    <row r="273" spans="1:4" x14ac:dyDescent="0.2">
      <c r="A273" t="s">
        <v>35</v>
      </c>
      <c r="B273" t="s">
        <v>51</v>
      </c>
      <c r="C273" t="s">
        <v>17</v>
      </c>
      <c r="D273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20DD7B-BA9E-1148-B234-A8E868B2BA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NFL Solver Model</vt:lpstr>
      <vt:lpstr>NFL2025Results</vt:lpstr>
      <vt:lpstr>HomeEdge</vt:lpstr>
      <vt:lpstr>Ratings</vt:lpstr>
      <vt:lpstr>TeamRating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  Santoso</dc:creator>
  <cp:lastModifiedBy>Benedict  Santoso</cp:lastModifiedBy>
  <dcterms:created xsi:type="dcterms:W3CDTF">2026-01-30T14:31:38Z</dcterms:created>
  <dcterms:modified xsi:type="dcterms:W3CDTF">2026-02-06T17:49:12Z</dcterms:modified>
</cp:coreProperties>
</file>