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edictsantoso/Documents/Sports Analytics (ISOM 232) - LOCAL/"/>
    </mc:Choice>
  </mc:AlternateContent>
  <xr:revisionPtr revIDLastSave="0" documentId="13_ncr:1_{C71AA132-ABE7-AB4B-B675-1F8C83B8022C}" xr6:coauthVersionLast="47" xr6:coauthVersionMax="47" xr10:uidLastSave="{00000000-0000-0000-0000-000000000000}"/>
  <bookViews>
    <workbookView xWindow="28960" yWindow="660" windowWidth="38080" windowHeight="19840" activeTab="2" xr2:uid="{BB372FDA-A317-B94D-A3B4-C30EDA590F0B}"/>
  </bookViews>
  <sheets>
    <sheet name="Hierarchical (CLU3)" sheetId="1" r:id="rId1"/>
    <sheet name="K-means (QCL1)" sheetId="2" r:id="rId2"/>
    <sheet name="Compar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E7" i="3"/>
  <c r="B7" i="3"/>
  <c r="E5" i="3"/>
  <c r="E6" i="3"/>
  <c r="E4" i="3"/>
  <c r="C4" i="3"/>
  <c r="AE3" i="1"/>
  <c r="B5" i="3"/>
  <c r="B6" i="3"/>
  <c r="B4" i="3"/>
  <c r="AB6" i="1"/>
  <c r="AC6" i="2"/>
  <c r="AE3" i="2"/>
  <c r="AC3" i="2"/>
  <c r="AL5" i="2"/>
  <c r="AK5" i="2"/>
  <c r="AJ5" i="2"/>
  <c r="AI5" i="2"/>
  <c r="AH5" i="2"/>
  <c r="AG5" i="2"/>
  <c r="AF5" i="2"/>
  <c r="F6" i="3" s="1"/>
  <c r="AE5" i="2"/>
  <c r="AD5" i="2"/>
  <c r="AC5" i="2"/>
  <c r="AL4" i="2"/>
  <c r="AK4" i="2"/>
  <c r="AJ4" i="2"/>
  <c r="AI4" i="2"/>
  <c r="AH4" i="2"/>
  <c r="AG4" i="2"/>
  <c r="AF4" i="2"/>
  <c r="F5" i="3" s="1"/>
  <c r="AE4" i="2"/>
  <c r="AD4" i="2"/>
  <c r="AC4" i="2"/>
  <c r="AL3" i="2"/>
  <c r="AK3" i="2"/>
  <c r="AJ3" i="2"/>
  <c r="AI3" i="2"/>
  <c r="AH3" i="2"/>
  <c r="AG3" i="2"/>
  <c r="AF3" i="2"/>
  <c r="AD3" i="2"/>
  <c r="AK4" i="1"/>
  <c r="AK5" i="1"/>
  <c r="AK3" i="1"/>
  <c r="AJ4" i="1"/>
  <c r="AJ5" i="1"/>
  <c r="AJ3" i="1"/>
  <c r="AI4" i="1"/>
  <c r="AI5" i="1"/>
  <c r="AI3" i="1"/>
  <c r="AH4" i="1"/>
  <c r="AH5" i="1"/>
  <c r="AH3" i="1"/>
  <c r="AG4" i="1"/>
  <c r="AG5" i="1"/>
  <c r="AG3" i="1"/>
  <c r="AF4" i="1"/>
  <c r="AF5" i="1"/>
  <c r="AF3" i="1"/>
  <c r="AE4" i="1"/>
  <c r="C5" i="3" s="1"/>
  <c r="AE5" i="1"/>
  <c r="C6" i="3" s="1"/>
  <c r="AD4" i="1"/>
  <c r="AD5" i="1"/>
  <c r="AD3" i="1"/>
  <c r="AC4" i="1"/>
  <c r="AC5" i="1"/>
  <c r="AC3" i="1"/>
  <c r="AB4" i="1"/>
  <c r="AB5" i="1"/>
  <c r="AB3" i="1"/>
</calcChain>
</file>

<file path=xl/sharedStrings.xml><?xml version="1.0" encoding="utf-8"?>
<sst xmlns="http://schemas.openxmlformats.org/spreadsheetml/2006/main" count="940" uniqueCount="211">
  <si>
    <t>Record</t>
  </si>
  <si>
    <t>Player</t>
  </si>
  <si>
    <t>Team</t>
  </si>
  <si>
    <t>Pos</t>
  </si>
  <si>
    <t>Games</t>
  </si>
  <si>
    <t>AtBats</t>
  </si>
  <si>
    <t>Runs</t>
  </si>
  <si>
    <t>Hits</t>
  </si>
  <si>
    <t>@2B</t>
  </si>
  <si>
    <t>@3B</t>
  </si>
  <si>
    <t>HR</t>
  </si>
  <si>
    <t>RBI</t>
  </si>
  <si>
    <t>BB</t>
  </si>
  <si>
    <t>SO</t>
  </si>
  <si>
    <t>SB</t>
  </si>
  <si>
    <t>CS</t>
  </si>
  <si>
    <t>AVG</t>
  </si>
  <si>
    <t>OBP</t>
  </si>
  <si>
    <t>SLG</t>
  </si>
  <si>
    <t>OPS</t>
  </si>
  <si>
    <t>HBP</t>
  </si>
  <si>
    <t>SAC</t>
  </si>
  <si>
    <t>SF</t>
  </si>
  <si>
    <t>TB</t>
  </si>
  <si>
    <t>CLU3_1</t>
  </si>
  <si>
    <t>Abreu, J</t>
  </si>
  <si>
    <t>CWS</t>
  </si>
  <si>
    <t>1B</t>
  </si>
  <si>
    <t>Ackley, D</t>
  </si>
  <si>
    <t>SEA</t>
  </si>
  <si>
    <t>LF</t>
  </si>
  <si>
    <t>Adams, M</t>
  </si>
  <si>
    <t>STL</t>
  </si>
  <si>
    <t>Altuve, J</t>
  </si>
  <si>
    <t>HOU</t>
  </si>
  <si>
    <t>2B</t>
  </si>
  <si>
    <t>Andrus, E</t>
  </si>
  <si>
    <t>TEX</t>
  </si>
  <si>
    <t>SS</t>
  </si>
  <si>
    <t>Aoki, N</t>
  </si>
  <si>
    <t>KC</t>
  </si>
  <si>
    <t>RF</t>
  </si>
  <si>
    <t>Bautista, J</t>
  </si>
  <si>
    <t>TOR</t>
  </si>
  <si>
    <t>Beltre, A</t>
  </si>
  <si>
    <t>3B</t>
  </si>
  <si>
    <t>Blackmon, C</t>
  </si>
  <si>
    <t>COL</t>
  </si>
  <si>
    <t>Bogaerts, X</t>
  </si>
  <si>
    <t>BOS</t>
  </si>
  <si>
    <t>Brantley, M</t>
  </si>
  <si>
    <t>CLE</t>
  </si>
  <si>
    <t>Braun, R</t>
  </si>
  <si>
    <t>MIL</t>
  </si>
  <si>
    <t>Brown, D</t>
  </si>
  <si>
    <t>PHI</t>
  </si>
  <si>
    <t>Bruce, J</t>
  </si>
  <si>
    <t>CIN</t>
  </si>
  <si>
    <t>Butler, B</t>
  </si>
  <si>
    <t>DH</t>
  </si>
  <si>
    <t>Byrd, M</t>
  </si>
  <si>
    <t>Cabrera, A</t>
  </si>
  <si>
    <t>WSH</t>
  </si>
  <si>
    <t>Cabrera, M</t>
  </si>
  <si>
    <t>DET</t>
  </si>
  <si>
    <t>Cain, L</t>
  </si>
  <si>
    <t>CF</t>
  </si>
  <si>
    <t>Calhoun, K</t>
  </si>
  <si>
    <t>LAA</t>
  </si>
  <si>
    <t>Cano, R</t>
  </si>
  <si>
    <t>Carpenter, M</t>
  </si>
  <si>
    <t>Carter, C</t>
  </si>
  <si>
    <t>Castellanos, N</t>
  </si>
  <si>
    <t>Castro, J</t>
  </si>
  <si>
    <t>C</t>
  </si>
  <si>
    <t>Castro, S</t>
  </si>
  <si>
    <t>CHC</t>
  </si>
  <si>
    <t>Cespedes, Y</t>
  </si>
  <si>
    <t>Chisenhall, L</t>
  </si>
  <si>
    <t>Choo, S</t>
  </si>
  <si>
    <t>Cozart, Z</t>
  </si>
  <si>
    <t>Craig, A</t>
  </si>
  <si>
    <t>Crawford, B</t>
  </si>
  <si>
    <t>Crisp, C</t>
  </si>
  <si>
    <t>OAK</t>
  </si>
  <si>
    <t>Cruz, N</t>
  </si>
  <si>
    <t>BAL</t>
  </si>
  <si>
    <t>Davis, K</t>
  </si>
  <si>
    <t>De Aza, A</t>
  </si>
  <si>
    <t>Desmond, I</t>
  </si>
  <si>
    <t>Dominguez, M</t>
  </si>
  <si>
    <t>Donaldson, J</t>
  </si>
  <si>
    <t>Dozier, B</t>
  </si>
  <si>
    <t>MIN</t>
  </si>
  <si>
    <t>Duda, L</t>
  </si>
  <si>
    <t>NYM</t>
  </si>
  <si>
    <t>Dunn, A</t>
  </si>
  <si>
    <t>Eaton, A</t>
  </si>
  <si>
    <t>Ellsbury, J</t>
  </si>
  <si>
    <t>NYY</t>
  </si>
  <si>
    <t>Encarnacion, E</t>
  </si>
  <si>
    <t>Escobar, A</t>
  </si>
  <si>
    <t>Escobar, Y</t>
  </si>
  <si>
    <t>Fowler, D</t>
  </si>
  <si>
    <t>Frazier, T</t>
  </si>
  <si>
    <t>Freeman, F</t>
  </si>
  <si>
    <t>ATL</t>
  </si>
  <si>
    <t>Freese, D</t>
  </si>
  <si>
    <t>Gardner, B</t>
  </si>
  <si>
    <t>Gillaspie, C</t>
  </si>
  <si>
    <t>Gomes, Y</t>
  </si>
  <si>
    <t>Gomez, C</t>
  </si>
  <si>
    <t>Gonzalez, A</t>
  </si>
  <si>
    <t>LAD</t>
  </si>
  <si>
    <t>Gordon, A</t>
  </si>
  <si>
    <t>Gordon, D</t>
  </si>
  <si>
    <t>Granderson, C</t>
  </si>
  <si>
    <t>Hamilton, B</t>
  </si>
  <si>
    <t>Hardy, J</t>
  </si>
  <si>
    <t>Harrison, J</t>
  </si>
  <si>
    <t>PIT</t>
  </si>
  <si>
    <t>Headley, C</t>
  </si>
  <si>
    <t>Hechavarria, A</t>
  </si>
  <si>
    <t>MIA</t>
  </si>
  <si>
    <t>Heyward, J</t>
  </si>
  <si>
    <t>Hill, A</t>
  </si>
  <si>
    <t>ARI</t>
  </si>
  <si>
    <t>Holliday, M</t>
  </si>
  <si>
    <t>Hosmer, E</t>
  </si>
  <si>
    <t>Howard, R</t>
  </si>
  <si>
    <t>Hunter, T</t>
  </si>
  <si>
    <t>Infante, O</t>
  </si>
  <si>
    <t>Jackson, A</t>
  </si>
  <si>
    <t>Jennings, D</t>
  </si>
  <si>
    <t>Johnson, C</t>
  </si>
  <si>
    <t>Jones, A</t>
  </si>
  <si>
    <t>Jones, G</t>
  </si>
  <si>
    <t>Kemp, M</t>
  </si>
  <si>
    <t>Kendrick, H</t>
  </si>
  <si>
    <t>Kinsler, I</t>
  </si>
  <si>
    <t>Kipnis, J</t>
  </si>
  <si>
    <t>LaRoche, A</t>
  </si>
  <si>
    <t>LeMahieu, D</t>
  </si>
  <si>
    <t>Loney, J</t>
  </si>
  <si>
    <t>Longoria, E</t>
  </si>
  <si>
    <t>Lowrie, J</t>
  </si>
  <si>
    <t>Lucroy, J</t>
  </si>
  <si>
    <t>Markakis, N</t>
  </si>
  <si>
    <t>Marte, S</t>
  </si>
  <si>
    <t>Martin, L</t>
  </si>
  <si>
    <t>Martinez, V</t>
  </si>
  <si>
    <t>Mauer, J</t>
  </si>
  <si>
    <t>McCann, B</t>
  </si>
  <si>
    <t>McCutchen, A</t>
  </si>
  <si>
    <t>McGehee, C</t>
  </si>
  <si>
    <t>Mercer, J</t>
  </si>
  <si>
    <t>Montero, M</t>
  </si>
  <si>
    <t>Morneau, J</t>
  </si>
  <si>
    <t>Moss, B</t>
  </si>
  <si>
    <t>Murphy, D</t>
  </si>
  <si>
    <t>Navarro, D</t>
  </si>
  <si>
    <t>Ortiz, D</t>
  </si>
  <si>
    <t>Ozuna, M</t>
  </si>
  <si>
    <t>Parra, G</t>
  </si>
  <si>
    <t>Pedroia, D</t>
  </si>
  <si>
    <t>Pence, H</t>
  </si>
  <si>
    <t>Peralta, J</t>
  </si>
  <si>
    <t>Perez, S</t>
  </si>
  <si>
    <t>Plouffe, T</t>
  </si>
  <si>
    <t>Posey, B</t>
  </si>
  <si>
    <t>Prado, M</t>
  </si>
  <si>
    <t>Puig, Y</t>
  </si>
  <si>
    <t>Pujols, A</t>
  </si>
  <si>
    <t>Ramirez, A</t>
  </si>
  <si>
    <t>Ramirez, H</t>
  </si>
  <si>
    <t>Rendon, A</t>
  </si>
  <si>
    <t>Revere, B</t>
  </si>
  <si>
    <t>Reyes, J</t>
  </si>
  <si>
    <t>Rizzo, A</t>
  </si>
  <si>
    <t>Rollins, J</t>
  </si>
  <si>
    <t>Sandoval, P</t>
  </si>
  <si>
    <t>Santana, C</t>
  </si>
  <si>
    <t>Seager, K</t>
  </si>
  <si>
    <t>Segura, J</t>
  </si>
  <si>
    <t>Simmons, A</t>
  </si>
  <si>
    <t>Smith, S</t>
  </si>
  <si>
    <t>SD</t>
  </si>
  <si>
    <t>Solarte, Y</t>
  </si>
  <si>
    <t>Span, D</t>
  </si>
  <si>
    <t>Stanton, G</t>
  </si>
  <si>
    <t>Suzuki, K</t>
  </si>
  <si>
    <t>Teixeira, M</t>
  </si>
  <si>
    <t>Trout, M</t>
  </si>
  <si>
    <t>Upton, J</t>
  </si>
  <si>
    <t>Upton, M</t>
  </si>
  <si>
    <t>Utley, C</t>
  </si>
  <si>
    <t>Valbuena, L</t>
  </si>
  <si>
    <t>Viciedo, D</t>
  </si>
  <si>
    <t>Walker, N</t>
  </si>
  <si>
    <t>Werth, J</t>
  </si>
  <si>
    <t>Wright, D</t>
  </si>
  <si>
    <t>Yelich, C</t>
  </si>
  <si>
    <t>Zobrist, B</t>
  </si>
  <si>
    <t>QCL_1</t>
  </si>
  <si>
    <t>QCL_2</t>
  </si>
  <si>
    <t>Cluster</t>
  </si>
  <si>
    <t>Count</t>
  </si>
  <si>
    <t>Hierarchical Clustering (Ward's Method)</t>
  </si>
  <si>
    <t>Avg Runs</t>
  </si>
  <si>
    <t>K-Means Clustering</t>
  </si>
  <si>
    <t>The hierarchical model produces uneven cluster sizes (57, 66, 20), suggesting natural player tiers. K-means produces more balanced clusters (53, 49, 41). The hierarchical clustering better captures the true performance hierarchy in baseball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</si>
</sst>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BE0F3-C960-9249-86A6-4714AB43E9E7}">
  <dimension ref="A1:AK144"/>
  <sheetViews>
    <sheetView workbookViewId="0">
      <selection activeCell="AE3" sqref="AE3"/>
    </sheetView>
  </sheetViews>
  <sheetFormatPr baseColWidth="10" defaultRowHeight="16" x14ac:dyDescent="0.2"/>
  <cols>
    <col min="9" max="10" width="0" hidden="1" customWidth="1"/>
    <col min="13" max="16" width="0" hidden="1" customWidth="1"/>
    <col min="20" max="24" width="0" hidden="1" customWidth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37" x14ac:dyDescent="0.2">
      <c r="A2">
        <v>1</v>
      </c>
      <c r="B2" t="s">
        <v>25</v>
      </c>
      <c r="C2" t="s">
        <v>26</v>
      </c>
      <c r="D2" t="s">
        <v>27</v>
      </c>
      <c r="E2">
        <v>145</v>
      </c>
      <c r="F2">
        <v>556</v>
      </c>
      <c r="G2">
        <v>80</v>
      </c>
      <c r="H2">
        <v>176</v>
      </c>
      <c r="I2">
        <v>35</v>
      </c>
      <c r="J2">
        <v>2</v>
      </c>
      <c r="K2">
        <v>36</v>
      </c>
      <c r="L2">
        <v>107</v>
      </c>
      <c r="M2">
        <v>51</v>
      </c>
      <c r="N2">
        <v>131</v>
      </c>
      <c r="O2">
        <v>3</v>
      </c>
      <c r="P2">
        <v>1</v>
      </c>
      <c r="Q2">
        <v>0.317</v>
      </c>
      <c r="R2">
        <v>0.38300000000000001</v>
      </c>
      <c r="S2">
        <v>0.58099999999999996</v>
      </c>
      <c r="T2">
        <v>0.96399999999999997</v>
      </c>
      <c r="U2">
        <v>11</v>
      </c>
      <c r="V2">
        <v>0</v>
      </c>
      <c r="W2">
        <v>4</v>
      </c>
      <c r="X2">
        <v>323</v>
      </c>
      <c r="Y2">
        <v>1</v>
      </c>
      <c r="AA2" t="s">
        <v>205</v>
      </c>
      <c r="AB2" t="s">
        <v>206</v>
      </c>
      <c r="AC2" t="s">
        <v>4</v>
      </c>
      <c r="AD2" t="s">
        <v>5</v>
      </c>
      <c r="AE2" t="s">
        <v>6</v>
      </c>
      <c r="AF2" t="s">
        <v>7</v>
      </c>
      <c r="AG2" t="s">
        <v>10</v>
      </c>
      <c r="AH2" t="s">
        <v>11</v>
      </c>
      <c r="AI2" t="s">
        <v>16</v>
      </c>
      <c r="AJ2" t="s">
        <v>17</v>
      </c>
      <c r="AK2" t="s">
        <v>18</v>
      </c>
    </row>
    <row r="3" spans="1:37" x14ac:dyDescent="0.2">
      <c r="A3">
        <v>2</v>
      </c>
      <c r="B3" t="s">
        <v>28</v>
      </c>
      <c r="C3" t="s">
        <v>29</v>
      </c>
      <c r="D3" t="s">
        <v>30</v>
      </c>
      <c r="E3">
        <v>143</v>
      </c>
      <c r="F3">
        <v>502</v>
      </c>
      <c r="G3">
        <v>64</v>
      </c>
      <c r="H3">
        <v>123</v>
      </c>
      <c r="I3">
        <v>27</v>
      </c>
      <c r="J3">
        <v>4</v>
      </c>
      <c r="K3">
        <v>14</v>
      </c>
      <c r="L3">
        <v>65</v>
      </c>
      <c r="M3">
        <v>32</v>
      </c>
      <c r="N3">
        <v>90</v>
      </c>
      <c r="O3">
        <v>8</v>
      </c>
      <c r="P3">
        <v>4</v>
      </c>
      <c r="Q3">
        <v>0.245</v>
      </c>
      <c r="R3">
        <v>0.29299999999999998</v>
      </c>
      <c r="S3">
        <v>0.39800000000000002</v>
      </c>
      <c r="T3">
        <v>0.69199999999999995</v>
      </c>
      <c r="U3">
        <v>3</v>
      </c>
      <c r="V3">
        <v>3</v>
      </c>
      <c r="W3">
        <v>2</v>
      </c>
      <c r="X3">
        <v>200</v>
      </c>
      <c r="Y3">
        <v>2</v>
      </c>
      <c r="AA3">
        <v>1</v>
      </c>
      <c r="AB3">
        <f>COUNTIF(Y$2:Y$144,AA3)</f>
        <v>57</v>
      </c>
      <c r="AC3">
        <f>AVERAGEIF(Y$2:Y144,AA3,E$2:E$144)</f>
        <v>153.35087719298247</v>
      </c>
      <c r="AD3">
        <f>AVERAGEIF(Y$2:Y144,AA3,F$2:F$144)</f>
        <v>591.22807017543857</v>
      </c>
      <c r="AE3">
        <f>AVERAGEIF(Y$2:Y144,AA3,G$2:G$144)</f>
        <v>84.824561403508767</v>
      </c>
      <c r="AF3">
        <f>AVERAGEIF(Y$2:Y144,AA3,H$2:H$144)</f>
        <v>168.35087719298247</v>
      </c>
      <c r="AG3">
        <f>AVERAGEIF(Y$2:Y144,AA3,K$2:K$144)</f>
        <v>19.649122807017545</v>
      </c>
      <c r="AH3">
        <f>AVERAGEIF(Y$2:Y144,AA3,L$2:L$144)</f>
        <v>79.684210526315795</v>
      </c>
      <c r="AI3">
        <f>AVERAGEIF(Y$2:Y144,AA3,Q$2:Q$144)</f>
        <v>0.28489473684210526</v>
      </c>
      <c r="AJ3">
        <f>AVERAGEIF(Y$2:Y144,AA3,R$2:R$144)</f>
        <v>0.35084210526315779</v>
      </c>
      <c r="AK3">
        <f>AVERAGEIF(Y$2:Y144,AA3,S$2:S$144)</f>
        <v>0.45254385964912275</v>
      </c>
    </row>
    <row r="4" spans="1:37" x14ac:dyDescent="0.2">
      <c r="A4">
        <v>3</v>
      </c>
      <c r="B4" t="s">
        <v>31</v>
      </c>
      <c r="C4" t="s">
        <v>32</v>
      </c>
      <c r="D4" t="s">
        <v>27</v>
      </c>
      <c r="E4">
        <v>142</v>
      </c>
      <c r="F4">
        <v>527</v>
      </c>
      <c r="G4">
        <v>55</v>
      </c>
      <c r="H4">
        <v>152</v>
      </c>
      <c r="I4">
        <v>34</v>
      </c>
      <c r="J4">
        <v>5</v>
      </c>
      <c r="K4">
        <v>15</v>
      </c>
      <c r="L4">
        <v>68</v>
      </c>
      <c r="M4">
        <v>26</v>
      </c>
      <c r="N4">
        <v>114</v>
      </c>
      <c r="O4">
        <v>3</v>
      </c>
      <c r="P4">
        <v>2</v>
      </c>
      <c r="Q4">
        <v>0.28799999999999998</v>
      </c>
      <c r="R4">
        <v>0.32100000000000001</v>
      </c>
      <c r="S4">
        <v>0.45700000000000002</v>
      </c>
      <c r="T4">
        <v>0.77900000000000003</v>
      </c>
      <c r="U4">
        <v>3</v>
      </c>
      <c r="V4">
        <v>0</v>
      </c>
      <c r="W4">
        <v>7</v>
      </c>
      <c r="X4">
        <v>241</v>
      </c>
      <c r="Y4">
        <v>3</v>
      </c>
      <c r="AA4">
        <v>2</v>
      </c>
      <c r="AB4">
        <f t="shared" ref="AB4:AB5" si="0">COUNTIF(Y$2:Y$144,AA4)</f>
        <v>66</v>
      </c>
      <c r="AC4">
        <f ca="1">AVERAGEIF(Y$2:Y145,AA4,E$2:E$144)</f>
        <v>139.83333333333334</v>
      </c>
      <c r="AD4">
        <f ca="1">AVERAGEIF(Y$2:Y145,AA4,F$2:F$144)</f>
        <v>506.80303030303031</v>
      </c>
      <c r="AE4">
        <f ca="1">AVERAGEIF(Y$2:Y145,AA4,G$2:G$144)</f>
        <v>58.469696969696969</v>
      </c>
      <c r="AF4">
        <f ca="1">AVERAGEIF(Y$2:Y145,AA4,H$2:H$144)</f>
        <v>128.54545454545453</v>
      </c>
      <c r="AG4">
        <f ca="1">AVERAGEIF(Y$2:Y145,AA4,K$2:K$144)</f>
        <v>10.681818181818182</v>
      </c>
      <c r="AH4">
        <f ca="1">AVERAGEIF(Y$2:Y145,AA4,L$2:L$144)</f>
        <v>53.984848484848484</v>
      </c>
      <c r="AI4">
        <f ca="1">AVERAGEIF(Y$2:Y145,AA4,Q$2:Q$144)</f>
        <v>0.25360606060606061</v>
      </c>
      <c r="AJ4">
        <f ca="1">AVERAGEIF(Y$2:Y145,AA4,R$2:R$144)</f>
        <v>0.31531818181818189</v>
      </c>
      <c r="AK4">
        <f ca="1">AVERAGEIF(Y$2:Y145,AA4,S$2:S$144)</f>
        <v>0.37804545454545446</v>
      </c>
    </row>
    <row r="5" spans="1:37" x14ac:dyDescent="0.2">
      <c r="A5">
        <v>4</v>
      </c>
      <c r="B5" t="s">
        <v>33</v>
      </c>
      <c r="C5" t="s">
        <v>34</v>
      </c>
      <c r="D5" t="s">
        <v>35</v>
      </c>
      <c r="E5">
        <v>158</v>
      </c>
      <c r="F5">
        <v>660</v>
      </c>
      <c r="G5">
        <v>85</v>
      </c>
      <c r="H5">
        <v>225</v>
      </c>
      <c r="I5">
        <v>47</v>
      </c>
      <c r="J5">
        <v>3</v>
      </c>
      <c r="K5">
        <v>7</v>
      </c>
      <c r="L5">
        <v>59</v>
      </c>
      <c r="M5">
        <v>36</v>
      </c>
      <c r="N5">
        <v>53</v>
      </c>
      <c r="O5">
        <v>56</v>
      </c>
      <c r="P5">
        <v>9</v>
      </c>
      <c r="Q5">
        <v>0.34100000000000003</v>
      </c>
      <c r="R5">
        <v>0.377</v>
      </c>
      <c r="S5">
        <v>0.45300000000000001</v>
      </c>
      <c r="T5">
        <v>0.83</v>
      </c>
      <c r="U5">
        <v>5</v>
      </c>
      <c r="V5">
        <v>1</v>
      </c>
      <c r="W5">
        <v>5</v>
      </c>
      <c r="X5">
        <v>299</v>
      </c>
      <c r="Y5">
        <v>1</v>
      </c>
      <c r="AA5">
        <v>3</v>
      </c>
      <c r="AB5">
        <f t="shared" si="0"/>
        <v>20</v>
      </c>
      <c r="AC5">
        <f ca="1">AVERAGEIF(Y$2:Y146,AA5,E$2:E$144)</f>
        <v>139.44999999999999</v>
      </c>
      <c r="AD5">
        <f ca="1">AVERAGEIF(Y$2:Y146,AA5,F$2:F$144)</f>
        <v>512.9</v>
      </c>
      <c r="AE5">
        <f ca="1">AVERAGEIF(Y$2:Y146,AA5,G$2:G$144)</f>
        <v>69.400000000000006</v>
      </c>
      <c r="AF5">
        <f ca="1">AVERAGEIF(Y$2:Y146,AA5,H$2:H$144)</f>
        <v>139.9</v>
      </c>
      <c r="AG5">
        <f ca="1">AVERAGEIF(Y$2:Y146,AA5,K$2:K$144)</f>
        <v>21.3</v>
      </c>
      <c r="AH5">
        <f ca="1">AVERAGEIF(Y$2:Y146,AA5,L$2:L$144)</f>
        <v>77.349999999999994</v>
      </c>
      <c r="AI5">
        <f ca="1">AVERAGEIF(Y$2:Y146,AA5,Q$2:Q$144)</f>
        <v>0.27260000000000001</v>
      </c>
      <c r="AJ5">
        <f ca="1">AVERAGEIF(Y$2:Y146,AA5,R$2:R$144)</f>
        <v>0.33994999999999997</v>
      </c>
      <c r="AK5">
        <f ca="1">AVERAGEIF(Y$2:Y146,AA5,S$2:S$144)</f>
        <v>0.46429999999999999</v>
      </c>
    </row>
    <row r="6" spans="1:37" x14ac:dyDescent="0.2">
      <c r="A6">
        <v>5</v>
      </c>
      <c r="B6" t="s">
        <v>36</v>
      </c>
      <c r="C6" t="s">
        <v>37</v>
      </c>
      <c r="D6" t="s">
        <v>38</v>
      </c>
      <c r="E6">
        <v>157</v>
      </c>
      <c r="F6">
        <v>619</v>
      </c>
      <c r="G6">
        <v>72</v>
      </c>
      <c r="H6">
        <v>163</v>
      </c>
      <c r="I6">
        <v>35</v>
      </c>
      <c r="J6">
        <v>1</v>
      </c>
      <c r="K6">
        <v>2</v>
      </c>
      <c r="L6">
        <v>41</v>
      </c>
      <c r="M6">
        <v>46</v>
      </c>
      <c r="N6">
        <v>96</v>
      </c>
      <c r="O6">
        <v>27</v>
      </c>
      <c r="P6">
        <v>15</v>
      </c>
      <c r="Q6">
        <v>0.26300000000000001</v>
      </c>
      <c r="R6">
        <v>0.314</v>
      </c>
      <c r="S6">
        <v>0.33300000000000002</v>
      </c>
      <c r="T6">
        <v>0.64700000000000002</v>
      </c>
      <c r="U6">
        <v>3</v>
      </c>
      <c r="V6">
        <v>9</v>
      </c>
      <c r="W6">
        <v>7</v>
      </c>
      <c r="X6">
        <v>206</v>
      </c>
      <c r="Y6">
        <v>2</v>
      </c>
      <c r="AB6">
        <f>SUM(AB3:AB5)</f>
        <v>143</v>
      </c>
    </row>
    <row r="7" spans="1:37" x14ac:dyDescent="0.2">
      <c r="A7">
        <v>6</v>
      </c>
      <c r="B7" t="s">
        <v>39</v>
      </c>
      <c r="C7" t="s">
        <v>40</v>
      </c>
      <c r="D7" t="s">
        <v>41</v>
      </c>
      <c r="E7">
        <v>132</v>
      </c>
      <c r="F7">
        <v>491</v>
      </c>
      <c r="G7">
        <v>63</v>
      </c>
      <c r="H7">
        <v>140</v>
      </c>
      <c r="I7">
        <v>22</v>
      </c>
      <c r="J7">
        <v>6</v>
      </c>
      <c r="K7">
        <v>1</v>
      </c>
      <c r="L7">
        <v>43</v>
      </c>
      <c r="M7">
        <v>43</v>
      </c>
      <c r="N7">
        <v>49</v>
      </c>
      <c r="O7">
        <v>17</v>
      </c>
      <c r="P7">
        <v>8</v>
      </c>
      <c r="Q7">
        <v>0.28499999999999998</v>
      </c>
      <c r="R7">
        <v>0.34899999999999998</v>
      </c>
      <c r="S7">
        <v>0.36</v>
      </c>
      <c r="T7">
        <v>0.71</v>
      </c>
      <c r="U7">
        <v>6</v>
      </c>
      <c r="V7">
        <v>8</v>
      </c>
      <c r="W7">
        <v>1</v>
      </c>
      <c r="X7">
        <v>177</v>
      </c>
      <c r="Y7">
        <v>2</v>
      </c>
    </row>
    <row r="8" spans="1:37" x14ac:dyDescent="0.2">
      <c r="A8">
        <v>7</v>
      </c>
      <c r="B8" t="s">
        <v>42</v>
      </c>
      <c r="C8" t="s">
        <v>43</v>
      </c>
      <c r="D8" t="s">
        <v>41</v>
      </c>
      <c r="E8">
        <v>155</v>
      </c>
      <c r="F8">
        <v>553</v>
      </c>
      <c r="G8">
        <v>101</v>
      </c>
      <c r="H8">
        <v>158</v>
      </c>
      <c r="I8">
        <v>27</v>
      </c>
      <c r="J8">
        <v>0</v>
      </c>
      <c r="K8">
        <v>35</v>
      </c>
      <c r="L8">
        <v>103</v>
      </c>
      <c r="M8">
        <v>104</v>
      </c>
      <c r="N8">
        <v>96</v>
      </c>
      <c r="O8">
        <v>6</v>
      </c>
      <c r="P8">
        <v>2</v>
      </c>
      <c r="Q8">
        <v>0.28599999999999998</v>
      </c>
      <c r="R8">
        <v>0.40300000000000002</v>
      </c>
      <c r="S8">
        <v>0.52400000000000002</v>
      </c>
      <c r="T8">
        <v>0.92800000000000005</v>
      </c>
      <c r="U8">
        <v>9</v>
      </c>
      <c r="V8">
        <v>1</v>
      </c>
      <c r="W8">
        <v>6</v>
      </c>
      <c r="X8">
        <v>290</v>
      </c>
      <c r="Y8">
        <v>1</v>
      </c>
    </row>
    <row r="9" spans="1:37" x14ac:dyDescent="0.2">
      <c r="A9">
        <v>8</v>
      </c>
      <c r="B9" t="s">
        <v>44</v>
      </c>
      <c r="C9" t="s">
        <v>37</v>
      </c>
      <c r="D9" t="s">
        <v>45</v>
      </c>
      <c r="E9">
        <v>148</v>
      </c>
      <c r="F9">
        <v>549</v>
      </c>
      <c r="G9">
        <v>79</v>
      </c>
      <c r="H9">
        <v>178</v>
      </c>
      <c r="I9">
        <v>33</v>
      </c>
      <c r="J9">
        <v>1</v>
      </c>
      <c r="K9">
        <v>19</v>
      </c>
      <c r="L9">
        <v>77</v>
      </c>
      <c r="M9">
        <v>57</v>
      </c>
      <c r="N9">
        <v>74</v>
      </c>
      <c r="O9">
        <v>1</v>
      </c>
      <c r="P9">
        <v>1</v>
      </c>
      <c r="Q9">
        <v>0.32400000000000001</v>
      </c>
      <c r="R9">
        <v>0.38800000000000001</v>
      </c>
      <c r="S9">
        <v>0.49199999999999999</v>
      </c>
      <c r="T9">
        <v>0.879</v>
      </c>
      <c r="U9">
        <v>3</v>
      </c>
      <c r="V9">
        <v>0</v>
      </c>
      <c r="W9">
        <v>5</v>
      </c>
      <c r="X9">
        <v>270</v>
      </c>
      <c r="Y9">
        <v>1</v>
      </c>
    </row>
    <row r="10" spans="1:37" x14ac:dyDescent="0.2">
      <c r="A10">
        <v>9</v>
      </c>
      <c r="B10" t="s">
        <v>46</v>
      </c>
      <c r="C10" t="s">
        <v>47</v>
      </c>
      <c r="D10" t="s">
        <v>41</v>
      </c>
      <c r="E10">
        <v>154</v>
      </c>
      <c r="F10">
        <v>593</v>
      </c>
      <c r="G10">
        <v>82</v>
      </c>
      <c r="H10">
        <v>171</v>
      </c>
      <c r="I10">
        <v>27</v>
      </c>
      <c r="J10">
        <v>3</v>
      </c>
      <c r="K10">
        <v>19</v>
      </c>
      <c r="L10">
        <v>72</v>
      </c>
      <c r="M10">
        <v>31</v>
      </c>
      <c r="N10">
        <v>96</v>
      </c>
      <c r="O10">
        <v>28</v>
      </c>
      <c r="P10">
        <v>10</v>
      </c>
      <c r="Q10">
        <v>0.28799999999999998</v>
      </c>
      <c r="R10">
        <v>0.33500000000000002</v>
      </c>
      <c r="S10">
        <v>0.44</v>
      </c>
      <c r="T10">
        <v>0.77500000000000002</v>
      </c>
      <c r="U10">
        <v>13</v>
      </c>
      <c r="V10">
        <v>6</v>
      </c>
      <c r="W10">
        <v>5</v>
      </c>
      <c r="X10">
        <v>261</v>
      </c>
      <c r="Y10">
        <v>1</v>
      </c>
    </row>
    <row r="11" spans="1:37" x14ac:dyDescent="0.2">
      <c r="A11">
        <v>10</v>
      </c>
      <c r="B11" t="s">
        <v>48</v>
      </c>
      <c r="C11" t="s">
        <v>49</v>
      </c>
      <c r="D11" t="s">
        <v>38</v>
      </c>
      <c r="E11">
        <v>144</v>
      </c>
      <c r="F11">
        <v>538</v>
      </c>
      <c r="G11">
        <v>60</v>
      </c>
      <c r="H11">
        <v>129</v>
      </c>
      <c r="I11">
        <v>28</v>
      </c>
      <c r="J11">
        <v>1</v>
      </c>
      <c r="K11">
        <v>12</v>
      </c>
      <c r="L11">
        <v>46</v>
      </c>
      <c r="M11">
        <v>39</v>
      </c>
      <c r="N11">
        <v>138</v>
      </c>
      <c r="O11">
        <v>2</v>
      </c>
      <c r="P11">
        <v>3</v>
      </c>
      <c r="Q11">
        <v>0.24</v>
      </c>
      <c r="R11">
        <v>0.29699999999999999</v>
      </c>
      <c r="S11">
        <v>0.36199999999999999</v>
      </c>
      <c r="T11">
        <v>0.66</v>
      </c>
      <c r="U11">
        <v>8</v>
      </c>
      <c r="V11">
        <v>2</v>
      </c>
      <c r="W11">
        <v>7</v>
      </c>
      <c r="X11">
        <v>195</v>
      </c>
      <c r="Y11">
        <v>2</v>
      </c>
    </row>
    <row r="12" spans="1:37" x14ac:dyDescent="0.2">
      <c r="A12">
        <v>11</v>
      </c>
      <c r="B12" t="s">
        <v>50</v>
      </c>
      <c r="C12" t="s">
        <v>51</v>
      </c>
      <c r="D12" t="s">
        <v>30</v>
      </c>
      <c r="E12">
        <v>156</v>
      </c>
      <c r="F12">
        <v>611</v>
      </c>
      <c r="G12">
        <v>94</v>
      </c>
      <c r="H12">
        <v>200</v>
      </c>
      <c r="I12">
        <v>45</v>
      </c>
      <c r="J12">
        <v>2</v>
      </c>
      <c r="K12">
        <v>20</v>
      </c>
      <c r="L12">
        <v>97</v>
      </c>
      <c r="M12">
        <v>52</v>
      </c>
      <c r="N12">
        <v>56</v>
      </c>
      <c r="O12">
        <v>23</v>
      </c>
      <c r="P12">
        <v>1</v>
      </c>
      <c r="Q12">
        <v>0.32700000000000001</v>
      </c>
      <c r="R12">
        <v>0.38500000000000001</v>
      </c>
      <c r="S12">
        <v>0.50600000000000001</v>
      </c>
      <c r="T12">
        <v>0.89</v>
      </c>
      <c r="U12">
        <v>8</v>
      </c>
      <c r="V12">
        <v>0</v>
      </c>
      <c r="W12">
        <v>5</v>
      </c>
      <c r="X12">
        <v>309</v>
      </c>
      <c r="Y12">
        <v>1</v>
      </c>
    </row>
    <row r="13" spans="1:37" x14ac:dyDescent="0.2">
      <c r="A13">
        <v>12</v>
      </c>
      <c r="B13" t="s">
        <v>52</v>
      </c>
      <c r="C13" t="s">
        <v>53</v>
      </c>
      <c r="D13" t="s">
        <v>41</v>
      </c>
      <c r="E13">
        <v>135</v>
      </c>
      <c r="F13">
        <v>530</v>
      </c>
      <c r="G13">
        <v>68</v>
      </c>
      <c r="H13">
        <v>141</v>
      </c>
      <c r="I13">
        <v>30</v>
      </c>
      <c r="J13">
        <v>6</v>
      </c>
      <c r="K13">
        <v>19</v>
      </c>
      <c r="L13">
        <v>81</v>
      </c>
      <c r="M13">
        <v>41</v>
      </c>
      <c r="N13">
        <v>113</v>
      </c>
      <c r="O13">
        <v>11</v>
      </c>
      <c r="P13">
        <v>5</v>
      </c>
      <c r="Q13">
        <v>0.26600000000000001</v>
      </c>
      <c r="R13">
        <v>0.32400000000000001</v>
      </c>
      <c r="S13">
        <v>0.45300000000000001</v>
      </c>
      <c r="T13">
        <v>0.77700000000000002</v>
      </c>
      <c r="U13">
        <v>6</v>
      </c>
      <c r="V13">
        <v>0</v>
      </c>
      <c r="W13">
        <v>3</v>
      </c>
      <c r="X13">
        <v>240</v>
      </c>
      <c r="Y13">
        <v>3</v>
      </c>
    </row>
    <row r="14" spans="1:37" x14ac:dyDescent="0.2">
      <c r="A14">
        <v>13</v>
      </c>
      <c r="B14" t="s">
        <v>54</v>
      </c>
      <c r="C14" t="s">
        <v>55</v>
      </c>
      <c r="D14" t="s">
        <v>30</v>
      </c>
      <c r="E14">
        <v>144</v>
      </c>
      <c r="F14">
        <v>473</v>
      </c>
      <c r="G14">
        <v>47</v>
      </c>
      <c r="H14">
        <v>111</v>
      </c>
      <c r="I14">
        <v>22</v>
      </c>
      <c r="J14">
        <v>1</v>
      </c>
      <c r="K14">
        <v>10</v>
      </c>
      <c r="L14">
        <v>63</v>
      </c>
      <c r="M14">
        <v>34</v>
      </c>
      <c r="N14">
        <v>91</v>
      </c>
      <c r="O14">
        <v>7</v>
      </c>
      <c r="P14">
        <v>1</v>
      </c>
      <c r="Q14">
        <v>0.23499999999999999</v>
      </c>
      <c r="R14">
        <v>0.28499999999999998</v>
      </c>
      <c r="S14">
        <v>0.34899999999999998</v>
      </c>
      <c r="T14">
        <v>0.63400000000000001</v>
      </c>
      <c r="U14">
        <v>1</v>
      </c>
      <c r="V14">
        <v>0</v>
      </c>
      <c r="W14">
        <v>4</v>
      </c>
      <c r="X14">
        <v>165</v>
      </c>
      <c r="Y14">
        <v>2</v>
      </c>
    </row>
    <row r="15" spans="1:37" x14ac:dyDescent="0.2">
      <c r="A15">
        <v>14</v>
      </c>
      <c r="B15" t="s">
        <v>56</v>
      </c>
      <c r="C15" t="s">
        <v>57</v>
      </c>
      <c r="D15" t="s">
        <v>41</v>
      </c>
      <c r="E15">
        <v>137</v>
      </c>
      <c r="F15">
        <v>493</v>
      </c>
      <c r="G15">
        <v>71</v>
      </c>
      <c r="H15">
        <v>107</v>
      </c>
      <c r="I15">
        <v>21</v>
      </c>
      <c r="J15">
        <v>1</v>
      </c>
      <c r="K15">
        <v>18</v>
      </c>
      <c r="L15">
        <v>66</v>
      </c>
      <c r="M15">
        <v>44</v>
      </c>
      <c r="N15">
        <v>149</v>
      </c>
      <c r="O15">
        <v>12</v>
      </c>
      <c r="P15">
        <v>3</v>
      </c>
      <c r="Q15">
        <v>0.217</v>
      </c>
      <c r="R15">
        <v>0.28100000000000003</v>
      </c>
      <c r="S15">
        <v>0.373</v>
      </c>
      <c r="T15">
        <v>0.65400000000000003</v>
      </c>
      <c r="U15">
        <v>2</v>
      </c>
      <c r="V15">
        <v>1</v>
      </c>
      <c r="W15">
        <v>5</v>
      </c>
      <c r="X15">
        <v>184</v>
      </c>
      <c r="Y15">
        <v>2</v>
      </c>
    </row>
    <row r="16" spans="1:37" x14ac:dyDescent="0.2">
      <c r="A16">
        <v>15</v>
      </c>
      <c r="B16" t="s">
        <v>58</v>
      </c>
      <c r="C16" t="s">
        <v>40</v>
      </c>
      <c r="D16" t="s">
        <v>59</v>
      </c>
      <c r="E16">
        <v>151</v>
      </c>
      <c r="F16">
        <v>549</v>
      </c>
      <c r="G16">
        <v>57</v>
      </c>
      <c r="H16">
        <v>149</v>
      </c>
      <c r="I16">
        <v>32</v>
      </c>
      <c r="J16">
        <v>0</v>
      </c>
      <c r="K16">
        <v>9</v>
      </c>
      <c r="L16">
        <v>66</v>
      </c>
      <c r="M16">
        <v>41</v>
      </c>
      <c r="N16">
        <v>96</v>
      </c>
      <c r="O16">
        <v>0</v>
      </c>
      <c r="P16">
        <v>0</v>
      </c>
      <c r="Q16">
        <v>0.27100000000000002</v>
      </c>
      <c r="R16">
        <v>0.32300000000000001</v>
      </c>
      <c r="S16">
        <v>0.379</v>
      </c>
      <c r="T16">
        <v>0.70199999999999996</v>
      </c>
      <c r="U16">
        <v>5</v>
      </c>
      <c r="V16">
        <v>0</v>
      </c>
      <c r="W16">
        <v>8</v>
      </c>
      <c r="X16">
        <v>208</v>
      </c>
      <c r="Y16">
        <v>2</v>
      </c>
    </row>
    <row r="17" spans="1:25" x14ac:dyDescent="0.2">
      <c r="A17">
        <v>16</v>
      </c>
      <c r="B17" t="s">
        <v>60</v>
      </c>
      <c r="C17" t="s">
        <v>55</v>
      </c>
      <c r="D17" t="s">
        <v>41</v>
      </c>
      <c r="E17">
        <v>154</v>
      </c>
      <c r="F17">
        <v>591</v>
      </c>
      <c r="G17">
        <v>71</v>
      </c>
      <c r="H17">
        <v>156</v>
      </c>
      <c r="I17">
        <v>28</v>
      </c>
      <c r="J17">
        <v>2</v>
      </c>
      <c r="K17">
        <v>25</v>
      </c>
      <c r="L17">
        <v>85</v>
      </c>
      <c r="M17">
        <v>35</v>
      </c>
      <c r="N17">
        <v>185</v>
      </c>
      <c r="O17">
        <v>3</v>
      </c>
      <c r="P17">
        <v>2</v>
      </c>
      <c r="Q17">
        <v>0.26400000000000001</v>
      </c>
      <c r="R17">
        <v>0.312</v>
      </c>
      <c r="S17">
        <v>0.44500000000000001</v>
      </c>
      <c r="T17">
        <v>0.75700000000000001</v>
      </c>
      <c r="U17">
        <v>8</v>
      </c>
      <c r="V17">
        <v>0</v>
      </c>
      <c r="W17">
        <v>3</v>
      </c>
      <c r="X17">
        <v>263</v>
      </c>
      <c r="Y17">
        <v>1</v>
      </c>
    </row>
    <row r="18" spans="1:25" x14ac:dyDescent="0.2">
      <c r="A18">
        <v>17</v>
      </c>
      <c r="B18" t="s">
        <v>61</v>
      </c>
      <c r="C18" t="s">
        <v>62</v>
      </c>
      <c r="D18" t="s">
        <v>35</v>
      </c>
      <c r="E18">
        <v>146</v>
      </c>
      <c r="F18">
        <v>553</v>
      </c>
      <c r="G18">
        <v>74</v>
      </c>
      <c r="H18">
        <v>133</v>
      </c>
      <c r="I18">
        <v>31</v>
      </c>
      <c r="J18">
        <v>4</v>
      </c>
      <c r="K18">
        <v>14</v>
      </c>
      <c r="L18">
        <v>61</v>
      </c>
      <c r="M18">
        <v>49</v>
      </c>
      <c r="N18">
        <v>108</v>
      </c>
      <c r="O18">
        <v>10</v>
      </c>
      <c r="P18">
        <v>2</v>
      </c>
      <c r="Q18">
        <v>0.24099999999999999</v>
      </c>
      <c r="R18">
        <v>0.307</v>
      </c>
      <c r="S18">
        <v>0.38700000000000001</v>
      </c>
      <c r="T18">
        <v>0.69399999999999995</v>
      </c>
      <c r="U18">
        <v>7</v>
      </c>
      <c r="V18">
        <v>1</v>
      </c>
      <c r="W18">
        <v>6</v>
      </c>
      <c r="X18">
        <v>214</v>
      </c>
      <c r="Y18">
        <v>2</v>
      </c>
    </row>
    <row r="19" spans="1:25" x14ac:dyDescent="0.2">
      <c r="A19">
        <v>18</v>
      </c>
      <c r="B19" t="s">
        <v>63</v>
      </c>
      <c r="C19" t="s">
        <v>64</v>
      </c>
      <c r="D19" t="s">
        <v>27</v>
      </c>
      <c r="E19">
        <v>159</v>
      </c>
      <c r="F19">
        <v>611</v>
      </c>
      <c r="G19">
        <v>101</v>
      </c>
      <c r="H19">
        <v>191</v>
      </c>
      <c r="I19">
        <v>52</v>
      </c>
      <c r="J19">
        <v>1</v>
      </c>
      <c r="K19">
        <v>25</v>
      </c>
      <c r="L19">
        <v>109</v>
      </c>
      <c r="M19">
        <v>60</v>
      </c>
      <c r="N19">
        <v>117</v>
      </c>
      <c r="O19">
        <v>1</v>
      </c>
      <c r="P19">
        <v>1</v>
      </c>
      <c r="Q19">
        <v>0.313</v>
      </c>
      <c r="R19">
        <v>0.371</v>
      </c>
      <c r="S19">
        <v>0.52400000000000002</v>
      </c>
      <c r="T19">
        <v>0.89500000000000002</v>
      </c>
      <c r="U19">
        <v>3</v>
      </c>
      <c r="V19">
        <v>0</v>
      </c>
      <c r="W19">
        <v>11</v>
      </c>
      <c r="X19">
        <v>320</v>
      </c>
      <c r="Y19">
        <v>1</v>
      </c>
    </row>
    <row r="20" spans="1:25" x14ac:dyDescent="0.2">
      <c r="A20">
        <v>19</v>
      </c>
      <c r="B20" t="s">
        <v>63</v>
      </c>
      <c r="C20" t="s">
        <v>43</v>
      </c>
      <c r="D20" t="s">
        <v>30</v>
      </c>
      <c r="E20">
        <v>139</v>
      </c>
      <c r="F20">
        <v>568</v>
      </c>
      <c r="G20">
        <v>81</v>
      </c>
      <c r="H20">
        <v>171</v>
      </c>
      <c r="I20">
        <v>35</v>
      </c>
      <c r="J20">
        <v>3</v>
      </c>
      <c r="K20">
        <v>16</v>
      </c>
      <c r="L20">
        <v>73</v>
      </c>
      <c r="M20">
        <v>43</v>
      </c>
      <c r="N20">
        <v>67</v>
      </c>
      <c r="O20">
        <v>6</v>
      </c>
      <c r="P20">
        <v>2</v>
      </c>
      <c r="Q20">
        <v>0.30099999999999999</v>
      </c>
      <c r="R20">
        <v>0.35099999999999998</v>
      </c>
      <c r="S20">
        <v>0.45800000000000002</v>
      </c>
      <c r="T20">
        <v>0.80800000000000005</v>
      </c>
      <c r="U20">
        <v>3</v>
      </c>
      <c r="V20">
        <v>2</v>
      </c>
      <c r="W20">
        <v>5</v>
      </c>
      <c r="X20">
        <v>260</v>
      </c>
      <c r="Y20">
        <v>3</v>
      </c>
    </row>
    <row r="21" spans="1:25" x14ac:dyDescent="0.2">
      <c r="A21">
        <v>20</v>
      </c>
      <c r="B21" t="s">
        <v>65</v>
      </c>
      <c r="C21" t="s">
        <v>40</v>
      </c>
      <c r="D21" t="s">
        <v>66</v>
      </c>
      <c r="E21">
        <v>133</v>
      </c>
      <c r="F21">
        <v>471</v>
      </c>
      <c r="G21">
        <v>55</v>
      </c>
      <c r="H21">
        <v>142</v>
      </c>
      <c r="I21">
        <v>29</v>
      </c>
      <c r="J21">
        <v>4</v>
      </c>
      <c r="K21">
        <v>5</v>
      </c>
      <c r="L21">
        <v>53</v>
      </c>
      <c r="M21">
        <v>24</v>
      </c>
      <c r="N21">
        <v>108</v>
      </c>
      <c r="O21">
        <v>28</v>
      </c>
      <c r="P21">
        <v>5</v>
      </c>
      <c r="Q21">
        <v>0.30099999999999999</v>
      </c>
      <c r="R21">
        <v>0.33900000000000002</v>
      </c>
      <c r="S21">
        <v>0.41199999999999998</v>
      </c>
      <c r="T21">
        <v>0.751</v>
      </c>
      <c r="U21">
        <v>4</v>
      </c>
      <c r="V21">
        <v>0</v>
      </c>
      <c r="W21">
        <v>3</v>
      </c>
      <c r="X21">
        <v>194</v>
      </c>
      <c r="Y21">
        <v>2</v>
      </c>
    </row>
    <row r="22" spans="1:25" x14ac:dyDescent="0.2">
      <c r="A22">
        <v>21</v>
      </c>
      <c r="B22" t="s">
        <v>67</v>
      </c>
      <c r="C22" t="s">
        <v>68</v>
      </c>
      <c r="D22" t="s">
        <v>41</v>
      </c>
      <c r="E22">
        <v>127</v>
      </c>
      <c r="F22">
        <v>493</v>
      </c>
      <c r="G22">
        <v>90</v>
      </c>
      <c r="H22">
        <v>134</v>
      </c>
      <c r="I22">
        <v>31</v>
      </c>
      <c r="J22">
        <v>3</v>
      </c>
      <c r="K22">
        <v>17</v>
      </c>
      <c r="L22">
        <v>58</v>
      </c>
      <c r="M22">
        <v>38</v>
      </c>
      <c r="N22">
        <v>104</v>
      </c>
      <c r="O22">
        <v>5</v>
      </c>
      <c r="P22">
        <v>3</v>
      </c>
      <c r="Q22">
        <v>0.27200000000000002</v>
      </c>
      <c r="R22">
        <v>0.32500000000000001</v>
      </c>
      <c r="S22">
        <v>0.45</v>
      </c>
      <c r="T22">
        <v>0.77600000000000002</v>
      </c>
      <c r="U22">
        <v>2</v>
      </c>
      <c r="V22">
        <v>2</v>
      </c>
      <c r="W22">
        <v>2</v>
      </c>
      <c r="X22">
        <v>222</v>
      </c>
      <c r="Y22">
        <v>3</v>
      </c>
    </row>
    <row r="23" spans="1:25" x14ac:dyDescent="0.2">
      <c r="A23">
        <v>22</v>
      </c>
      <c r="B23" t="s">
        <v>69</v>
      </c>
      <c r="C23" t="s">
        <v>29</v>
      </c>
      <c r="D23" t="s">
        <v>35</v>
      </c>
      <c r="E23">
        <v>157</v>
      </c>
      <c r="F23">
        <v>595</v>
      </c>
      <c r="G23">
        <v>77</v>
      </c>
      <c r="H23">
        <v>187</v>
      </c>
      <c r="I23">
        <v>37</v>
      </c>
      <c r="J23">
        <v>2</v>
      </c>
      <c r="K23">
        <v>14</v>
      </c>
      <c r="L23">
        <v>82</v>
      </c>
      <c r="M23">
        <v>61</v>
      </c>
      <c r="N23">
        <v>68</v>
      </c>
      <c r="O23">
        <v>10</v>
      </c>
      <c r="P23">
        <v>3</v>
      </c>
      <c r="Q23">
        <v>0.314</v>
      </c>
      <c r="R23">
        <v>0.38200000000000001</v>
      </c>
      <c r="S23">
        <v>0.45400000000000001</v>
      </c>
      <c r="T23">
        <v>0.83599999999999997</v>
      </c>
      <c r="U23">
        <v>6</v>
      </c>
      <c r="V23">
        <v>0</v>
      </c>
      <c r="W23">
        <v>3</v>
      </c>
      <c r="X23">
        <v>270</v>
      </c>
      <c r="Y23">
        <v>1</v>
      </c>
    </row>
    <row r="24" spans="1:25" x14ac:dyDescent="0.2">
      <c r="A24">
        <v>23</v>
      </c>
      <c r="B24" t="s">
        <v>70</v>
      </c>
      <c r="C24" t="s">
        <v>32</v>
      </c>
      <c r="D24" t="s">
        <v>45</v>
      </c>
      <c r="E24">
        <v>158</v>
      </c>
      <c r="F24">
        <v>595</v>
      </c>
      <c r="G24">
        <v>99</v>
      </c>
      <c r="H24">
        <v>162</v>
      </c>
      <c r="I24">
        <v>33</v>
      </c>
      <c r="J24">
        <v>2</v>
      </c>
      <c r="K24">
        <v>8</v>
      </c>
      <c r="L24">
        <v>59</v>
      </c>
      <c r="M24">
        <v>95</v>
      </c>
      <c r="N24">
        <v>111</v>
      </c>
      <c r="O24">
        <v>5</v>
      </c>
      <c r="P24">
        <v>3</v>
      </c>
      <c r="Q24">
        <v>0.27200000000000002</v>
      </c>
      <c r="R24">
        <v>0.375</v>
      </c>
      <c r="S24">
        <v>0.375</v>
      </c>
      <c r="T24">
        <v>0.75</v>
      </c>
      <c r="U24">
        <v>8</v>
      </c>
      <c r="V24">
        <v>2</v>
      </c>
      <c r="W24">
        <v>9</v>
      </c>
      <c r="X24">
        <v>223</v>
      </c>
      <c r="Y24">
        <v>1</v>
      </c>
    </row>
    <row r="25" spans="1:25" x14ac:dyDescent="0.2">
      <c r="A25">
        <v>24</v>
      </c>
      <c r="B25" t="s">
        <v>71</v>
      </c>
      <c r="C25" t="s">
        <v>34</v>
      </c>
      <c r="D25" t="s">
        <v>59</v>
      </c>
      <c r="E25">
        <v>145</v>
      </c>
      <c r="F25">
        <v>507</v>
      </c>
      <c r="G25">
        <v>68</v>
      </c>
      <c r="H25">
        <v>115</v>
      </c>
      <c r="I25">
        <v>21</v>
      </c>
      <c r="J25">
        <v>1</v>
      </c>
      <c r="K25">
        <v>37</v>
      </c>
      <c r="L25">
        <v>88</v>
      </c>
      <c r="M25">
        <v>56</v>
      </c>
      <c r="N25">
        <v>182</v>
      </c>
      <c r="O25">
        <v>5</v>
      </c>
      <c r="P25">
        <v>2</v>
      </c>
      <c r="Q25">
        <v>0.22700000000000001</v>
      </c>
      <c r="R25">
        <v>0.308</v>
      </c>
      <c r="S25">
        <v>0.49099999999999999</v>
      </c>
      <c r="T25">
        <v>0.79900000000000004</v>
      </c>
      <c r="U25">
        <v>5</v>
      </c>
      <c r="V25">
        <v>0</v>
      </c>
      <c r="W25">
        <v>4</v>
      </c>
      <c r="X25">
        <v>249</v>
      </c>
      <c r="Y25">
        <v>3</v>
      </c>
    </row>
    <row r="26" spans="1:25" x14ac:dyDescent="0.2">
      <c r="A26">
        <v>25</v>
      </c>
      <c r="B26" t="s">
        <v>72</v>
      </c>
      <c r="C26" t="s">
        <v>64</v>
      </c>
      <c r="D26" t="s">
        <v>45</v>
      </c>
      <c r="E26">
        <v>148</v>
      </c>
      <c r="F26">
        <v>533</v>
      </c>
      <c r="G26">
        <v>50</v>
      </c>
      <c r="H26">
        <v>138</v>
      </c>
      <c r="I26">
        <v>31</v>
      </c>
      <c r="J26">
        <v>4</v>
      </c>
      <c r="K26">
        <v>11</v>
      </c>
      <c r="L26">
        <v>66</v>
      </c>
      <c r="M26">
        <v>36</v>
      </c>
      <c r="N26">
        <v>140</v>
      </c>
      <c r="O26">
        <v>2</v>
      </c>
      <c r="P26">
        <v>2</v>
      </c>
      <c r="Q26">
        <v>0.25900000000000001</v>
      </c>
      <c r="R26">
        <v>0.30599999999999999</v>
      </c>
      <c r="S26">
        <v>0.39400000000000002</v>
      </c>
      <c r="T26">
        <v>0.7</v>
      </c>
      <c r="U26">
        <v>3</v>
      </c>
      <c r="V26">
        <v>0</v>
      </c>
      <c r="W26">
        <v>7</v>
      </c>
      <c r="X26">
        <v>210</v>
      </c>
      <c r="Y26">
        <v>2</v>
      </c>
    </row>
    <row r="27" spans="1:25" x14ac:dyDescent="0.2">
      <c r="A27">
        <v>26</v>
      </c>
      <c r="B27" t="s">
        <v>73</v>
      </c>
      <c r="C27" t="s">
        <v>34</v>
      </c>
      <c r="D27" t="s">
        <v>74</v>
      </c>
      <c r="E27">
        <v>126</v>
      </c>
      <c r="F27">
        <v>465</v>
      </c>
      <c r="G27">
        <v>43</v>
      </c>
      <c r="H27">
        <v>103</v>
      </c>
      <c r="I27">
        <v>21</v>
      </c>
      <c r="J27">
        <v>2</v>
      </c>
      <c r="K27">
        <v>14</v>
      </c>
      <c r="L27">
        <v>56</v>
      </c>
      <c r="M27">
        <v>34</v>
      </c>
      <c r="N27">
        <v>151</v>
      </c>
      <c r="O27">
        <v>1</v>
      </c>
      <c r="P27">
        <v>0</v>
      </c>
      <c r="Q27">
        <v>0.222</v>
      </c>
      <c r="R27">
        <v>0.28599999999999998</v>
      </c>
      <c r="S27">
        <v>0.36599999999999999</v>
      </c>
      <c r="T27">
        <v>0.65100000000000002</v>
      </c>
      <c r="U27">
        <v>9</v>
      </c>
      <c r="V27">
        <v>1</v>
      </c>
      <c r="W27">
        <v>3</v>
      </c>
      <c r="X27">
        <v>170</v>
      </c>
      <c r="Y27">
        <v>2</v>
      </c>
    </row>
    <row r="28" spans="1:25" x14ac:dyDescent="0.2">
      <c r="A28">
        <v>27</v>
      </c>
      <c r="B28" t="s">
        <v>75</v>
      </c>
      <c r="C28" t="s">
        <v>76</v>
      </c>
      <c r="D28" t="s">
        <v>38</v>
      </c>
      <c r="E28">
        <v>134</v>
      </c>
      <c r="F28">
        <v>528</v>
      </c>
      <c r="G28">
        <v>58</v>
      </c>
      <c r="H28">
        <v>154</v>
      </c>
      <c r="I28">
        <v>33</v>
      </c>
      <c r="J28">
        <v>1</v>
      </c>
      <c r="K28">
        <v>14</v>
      </c>
      <c r="L28">
        <v>65</v>
      </c>
      <c r="M28">
        <v>35</v>
      </c>
      <c r="N28">
        <v>100</v>
      </c>
      <c r="O28">
        <v>4</v>
      </c>
      <c r="P28">
        <v>4</v>
      </c>
      <c r="Q28">
        <v>0.29199999999999998</v>
      </c>
      <c r="R28">
        <v>0.33900000000000002</v>
      </c>
      <c r="S28">
        <v>0.438</v>
      </c>
      <c r="T28">
        <v>0.77700000000000002</v>
      </c>
      <c r="U28">
        <v>4</v>
      </c>
      <c r="V28">
        <v>0</v>
      </c>
      <c r="W28">
        <v>2</v>
      </c>
      <c r="X28">
        <v>231</v>
      </c>
      <c r="Y28">
        <v>3</v>
      </c>
    </row>
    <row r="29" spans="1:25" x14ac:dyDescent="0.2">
      <c r="A29">
        <v>28</v>
      </c>
      <c r="B29" t="s">
        <v>77</v>
      </c>
      <c r="C29" t="s">
        <v>49</v>
      </c>
      <c r="D29" t="s">
        <v>30</v>
      </c>
      <c r="E29">
        <v>152</v>
      </c>
      <c r="F29">
        <v>600</v>
      </c>
      <c r="G29">
        <v>89</v>
      </c>
      <c r="H29">
        <v>156</v>
      </c>
      <c r="I29">
        <v>36</v>
      </c>
      <c r="J29">
        <v>6</v>
      </c>
      <c r="K29">
        <v>22</v>
      </c>
      <c r="L29">
        <v>100</v>
      </c>
      <c r="M29">
        <v>35</v>
      </c>
      <c r="N29">
        <v>128</v>
      </c>
      <c r="O29">
        <v>7</v>
      </c>
      <c r="P29">
        <v>2</v>
      </c>
      <c r="Q29">
        <v>0.26</v>
      </c>
      <c r="R29">
        <v>0.30099999999999999</v>
      </c>
      <c r="S29">
        <v>0.45</v>
      </c>
      <c r="T29">
        <v>0.751</v>
      </c>
      <c r="U29">
        <v>3</v>
      </c>
      <c r="V29">
        <v>0</v>
      </c>
      <c r="W29">
        <v>7</v>
      </c>
      <c r="X29">
        <v>270</v>
      </c>
      <c r="Y29">
        <v>1</v>
      </c>
    </row>
    <row r="30" spans="1:25" x14ac:dyDescent="0.2">
      <c r="A30">
        <v>29</v>
      </c>
      <c r="B30" t="s">
        <v>78</v>
      </c>
      <c r="C30" t="s">
        <v>51</v>
      </c>
      <c r="D30" t="s">
        <v>45</v>
      </c>
      <c r="E30">
        <v>142</v>
      </c>
      <c r="F30">
        <v>478</v>
      </c>
      <c r="G30">
        <v>62</v>
      </c>
      <c r="H30">
        <v>134</v>
      </c>
      <c r="I30">
        <v>29</v>
      </c>
      <c r="J30">
        <v>1</v>
      </c>
      <c r="K30">
        <v>13</v>
      </c>
      <c r="L30">
        <v>59</v>
      </c>
      <c r="M30">
        <v>39</v>
      </c>
      <c r="N30">
        <v>99</v>
      </c>
      <c r="O30">
        <v>3</v>
      </c>
      <c r="P30">
        <v>1</v>
      </c>
      <c r="Q30">
        <v>0.28000000000000003</v>
      </c>
      <c r="R30">
        <v>0.34300000000000003</v>
      </c>
      <c r="S30">
        <v>0.42699999999999999</v>
      </c>
      <c r="T30">
        <v>0.77</v>
      </c>
      <c r="U30">
        <v>8</v>
      </c>
      <c r="V30">
        <v>4</v>
      </c>
      <c r="W30">
        <v>3</v>
      </c>
      <c r="X30">
        <v>204</v>
      </c>
      <c r="Y30">
        <v>3</v>
      </c>
    </row>
    <row r="31" spans="1:25" x14ac:dyDescent="0.2">
      <c r="A31">
        <v>30</v>
      </c>
      <c r="B31" t="s">
        <v>79</v>
      </c>
      <c r="C31" t="s">
        <v>37</v>
      </c>
      <c r="D31" t="s">
        <v>30</v>
      </c>
      <c r="E31">
        <v>123</v>
      </c>
      <c r="F31">
        <v>455</v>
      </c>
      <c r="G31">
        <v>58</v>
      </c>
      <c r="H31">
        <v>110</v>
      </c>
      <c r="I31">
        <v>19</v>
      </c>
      <c r="J31">
        <v>1</v>
      </c>
      <c r="K31">
        <v>13</v>
      </c>
      <c r="L31">
        <v>40</v>
      </c>
      <c r="M31">
        <v>58</v>
      </c>
      <c r="N31">
        <v>131</v>
      </c>
      <c r="O31">
        <v>3</v>
      </c>
      <c r="P31">
        <v>4</v>
      </c>
      <c r="Q31">
        <v>0.24199999999999999</v>
      </c>
      <c r="R31">
        <v>0.34</v>
      </c>
      <c r="S31">
        <v>0.374</v>
      </c>
      <c r="T31">
        <v>0.71399999999999997</v>
      </c>
      <c r="U31">
        <v>12</v>
      </c>
      <c r="V31">
        <v>0</v>
      </c>
      <c r="W31">
        <v>4</v>
      </c>
      <c r="X31">
        <v>170</v>
      </c>
      <c r="Y31">
        <v>2</v>
      </c>
    </row>
    <row r="32" spans="1:25" x14ac:dyDescent="0.2">
      <c r="A32">
        <v>31</v>
      </c>
      <c r="B32" t="s">
        <v>80</v>
      </c>
      <c r="C32" t="s">
        <v>57</v>
      </c>
      <c r="D32" t="s">
        <v>38</v>
      </c>
      <c r="E32">
        <v>147</v>
      </c>
      <c r="F32">
        <v>506</v>
      </c>
      <c r="G32">
        <v>48</v>
      </c>
      <c r="H32">
        <v>112</v>
      </c>
      <c r="I32">
        <v>18</v>
      </c>
      <c r="J32">
        <v>5</v>
      </c>
      <c r="K32">
        <v>4</v>
      </c>
      <c r="L32">
        <v>38</v>
      </c>
      <c r="M32">
        <v>25</v>
      </c>
      <c r="N32">
        <v>79</v>
      </c>
      <c r="O32">
        <v>7</v>
      </c>
      <c r="P32">
        <v>0</v>
      </c>
      <c r="Q32">
        <v>0.221</v>
      </c>
      <c r="R32">
        <v>0.26800000000000002</v>
      </c>
      <c r="S32">
        <v>0.3</v>
      </c>
      <c r="T32">
        <v>0.56799999999999995</v>
      </c>
      <c r="U32">
        <v>7</v>
      </c>
      <c r="V32">
        <v>5</v>
      </c>
      <c r="W32">
        <v>0</v>
      </c>
      <c r="X32">
        <v>152</v>
      </c>
      <c r="Y32">
        <v>2</v>
      </c>
    </row>
    <row r="33" spans="1:25" x14ac:dyDescent="0.2">
      <c r="A33">
        <v>32</v>
      </c>
      <c r="B33" t="s">
        <v>81</v>
      </c>
      <c r="C33" t="s">
        <v>49</v>
      </c>
      <c r="D33" t="s">
        <v>41</v>
      </c>
      <c r="E33">
        <v>126</v>
      </c>
      <c r="F33">
        <v>461</v>
      </c>
      <c r="G33">
        <v>41</v>
      </c>
      <c r="H33">
        <v>99</v>
      </c>
      <c r="I33">
        <v>20</v>
      </c>
      <c r="J33">
        <v>1</v>
      </c>
      <c r="K33">
        <v>8</v>
      </c>
      <c r="L33">
        <v>46</v>
      </c>
      <c r="M33">
        <v>35</v>
      </c>
      <c r="N33">
        <v>113</v>
      </c>
      <c r="O33">
        <v>2</v>
      </c>
      <c r="P33">
        <v>1</v>
      </c>
      <c r="Q33">
        <v>0.215</v>
      </c>
      <c r="R33">
        <v>0.27900000000000003</v>
      </c>
      <c r="S33">
        <v>0.315</v>
      </c>
      <c r="T33">
        <v>0.59399999999999997</v>
      </c>
      <c r="U33">
        <v>7</v>
      </c>
      <c r="V33">
        <v>0</v>
      </c>
      <c r="W33">
        <v>2</v>
      </c>
      <c r="X33">
        <v>145</v>
      </c>
      <c r="Y33">
        <v>2</v>
      </c>
    </row>
    <row r="34" spans="1:25" x14ac:dyDescent="0.2">
      <c r="A34">
        <v>33</v>
      </c>
      <c r="B34" t="s">
        <v>82</v>
      </c>
      <c r="C34" t="s">
        <v>22</v>
      </c>
      <c r="D34" t="s">
        <v>38</v>
      </c>
      <c r="E34">
        <v>153</v>
      </c>
      <c r="F34">
        <v>491</v>
      </c>
      <c r="G34">
        <v>54</v>
      </c>
      <c r="H34">
        <v>121</v>
      </c>
      <c r="I34">
        <v>20</v>
      </c>
      <c r="J34">
        <v>10</v>
      </c>
      <c r="K34">
        <v>10</v>
      </c>
      <c r="L34">
        <v>69</v>
      </c>
      <c r="M34">
        <v>59</v>
      </c>
      <c r="N34">
        <v>129</v>
      </c>
      <c r="O34">
        <v>5</v>
      </c>
      <c r="P34">
        <v>3</v>
      </c>
      <c r="Q34">
        <v>0.246</v>
      </c>
      <c r="R34">
        <v>0.32400000000000001</v>
      </c>
      <c r="S34">
        <v>0.38900000000000001</v>
      </c>
      <c r="T34">
        <v>0.71299999999999997</v>
      </c>
      <c r="U34">
        <v>2</v>
      </c>
      <c r="V34">
        <v>2</v>
      </c>
      <c r="W34">
        <v>10</v>
      </c>
      <c r="X34">
        <v>191</v>
      </c>
      <c r="Y34">
        <v>2</v>
      </c>
    </row>
    <row r="35" spans="1:25" x14ac:dyDescent="0.2">
      <c r="A35">
        <v>34</v>
      </c>
      <c r="B35" t="s">
        <v>83</v>
      </c>
      <c r="C35" t="s">
        <v>84</v>
      </c>
      <c r="D35" t="s">
        <v>30</v>
      </c>
      <c r="E35">
        <v>126</v>
      </c>
      <c r="F35">
        <v>463</v>
      </c>
      <c r="G35">
        <v>68</v>
      </c>
      <c r="H35">
        <v>114</v>
      </c>
      <c r="I35">
        <v>21</v>
      </c>
      <c r="J35">
        <v>3</v>
      </c>
      <c r="K35">
        <v>9</v>
      </c>
      <c r="L35">
        <v>47</v>
      </c>
      <c r="M35">
        <v>66</v>
      </c>
      <c r="N35">
        <v>66</v>
      </c>
      <c r="O35">
        <v>19</v>
      </c>
      <c r="P35">
        <v>5</v>
      </c>
      <c r="Q35">
        <v>0.246</v>
      </c>
      <c r="R35">
        <v>0.33600000000000002</v>
      </c>
      <c r="S35">
        <v>0.36299999999999999</v>
      </c>
      <c r="T35">
        <v>0.69899999999999995</v>
      </c>
      <c r="U35">
        <v>0</v>
      </c>
      <c r="V35">
        <v>1</v>
      </c>
      <c r="W35">
        <v>6</v>
      </c>
      <c r="X35">
        <v>168</v>
      </c>
      <c r="Y35">
        <v>2</v>
      </c>
    </row>
    <row r="36" spans="1:25" x14ac:dyDescent="0.2">
      <c r="A36">
        <v>35</v>
      </c>
      <c r="B36" t="s">
        <v>85</v>
      </c>
      <c r="C36" t="s">
        <v>86</v>
      </c>
      <c r="D36" t="s">
        <v>30</v>
      </c>
      <c r="E36">
        <v>159</v>
      </c>
      <c r="F36">
        <v>613</v>
      </c>
      <c r="G36">
        <v>87</v>
      </c>
      <c r="H36">
        <v>166</v>
      </c>
      <c r="I36">
        <v>32</v>
      </c>
      <c r="J36">
        <v>2</v>
      </c>
      <c r="K36">
        <v>40</v>
      </c>
      <c r="L36">
        <v>108</v>
      </c>
      <c r="M36">
        <v>55</v>
      </c>
      <c r="N36">
        <v>140</v>
      </c>
      <c r="O36">
        <v>4</v>
      </c>
      <c r="P36">
        <v>5</v>
      </c>
      <c r="Q36">
        <v>0.27100000000000002</v>
      </c>
      <c r="R36">
        <v>0.33300000000000002</v>
      </c>
      <c r="S36">
        <v>0.52500000000000002</v>
      </c>
      <c r="T36">
        <v>0.85899999999999999</v>
      </c>
      <c r="U36">
        <v>5</v>
      </c>
      <c r="V36">
        <v>0</v>
      </c>
      <c r="W36">
        <v>5</v>
      </c>
      <c r="X36">
        <v>322</v>
      </c>
      <c r="Y36">
        <v>1</v>
      </c>
    </row>
    <row r="37" spans="1:25" x14ac:dyDescent="0.2">
      <c r="A37">
        <v>36</v>
      </c>
      <c r="B37" t="s">
        <v>87</v>
      </c>
      <c r="C37" t="s">
        <v>53</v>
      </c>
      <c r="D37" t="s">
        <v>30</v>
      </c>
      <c r="E37">
        <v>144</v>
      </c>
      <c r="F37">
        <v>501</v>
      </c>
      <c r="G37">
        <v>70</v>
      </c>
      <c r="H37">
        <v>122</v>
      </c>
      <c r="I37">
        <v>37</v>
      </c>
      <c r="J37">
        <v>2</v>
      </c>
      <c r="K37">
        <v>22</v>
      </c>
      <c r="L37">
        <v>69</v>
      </c>
      <c r="M37">
        <v>32</v>
      </c>
      <c r="N37">
        <v>122</v>
      </c>
      <c r="O37">
        <v>4</v>
      </c>
      <c r="P37">
        <v>1</v>
      </c>
      <c r="Q37">
        <v>0.24399999999999999</v>
      </c>
      <c r="R37">
        <v>0.29899999999999999</v>
      </c>
      <c r="S37">
        <v>0.45700000000000002</v>
      </c>
      <c r="T37">
        <v>0.75600000000000001</v>
      </c>
      <c r="U37">
        <v>10</v>
      </c>
      <c r="V37">
        <v>0</v>
      </c>
      <c r="W37">
        <v>6</v>
      </c>
      <c r="X37">
        <v>229</v>
      </c>
      <c r="Y37">
        <v>2</v>
      </c>
    </row>
    <row r="38" spans="1:25" x14ac:dyDescent="0.2">
      <c r="A38">
        <v>37</v>
      </c>
      <c r="B38" t="s">
        <v>88</v>
      </c>
      <c r="C38" t="s">
        <v>86</v>
      </c>
      <c r="D38" t="s">
        <v>30</v>
      </c>
      <c r="E38">
        <v>142</v>
      </c>
      <c r="F38">
        <v>477</v>
      </c>
      <c r="G38">
        <v>56</v>
      </c>
      <c r="H38">
        <v>120</v>
      </c>
      <c r="I38">
        <v>24</v>
      </c>
      <c r="J38">
        <v>8</v>
      </c>
      <c r="K38">
        <v>8</v>
      </c>
      <c r="L38">
        <v>41</v>
      </c>
      <c r="M38">
        <v>39</v>
      </c>
      <c r="N38">
        <v>119</v>
      </c>
      <c r="O38">
        <v>17</v>
      </c>
      <c r="P38">
        <v>10</v>
      </c>
      <c r="Q38">
        <v>0.252</v>
      </c>
      <c r="R38">
        <v>0.314</v>
      </c>
      <c r="S38">
        <v>0.38600000000000001</v>
      </c>
      <c r="T38">
        <v>0.7</v>
      </c>
      <c r="U38">
        <v>6</v>
      </c>
      <c r="V38">
        <v>3</v>
      </c>
      <c r="W38">
        <v>3</v>
      </c>
      <c r="X38">
        <v>184</v>
      </c>
      <c r="Y38">
        <v>2</v>
      </c>
    </row>
    <row r="39" spans="1:25" x14ac:dyDescent="0.2">
      <c r="A39">
        <v>38</v>
      </c>
      <c r="B39" t="s">
        <v>89</v>
      </c>
      <c r="C39" t="s">
        <v>62</v>
      </c>
      <c r="D39" t="s">
        <v>38</v>
      </c>
      <c r="E39">
        <v>154</v>
      </c>
      <c r="F39">
        <v>593</v>
      </c>
      <c r="G39">
        <v>73</v>
      </c>
      <c r="H39">
        <v>151</v>
      </c>
      <c r="I39">
        <v>26</v>
      </c>
      <c r="J39">
        <v>3</v>
      </c>
      <c r="K39">
        <v>24</v>
      </c>
      <c r="L39">
        <v>91</v>
      </c>
      <c r="M39">
        <v>46</v>
      </c>
      <c r="N39">
        <v>183</v>
      </c>
      <c r="O39">
        <v>24</v>
      </c>
      <c r="P39">
        <v>5</v>
      </c>
      <c r="Q39">
        <v>0.255</v>
      </c>
      <c r="R39">
        <v>0.313</v>
      </c>
      <c r="S39">
        <v>0.43</v>
      </c>
      <c r="T39">
        <v>0.74299999999999999</v>
      </c>
      <c r="U39">
        <v>6</v>
      </c>
      <c r="V39">
        <v>0</v>
      </c>
      <c r="W39">
        <v>3</v>
      </c>
      <c r="X39">
        <v>255</v>
      </c>
      <c r="Y39">
        <v>1</v>
      </c>
    </row>
    <row r="40" spans="1:25" x14ac:dyDescent="0.2">
      <c r="A40">
        <v>39</v>
      </c>
      <c r="B40" t="s">
        <v>90</v>
      </c>
      <c r="C40" t="s">
        <v>34</v>
      </c>
      <c r="D40" t="s">
        <v>45</v>
      </c>
      <c r="E40">
        <v>157</v>
      </c>
      <c r="F40">
        <v>564</v>
      </c>
      <c r="G40">
        <v>51</v>
      </c>
      <c r="H40">
        <v>121</v>
      </c>
      <c r="I40">
        <v>17</v>
      </c>
      <c r="J40">
        <v>0</v>
      </c>
      <c r="K40">
        <v>16</v>
      </c>
      <c r="L40">
        <v>57</v>
      </c>
      <c r="M40">
        <v>29</v>
      </c>
      <c r="N40">
        <v>125</v>
      </c>
      <c r="O40">
        <v>0</v>
      </c>
      <c r="P40">
        <v>1</v>
      </c>
      <c r="Q40">
        <v>0.215</v>
      </c>
      <c r="R40">
        <v>0.25600000000000001</v>
      </c>
      <c r="S40">
        <v>0.33</v>
      </c>
      <c r="T40">
        <v>0.58599999999999997</v>
      </c>
      <c r="U40">
        <v>5</v>
      </c>
      <c r="V40">
        <v>2</v>
      </c>
      <c r="W40">
        <v>7</v>
      </c>
      <c r="X40">
        <v>186</v>
      </c>
      <c r="Y40">
        <v>2</v>
      </c>
    </row>
    <row r="41" spans="1:25" x14ac:dyDescent="0.2">
      <c r="A41">
        <v>40</v>
      </c>
      <c r="B41" t="s">
        <v>91</v>
      </c>
      <c r="C41" t="s">
        <v>84</v>
      </c>
      <c r="D41" t="s">
        <v>45</v>
      </c>
      <c r="E41">
        <v>158</v>
      </c>
      <c r="F41">
        <v>608</v>
      </c>
      <c r="G41">
        <v>93</v>
      </c>
      <c r="H41">
        <v>155</v>
      </c>
      <c r="I41">
        <v>31</v>
      </c>
      <c r="J41">
        <v>2</v>
      </c>
      <c r="K41">
        <v>29</v>
      </c>
      <c r="L41">
        <v>98</v>
      </c>
      <c r="M41">
        <v>76</v>
      </c>
      <c r="N41">
        <v>130</v>
      </c>
      <c r="O41">
        <v>8</v>
      </c>
      <c r="P41">
        <v>0</v>
      </c>
      <c r="Q41">
        <v>0.255</v>
      </c>
      <c r="R41">
        <v>0.34200000000000003</v>
      </c>
      <c r="S41">
        <v>0.45600000000000002</v>
      </c>
      <c r="T41">
        <v>0.79800000000000004</v>
      </c>
      <c r="U41">
        <v>7</v>
      </c>
      <c r="V41">
        <v>0</v>
      </c>
      <c r="W41">
        <v>4</v>
      </c>
      <c r="X41">
        <v>277</v>
      </c>
      <c r="Y41">
        <v>1</v>
      </c>
    </row>
    <row r="42" spans="1:25" x14ac:dyDescent="0.2">
      <c r="A42">
        <v>41</v>
      </c>
      <c r="B42" t="s">
        <v>92</v>
      </c>
      <c r="C42" t="s">
        <v>93</v>
      </c>
      <c r="D42" t="s">
        <v>35</v>
      </c>
      <c r="E42">
        <v>156</v>
      </c>
      <c r="F42">
        <v>598</v>
      </c>
      <c r="G42">
        <v>112</v>
      </c>
      <c r="H42">
        <v>145</v>
      </c>
      <c r="I42">
        <v>33</v>
      </c>
      <c r="J42">
        <v>1</v>
      </c>
      <c r="K42">
        <v>23</v>
      </c>
      <c r="L42">
        <v>71</v>
      </c>
      <c r="M42">
        <v>89</v>
      </c>
      <c r="N42">
        <v>129</v>
      </c>
      <c r="O42">
        <v>21</v>
      </c>
      <c r="P42">
        <v>7</v>
      </c>
      <c r="Q42">
        <v>0.24199999999999999</v>
      </c>
      <c r="R42">
        <v>0.34499999999999997</v>
      </c>
      <c r="S42">
        <v>0.41599999999999998</v>
      </c>
      <c r="T42">
        <v>0.76200000000000001</v>
      </c>
      <c r="U42">
        <v>9</v>
      </c>
      <c r="V42">
        <v>3</v>
      </c>
      <c r="W42">
        <v>8</v>
      </c>
      <c r="X42">
        <v>249</v>
      </c>
      <c r="Y42">
        <v>1</v>
      </c>
    </row>
    <row r="43" spans="1:25" x14ac:dyDescent="0.2">
      <c r="A43">
        <v>42</v>
      </c>
      <c r="B43" t="s">
        <v>94</v>
      </c>
      <c r="C43" t="s">
        <v>95</v>
      </c>
      <c r="D43" t="s">
        <v>27</v>
      </c>
      <c r="E43">
        <v>153</v>
      </c>
      <c r="F43">
        <v>514</v>
      </c>
      <c r="G43">
        <v>74</v>
      </c>
      <c r="H43">
        <v>130</v>
      </c>
      <c r="I43">
        <v>27</v>
      </c>
      <c r="J43">
        <v>0</v>
      </c>
      <c r="K43">
        <v>30</v>
      </c>
      <c r="L43">
        <v>92</v>
      </c>
      <c r="M43">
        <v>69</v>
      </c>
      <c r="N43">
        <v>135</v>
      </c>
      <c r="O43">
        <v>3</v>
      </c>
      <c r="P43">
        <v>2</v>
      </c>
      <c r="Q43">
        <v>0.253</v>
      </c>
      <c r="R43">
        <v>0.34899999999999998</v>
      </c>
      <c r="S43">
        <v>0.48099999999999998</v>
      </c>
      <c r="T43">
        <v>0.83</v>
      </c>
      <c r="U43">
        <v>9</v>
      </c>
      <c r="V43">
        <v>0</v>
      </c>
      <c r="W43">
        <v>4</v>
      </c>
      <c r="X43">
        <v>247</v>
      </c>
      <c r="Y43">
        <v>3</v>
      </c>
    </row>
    <row r="44" spans="1:25" x14ac:dyDescent="0.2">
      <c r="A44">
        <v>43</v>
      </c>
      <c r="B44" t="s">
        <v>96</v>
      </c>
      <c r="C44" t="s">
        <v>84</v>
      </c>
      <c r="D44" t="s">
        <v>27</v>
      </c>
      <c r="E44">
        <v>131</v>
      </c>
      <c r="F44">
        <v>429</v>
      </c>
      <c r="G44">
        <v>49</v>
      </c>
      <c r="H44">
        <v>94</v>
      </c>
      <c r="I44">
        <v>18</v>
      </c>
      <c r="J44">
        <v>0</v>
      </c>
      <c r="K44">
        <v>22</v>
      </c>
      <c r="L44">
        <v>64</v>
      </c>
      <c r="M44">
        <v>71</v>
      </c>
      <c r="N44">
        <v>159</v>
      </c>
      <c r="O44">
        <v>1</v>
      </c>
      <c r="P44">
        <v>1</v>
      </c>
      <c r="Q44">
        <v>0.219</v>
      </c>
      <c r="R44">
        <v>0.33700000000000002</v>
      </c>
      <c r="S44">
        <v>0.41499999999999998</v>
      </c>
      <c r="T44">
        <v>0.752</v>
      </c>
      <c r="U44">
        <v>7</v>
      </c>
      <c r="V44">
        <v>0</v>
      </c>
      <c r="W44">
        <v>4</v>
      </c>
      <c r="X44">
        <v>178</v>
      </c>
      <c r="Y44">
        <v>2</v>
      </c>
    </row>
    <row r="45" spans="1:25" x14ac:dyDescent="0.2">
      <c r="A45">
        <v>44</v>
      </c>
      <c r="B45" t="s">
        <v>97</v>
      </c>
      <c r="C45" t="s">
        <v>26</v>
      </c>
      <c r="D45" t="s">
        <v>66</v>
      </c>
      <c r="E45">
        <v>123</v>
      </c>
      <c r="F45">
        <v>486</v>
      </c>
      <c r="G45">
        <v>76</v>
      </c>
      <c r="H45">
        <v>146</v>
      </c>
      <c r="I45">
        <v>26</v>
      </c>
      <c r="J45">
        <v>10</v>
      </c>
      <c r="K45">
        <v>1</v>
      </c>
      <c r="L45">
        <v>35</v>
      </c>
      <c r="M45">
        <v>43</v>
      </c>
      <c r="N45">
        <v>83</v>
      </c>
      <c r="O45">
        <v>15</v>
      </c>
      <c r="P45">
        <v>9</v>
      </c>
      <c r="Q45">
        <v>0.3</v>
      </c>
      <c r="R45">
        <v>0.36199999999999999</v>
      </c>
      <c r="S45">
        <v>0.40100000000000002</v>
      </c>
      <c r="T45">
        <v>0.76300000000000001</v>
      </c>
      <c r="U45">
        <v>5</v>
      </c>
      <c r="V45">
        <v>2</v>
      </c>
      <c r="W45">
        <v>2</v>
      </c>
      <c r="X45">
        <v>195</v>
      </c>
      <c r="Y45">
        <v>2</v>
      </c>
    </row>
    <row r="46" spans="1:25" x14ac:dyDescent="0.2">
      <c r="A46">
        <v>45</v>
      </c>
      <c r="B46" t="s">
        <v>98</v>
      </c>
      <c r="C46" t="s">
        <v>99</v>
      </c>
      <c r="D46" t="s">
        <v>66</v>
      </c>
      <c r="E46">
        <v>149</v>
      </c>
      <c r="F46">
        <v>575</v>
      </c>
      <c r="G46">
        <v>71</v>
      </c>
      <c r="H46">
        <v>156</v>
      </c>
      <c r="I46">
        <v>27</v>
      </c>
      <c r="J46">
        <v>5</v>
      </c>
      <c r="K46">
        <v>16</v>
      </c>
      <c r="L46">
        <v>70</v>
      </c>
      <c r="M46">
        <v>49</v>
      </c>
      <c r="N46">
        <v>93</v>
      </c>
      <c r="O46">
        <v>39</v>
      </c>
      <c r="P46">
        <v>5</v>
      </c>
      <c r="Q46">
        <v>0.27100000000000002</v>
      </c>
      <c r="R46">
        <v>0.32800000000000001</v>
      </c>
      <c r="S46">
        <v>0.41899999999999998</v>
      </c>
      <c r="T46">
        <v>0.747</v>
      </c>
      <c r="U46">
        <v>3</v>
      </c>
      <c r="V46">
        <v>0</v>
      </c>
      <c r="W46">
        <v>7</v>
      </c>
      <c r="X46">
        <v>241</v>
      </c>
      <c r="Y46">
        <v>1</v>
      </c>
    </row>
    <row r="47" spans="1:25" x14ac:dyDescent="0.2">
      <c r="A47">
        <v>46</v>
      </c>
      <c r="B47" t="s">
        <v>100</v>
      </c>
      <c r="C47" t="s">
        <v>43</v>
      </c>
      <c r="D47" t="s">
        <v>27</v>
      </c>
      <c r="E47">
        <v>128</v>
      </c>
      <c r="F47">
        <v>477</v>
      </c>
      <c r="G47">
        <v>75</v>
      </c>
      <c r="H47">
        <v>128</v>
      </c>
      <c r="I47">
        <v>27</v>
      </c>
      <c r="J47">
        <v>2</v>
      </c>
      <c r="K47">
        <v>34</v>
      </c>
      <c r="L47">
        <v>98</v>
      </c>
      <c r="M47">
        <v>62</v>
      </c>
      <c r="N47">
        <v>82</v>
      </c>
      <c r="O47">
        <v>2</v>
      </c>
      <c r="P47">
        <v>0</v>
      </c>
      <c r="Q47">
        <v>0.26800000000000002</v>
      </c>
      <c r="R47">
        <v>0.35399999999999998</v>
      </c>
      <c r="S47">
        <v>0.54700000000000004</v>
      </c>
      <c r="T47">
        <v>0.90100000000000002</v>
      </c>
      <c r="U47">
        <v>2</v>
      </c>
      <c r="V47">
        <v>0</v>
      </c>
      <c r="W47">
        <v>1</v>
      </c>
      <c r="X47">
        <v>261</v>
      </c>
      <c r="Y47">
        <v>3</v>
      </c>
    </row>
    <row r="48" spans="1:25" x14ac:dyDescent="0.2">
      <c r="A48">
        <v>47</v>
      </c>
      <c r="B48" t="s">
        <v>101</v>
      </c>
      <c r="C48" t="s">
        <v>40</v>
      </c>
      <c r="D48" t="s">
        <v>38</v>
      </c>
      <c r="E48">
        <v>162</v>
      </c>
      <c r="F48">
        <v>579</v>
      </c>
      <c r="G48">
        <v>74</v>
      </c>
      <c r="H48">
        <v>165</v>
      </c>
      <c r="I48">
        <v>34</v>
      </c>
      <c r="J48">
        <v>5</v>
      </c>
      <c r="K48">
        <v>3</v>
      </c>
      <c r="L48">
        <v>50</v>
      </c>
      <c r="M48">
        <v>23</v>
      </c>
      <c r="N48">
        <v>83</v>
      </c>
      <c r="O48">
        <v>31</v>
      </c>
      <c r="P48">
        <v>6</v>
      </c>
      <c r="Q48">
        <v>0.28499999999999998</v>
      </c>
      <c r="R48">
        <v>0.317</v>
      </c>
      <c r="S48">
        <v>0.377</v>
      </c>
      <c r="T48">
        <v>0.69399999999999995</v>
      </c>
      <c r="U48">
        <v>6</v>
      </c>
      <c r="V48">
        <v>8</v>
      </c>
      <c r="W48">
        <v>4</v>
      </c>
      <c r="X48">
        <v>218</v>
      </c>
      <c r="Y48">
        <v>2</v>
      </c>
    </row>
    <row r="49" spans="1:25" x14ac:dyDescent="0.2">
      <c r="A49">
        <v>48</v>
      </c>
      <c r="B49" t="s">
        <v>102</v>
      </c>
      <c r="C49" t="s">
        <v>23</v>
      </c>
      <c r="D49" t="s">
        <v>38</v>
      </c>
      <c r="E49">
        <v>137</v>
      </c>
      <c r="F49">
        <v>476</v>
      </c>
      <c r="G49">
        <v>33</v>
      </c>
      <c r="H49">
        <v>123</v>
      </c>
      <c r="I49">
        <v>18</v>
      </c>
      <c r="J49">
        <v>0</v>
      </c>
      <c r="K49">
        <v>7</v>
      </c>
      <c r="L49">
        <v>39</v>
      </c>
      <c r="M49">
        <v>43</v>
      </c>
      <c r="N49">
        <v>60</v>
      </c>
      <c r="O49">
        <v>1</v>
      </c>
      <c r="P49">
        <v>1</v>
      </c>
      <c r="Q49">
        <v>0.25800000000000001</v>
      </c>
      <c r="R49">
        <v>0.32400000000000001</v>
      </c>
      <c r="S49">
        <v>0.34</v>
      </c>
      <c r="T49">
        <v>0.66400000000000003</v>
      </c>
      <c r="U49">
        <v>4</v>
      </c>
      <c r="V49">
        <v>4</v>
      </c>
      <c r="W49">
        <v>2</v>
      </c>
      <c r="X49">
        <v>162</v>
      </c>
      <c r="Y49">
        <v>2</v>
      </c>
    </row>
    <row r="50" spans="1:25" x14ac:dyDescent="0.2">
      <c r="A50">
        <v>49</v>
      </c>
      <c r="B50" t="s">
        <v>103</v>
      </c>
      <c r="C50" t="s">
        <v>34</v>
      </c>
      <c r="D50" t="s">
        <v>66</v>
      </c>
      <c r="E50">
        <v>116</v>
      </c>
      <c r="F50">
        <v>434</v>
      </c>
      <c r="G50">
        <v>61</v>
      </c>
      <c r="H50">
        <v>120</v>
      </c>
      <c r="I50">
        <v>21</v>
      </c>
      <c r="J50">
        <v>4</v>
      </c>
      <c r="K50">
        <v>8</v>
      </c>
      <c r="L50">
        <v>35</v>
      </c>
      <c r="M50">
        <v>66</v>
      </c>
      <c r="N50">
        <v>108</v>
      </c>
      <c r="O50">
        <v>11</v>
      </c>
      <c r="P50">
        <v>4</v>
      </c>
      <c r="Q50">
        <v>0.27600000000000002</v>
      </c>
      <c r="R50">
        <v>0.375</v>
      </c>
      <c r="S50">
        <v>0.39900000000000002</v>
      </c>
      <c r="T50">
        <v>0.77400000000000002</v>
      </c>
      <c r="U50">
        <v>3</v>
      </c>
      <c r="V50">
        <v>1</v>
      </c>
      <c r="W50">
        <v>1</v>
      </c>
      <c r="X50">
        <v>173</v>
      </c>
      <c r="Y50">
        <v>2</v>
      </c>
    </row>
    <row r="51" spans="1:25" x14ac:dyDescent="0.2">
      <c r="A51">
        <v>50</v>
      </c>
      <c r="B51" t="s">
        <v>104</v>
      </c>
      <c r="C51" t="s">
        <v>57</v>
      </c>
      <c r="D51" t="s">
        <v>45</v>
      </c>
      <c r="E51">
        <v>157</v>
      </c>
      <c r="F51">
        <v>597</v>
      </c>
      <c r="G51">
        <v>88</v>
      </c>
      <c r="H51">
        <v>163</v>
      </c>
      <c r="I51">
        <v>22</v>
      </c>
      <c r="J51">
        <v>1</v>
      </c>
      <c r="K51">
        <v>29</v>
      </c>
      <c r="L51">
        <v>80</v>
      </c>
      <c r="M51">
        <v>52</v>
      </c>
      <c r="N51">
        <v>139</v>
      </c>
      <c r="O51">
        <v>20</v>
      </c>
      <c r="P51">
        <v>8</v>
      </c>
      <c r="Q51">
        <v>0.27300000000000002</v>
      </c>
      <c r="R51">
        <v>0.33600000000000002</v>
      </c>
      <c r="S51">
        <v>0.45900000000000002</v>
      </c>
      <c r="T51">
        <v>0.79500000000000004</v>
      </c>
      <c r="U51">
        <v>7</v>
      </c>
      <c r="V51">
        <v>0</v>
      </c>
      <c r="W51">
        <v>4</v>
      </c>
      <c r="X51">
        <v>274</v>
      </c>
      <c r="Y51">
        <v>1</v>
      </c>
    </row>
    <row r="52" spans="1:25" x14ac:dyDescent="0.2">
      <c r="A52">
        <v>51</v>
      </c>
      <c r="B52" t="s">
        <v>105</v>
      </c>
      <c r="C52" t="s">
        <v>106</v>
      </c>
      <c r="D52" t="s">
        <v>27</v>
      </c>
      <c r="E52">
        <v>162</v>
      </c>
      <c r="F52">
        <v>607</v>
      </c>
      <c r="G52">
        <v>93</v>
      </c>
      <c r="H52">
        <v>175</v>
      </c>
      <c r="I52">
        <v>43</v>
      </c>
      <c r="J52">
        <v>4</v>
      </c>
      <c r="K52">
        <v>18</v>
      </c>
      <c r="L52">
        <v>78</v>
      </c>
      <c r="M52">
        <v>90</v>
      </c>
      <c r="N52">
        <v>145</v>
      </c>
      <c r="O52">
        <v>3</v>
      </c>
      <c r="P52">
        <v>4</v>
      </c>
      <c r="Q52">
        <v>0.28799999999999998</v>
      </c>
      <c r="R52">
        <v>0.38600000000000001</v>
      </c>
      <c r="S52">
        <v>0.46100000000000002</v>
      </c>
      <c r="T52">
        <v>0.84699999999999998</v>
      </c>
      <c r="U52">
        <v>8</v>
      </c>
      <c r="V52">
        <v>0</v>
      </c>
      <c r="W52">
        <v>3</v>
      </c>
      <c r="X52">
        <v>280</v>
      </c>
      <c r="Y52">
        <v>1</v>
      </c>
    </row>
    <row r="53" spans="1:25" x14ac:dyDescent="0.2">
      <c r="A53">
        <v>52</v>
      </c>
      <c r="B53" t="s">
        <v>107</v>
      </c>
      <c r="C53" t="s">
        <v>68</v>
      </c>
      <c r="D53" t="s">
        <v>45</v>
      </c>
      <c r="E53">
        <v>134</v>
      </c>
      <c r="F53">
        <v>462</v>
      </c>
      <c r="G53">
        <v>53</v>
      </c>
      <c r="H53">
        <v>120</v>
      </c>
      <c r="I53">
        <v>25</v>
      </c>
      <c r="J53">
        <v>1</v>
      </c>
      <c r="K53">
        <v>10</v>
      </c>
      <c r="L53">
        <v>55</v>
      </c>
      <c r="M53">
        <v>38</v>
      </c>
      <c r="N53">
        <v>124</v>
      </c>
      <c r="O53">
        <v>1</v>
      </c>
      <c r="P53">
        <v>3</v>
      </c>
      <c r="Q53">
        <v>0.26</v>
      </c>
      <c r="R53">
        <v>0.32100000000000001</v>
      </c>
      <c r="S53">
        <v>0.38300000000000001</v>
      </c>
      <c r="T53">
        <v>0.70399999999999996</v>
      </c>
      <c r="U53">
        <v>6</v>
      </c>
      <c r="V53">
        <v>0</v>
      </c>
      <c r="W53">
        <v>5</v>
      </c>
      <c r="X53">
        <v>177</v>
      </c>
      <c r="Y53">
        <v>2</v>
      </c>
    </row>
    <row r="54" spans="1:25" x14ac:dyDescent="0.2">
      <c r="A54">
        <v>53</v>
      </c>
      <c r="B54" t="s">
        <v>108</v>
      </c>
      <c r="C54" t="s">
        <v>99</v>
      </c>
      <c r="D54" t="s">
        <v>30</v>
      </c>
      <c r="E54">
        <v>148</v>
      </c>
      <c r="F54">
        <v>555</v>
      </c>
      <c r="G54">
        <v>87</v>
      </c>
      <c r="H54">
        <v>142</v>
      </c>
      <c r="I54">
        <v>25</v>
      </c>
      <c r="J54">
        <v>8</v>
      </c>
      <c r="K54">
        <v>17</v>
      </c>
      <c r="L54">
        <v>58</v>
      </c>
      <c r="M54">
        <v>56</v>
      </c>
      <c r="N54">
        <v>134</v>
      </c>
      <c r="O54">
        <v>21</v>
      </c>
      <c r="P54">
        <v>5</v>
      </c>
      <c r="Q54">
        <v>0.25600000000000001</v>
      </c>
      <c r="R54">
        <v>0.32700000000000001</v>
      </c>
      <c r="S54">
        <v>0.42199999999999999</v>
      </c>
      <c r="T54">
        <v>0.749</v>
      </c>
      <c r="U54">
        <v>6</v>
      </c>
      <c r="V54">
        <v>13</v>
      </c>
      <c r="W54">
        <v>6</v>
      </c>
      <c r="X54">
        <v>234</v>
      </c>
      <c r="Y54">
        <v>2</v>
      </c>
    </row>
    <row r="55" spans="1:25" x14ac:dyDescent="0.2">
      <c r="A55">
        <v>54</v>
      </c>
      <c r="B55" t="s">
        <v>109</v>
      </c>
      <c r="C55" t="s">
        <v>26</v>
      </c>
      <c r="D55" t="s">
        <v>45</v>
      </c>
      <c r="E55">
        <v>130</v>
      </c>
      <c r="F55">
        <v>464</v>
      </c>
      <c r="G55">
        <v>50</v>
      </c>
      <c r="H55">
        <v>131</v>
      </c>
      <c r="I55">
        <v>31</v>
      </c>
      <c r="J55">
        <v>5</v>
      </c>
      <c r="K55">
        <v>7</v>
      </c>
      <c r="L55">
        <v>57</v>
      </c>
      <c r="M55">
        <v>36</v>
      </c>
      <c r="N55">
        <v>78</v>
      </c>
      <c r="O55">
        <v>0</v>
      </c>
      <c r="P55">
        <v>4</v>
      </c>
      <c r="Q55">
        <v>0.28199999999999997</v>
      </c>
      <c r="R55">
        <v>0.33600000000000002</v>
      </c>
      <c r="S55">
        <v>0.41599999999999998</v>
      </c>
      <c r="T55">
        <v>0.752</v>
      </c>
      <c r="U55">
        <v>3</v>
      </c>
      <c r="V55">
        <v>0</v>
      </c>
      <c r="W55">
        <v>3</v>
      </c>
      <c r="X55">
        <v>193</v>
      </c>
      <c r="Y55">
        <v>2</v>
      </c>
    </row>
    <row r="56" spans="1:25" x14ac:dyDescent="0.2">
      <c r="A56">
        <v>55</v>
      </c>
      <c r="B56" t="s">
        <v>110</v>
      </c>
      <c r="C56" t="s">
        <v>51</v>
      </c>
      <c r="D56" t="s">
        <v>74</v>
      </c>
      <c r="E56">
        <v>135</v>
      </c>
      <c r="F56">
        <v>485</v>
      </c>
      <c r="G56">
        <v>61</v>
      </c>
      <c r="H56">
        <v>135</v>
      </c>
      <c r="I56">
        <v>25</v>
      </c>
      <c r="J56">
        <v>3</v>
      </c>
      <c r="K56">
        <v>21</v>
      </c>
      <c r="L56">
        <v>74</v>
      </c>
      <c r="M56">
        <v>24</v>
      </c>
      <c r="N56">
        <v>120</v>
      </c>
      <c r="O56">
        <v>0</v>
      </c>
      <c r="P56">
        <v>0</v>
      </c>
      <c r="Q56">
        <v>0.27800000000000002</v>
      </c>
      <c r="R56">
        <v>0.313</v>
      </c>
      <c r="S56">
        <v>0.47199999999999998</v>
      </c>
      <c r="T56">
        <v>0.78500000000000003</v>
      </c>
      <c r="U56">
        <v>3</v>
      </c>
      <c r="V56">
        <v>0</v>
      </c>
      <c r="W56">
        <v>6</v>
      </c>
      <c r="X56">
        <v>229</v>
      </c>
      <c r="Y56">
        <v>3</v>
      </c>
    </row>
    <row r="57" spans="1:25" x14ac:dyDescent="0.2">
      <c r="A57">
        <v>56</v>
      </c>
      <c r="B57" t="s">
        <v>111</v>
      </c>
      <c r="C57" t="s">
        <v>53</v>
      </c>
      <c r="D57" t="s">
        <v>66</v>
      </c>
      <c r="E57">
        <v>148</v>
      </c>
      <c r="F57">
        <v>574</v>
      </c>
      <c r="G57">
        <v>95</v>
      </c>
      <c r="H57">
        <v>163</v>
      </c>
      <c r="I57">
        <v>34</v>
      </c>
      <c r="J57">
        <v>4</v>
      </c>
      <c r="K57">
        <v>23</v>
      </c>
      <c r="L57">
        <v>73</v>
      </c>
      <c r="M57">
        <v>47</v>
      </c>
      <c r="N57">
        <v>141</v>
      </c>
      <c r="O57">
        <v>34</v>
      </c>
      <c r="P57">
        <v>12</v>
      </c>
      <c r="Q57">
        <v>0.28399999999999997</v>
      </c>
      <c r="R57">
        <v>0.35599999999999998</v>
      </c>
      <c r="S57">
        <v>0.47699999999999998</v>
      </c>
      <c r="T57">
        <v>0.83299999999999996</v>
      </c>
      <c r="U57">
        <v>19</v>
      </c>
      <c r="V57">
        <v>1</v>
      </c>
      <c r="W57">
        <v>3</v>
      </c>
      <c r="X57">
        <v>274</v>
      </c>
      <c r="Y57">
        <v>1</v>
      </c>
    </row>
    <row r="58" spans="1:25" x14ac:dyDescent="0.2">
      <c r="A58">
        <v>57</v>
      </c>
      <c r="B58" t="s">
        <v>112</v>
      </c>
      <c r="C58" t="s">
        <v>113</v>
      </c>
      <c r="D58" t="s">
        <v>27</v>
      </c>
      <c r="E58">
        <v>159</v>
      </c>
      <c r="F58">
        <v>591</v>
      </c>
      <c r="G58">
        <v>83</v>
      </c>
      <c r="H58">
        <v>163</v>
      </c>
      <c r="I58">
        <v>41</v>
      </c>
      <c r="J58">
        <v>0</v>
      </c>
      <c r="K58">
        <v>27</v>
      </c>
      <c r="L58">
        <v>116</v>
      </c>
      <c r="M58">
        <v>56</v>
      </c>
      <c r="N58">
        <v>112</v>
      </c>
      <c r="O58">
        <v>1</v>
      </c>
      <c r="P58">
        <v>1</v>
      </c>
      <c r="Q58">
        <v>0.27600000000000002</v>
      </c>
      <c r="R58">
        <v>0.33500000000000002</v>
      </c>
      <c r="S58">
        <v>0.48199999999999998</v>
      </c>
      <c r="T58">
        <v>0.81699999999999995</v>
      </c>
      <c r="U58">
        <v>2</v>
      </c>
      <c r="V58">
        <v>0</v>
      </c>
      <c r="W58">
        <v>11</v>
      </c>
      <c r="X58">
        <v>285</v>
      </c>
      <c r="Y58">
        <v>1</v>
      </c>
    </row>
    <row r="59" spans="1:25" x14ac:dyDescent="0.2">
      <c r="A59">
        <v>58</v>
      </c>
      <c r="B59" t="s">
        <v>114</v>
      </c>
      <c r="C59" t="s">
        <v>40</v>
      </c>
      <c r="D59" t="s">
        <v>30</v>
      </c>
      <c r="E59">
        <v>156</v>
      </c>
      <c r="F59">
        <v>563</v>
      </c>
      <c r="G59">
        <v>87</v>
      </c>
      <c r="H59">
        <v>150</v>
      </c>
      <c r="I59">
        <v>34</v>
      </c>
      <c r="J59">
        <v>1</v>
      </c>
      <c r="K59">
        <v>19</v>
      </c>
      <c r="L59">
        <v>74</v>
      </c>
      <c r="M59">
        <v>65</v>
      </c>
      <c r="N59">
        <v>126</v>
      </c>
      <c r="O59">
        <v>12</v>
      </c>
      <c r="P59">
        <v>3</v>
      </c>
      <c r="Q59">
        <v>0.26600000000000001</v>
      </c>
      <c r="R59">
        <v>0.35099999999999998</v>
      </c>
      <c r="S59">
        <v>0.432</v>
      </c>
      <c r="T59">
        <v>0.78300000000000003</v>
      </c>
      <c r="U59">
        <v>11</v>
      </c>
      <c r="V59">
        <v>0</v>
      </c>
      <c r="W59">
        <v>4</v>
      </c>
      <c r="X59">
        <v>243</v>
      </c>
      <c r="Y59">
        <v>1</v>
      </c>
    </row>
    <row r="60" spans="1:25" x14ac:dyDescent="0.2">
      <c r="A60">
        <v>59</v>
      </c>
      <c r="B60" t="s">
        <v>115</v>
      </c>
      <c r="C60" t="s">
        <v>113</v>
      </c>
      <c r="D60" t="s">
        <v>35</v>
      </c>
      <c r="E60">
        <v>148</v>
      </c>
      <c r="F60">
        <v>609</v>
      </c>
      <c r="G60">
        <v>92</v>
      </c>
      <c r="H60">
        <v>176</v>
      </c>
      <c r="I60">
        <v>24</v>
      </c>
      <c r="J60">
        <v>12</v>
      </c>
      <c r="K60">
        <v>2</v>
      </c>
      <c r="L60">
        <v>34</v>
      </c>
      <c r="M60">
        <v>31</v>
      </c>
      <c r="N60">
        <v>107</v>
      </c>
      <c r="O60">
        <v>64</v>
      </c>
      <c r="P60">
        <v>19</v>
      </c>
      <c r="Q60">
        <v>0.28899999999999998</v>
      </c>
      <c r="R60">
        <v>0.32600000000000001</v>
      </c>
      <c r="S60">
        <v>0.378</v>
      </c>
      <c r="T60">
        <v>0.70399999999999996</v>
      </c>
      <c r="U60">
        <v>4</v>
      </c>
      <c r="V60">
        <v>3</v>
      </c>
      <c r="W60">
        <v>3</v>
      </c>
      <c r="X60">
        <v>230</v>
      </c>
      <c r="Y60">
        <v>1</v>
      </c>
    </row>
    <row r="61" spans="1:25" x14ac:dyDescent="0.2">
      <c r="A61">
        <v>60</v>
      </c>
      <c r="B61" t="s">
        <v>116</v>
      </c>
      <c r="C61" t="s">
        <v>95</v>
      </c>
      <c r="D61" t="s">
        <v>41</v>
      </c>
      <c r="E61">
        <v>155</v>
      </c>
      <c r="F61">
        <v>564</v>
      </c>
      <c r="G61">
        <v>73</v>
      </c>
      <c r="H61">
        <v>128</v>
      </c>
      <c r="I61">
        <v>27</v>
      </c>
      <c r="J61">
        <v>2</v>
      </c>
      <c r="K61">
        <v>20</v>
      </c>
      <c r="L61">
        <v>66</v>
      </c>
      <c r="M61">
        <v>79</v>
      </c>
      <c r="N61">
        <v>141</v>
      </c>
      <c r="O61">
        <v>8</v>
      </c>
      <c r="P61">
        <v>2</v>
      </c>
      <c r="Q61">
        <v>0.22700000000000001</v>
      </c>
      <c r="R61">
        <v>0.32600000000000001</v>
      </c>
      <c r="S61">
        <v>0.38800000000000001</v>
      </c>
      <c r="T61">
        <v>0.71399999999999997</v>
      </c>
      <c r="U61">
        <v>6</v>
      </c>
      <c r="V61">
        <v>0</v>
      </c>
      <c r="W61">
        <v>5</v>
      </c>
      <c r="X61">
        <v>219</v>
      </c>
      <c r="Y61">
        <v>2</v>
      </c>
    </row>
    <row r="62" spans="1:25" x14ac:dyDescent="0.2">
      <c r="A62">
        <v>61</v>
      </c>
      <c r="B62" t="s">
        <v>117</v>
      </c>
      <c r="C62" t="s">
        <v>57</v>
      </c>
      <c r="D62" t="s">
        <v>66</v>
      </c>
      <c r="E62">
        <v>152</v>
      </c>
      <c r="F62">
        <v>563</v>
      </c>
      <c r="G62">
        <v>72</v>
      </c>
      <c r="H62">
        <v>141</v>
      </c>
      <c r="I62">
        <v>25</v>
      </c>
      <c r="J62">
        <v>8</v>
      </c>
      <c r="K62">
        <v>6</v>
      </c>
      <c r="L62">
        <v>48</v>
      </c>
      <c r="M62">
        <v>34</v>
      </c>
      <c r="N62">
        <v>117</v>
      </c>
      <c r="O62">
        <v>56</v>
      </c>
      <c r="P62">
        <v>23</v>
      </c>
      <c r="Q62">
        <v>0.25</v>
      </c>
      <c r="R62">
        <v>0.29199999999999998</v>
      </c>
      <c r="S62">
        <v>0.35499999999999998</v>
      </c>
      <c r="T62">
        <v>0.64800000000000002</v>
      </c>
      <c r="U62">
        <v>1</v>
      </c>
      <c r="V62">
        <v>9</v>
      </c>
      <c r="W62">
        <v>4</v>
      </c>
      <c r="X62">
        <v>200</v>
      </c>
      <c r="Y62">
        <v>2</v>
      </c>
    </row>
    <row r="63" spans="1:25" x14ac:dyDescent="0.2">
      <c r="A63">
        <v>62</v>
      </c>
      <c r="B63" t="s">
        <v>118</v>
      </c>
      <c r="C63" t="s">
        <v>86</v>
      </c>
      <c r="D63" t="s">
        <v>38</v>
      </c>
      <c r="E63">
        <v>141</v>
      </c>
      <c r="F63">
        <v>529</v>
      </c>
      <c r="G63">
        <v>56</v>
      </c>
      <c r="H63">
        <v>142</v>
      </c>
      <c r="I63">
        <v>28</v>
      </c>
      <c r="J63">
        <v>0</v>
      </c>
      <c r="K63">
        <v>9</v>
      </c>
      <c r="L63">
        <v>52</v>
      </c>
      <c r="M63">
        <v>29</v>
      </c>
      <c r="N63">
        <v>104</v>
      </c>
      <c r="O63">
        <v>0</v>
      </c>
      <c r="P63">
        <v>0</v>
      </c>
      <c r="Q63">
        <v>0.26800000000000002</v>
      </c>
      <c r="R63">
        <v>0.309</v>
      </c>
      <c r="S63">
        <v>0.372</v>
      </c>
      <c r="T63">
        <v>0.68200000000000005</v>
      </c>
      <c r="U63">
        <v>4</v>
      </c>
      <c r="V63">
        <v>3</v>
      </c>
      <c r="W63">
        <v>4</v>
      </c>
      <c r="X63">
        <v>197</v>
      </c>
      <c r="Y63">
        <v>2</v>
      </c>
    </row>
    <row r="64" spans="1:25" x14ac:dyDescent="0.2">
      <c r="A64">
        <v>63</v>
      </c>
      <c r="B64" t="s">
        <v>119</v>
      </c>
      <c r="C64" t="s">
        <v>120</v>
      </c>
      <c r="D64" t="s">
        <v>45</v>
      </c>
      <c r="E64">
        <v>143</v>
      </c>
      <c r="F64">
        <v>520</v>
      </c>
      <c r="G64">
        <v>77</v>
      </c>
      <c r="H64">
        <v>164</v>
      </c>
      <c r="I64">
        <v>38</v>
      </c>
      <c r="J64">
        <v>7</v>
      </c>
      <c r="K64">
        <v>13</v>
      </c>
      <c r="L64">
        <v>52</v>
      </c>
      <c r="M64">
        <v>22</v>
      </c>
      <c r="N64">
        <v>81</v>
      </c>
      <c r="O64">
        <v>18</v>
      </c>
      <c r="P64">
        <v>7</v>
      </c>
      <c r="Q64">
        <v>0.315</v>
      </c>
      <c r="R64">
        <v>0.34699999999999998</v>
      </c>
      <c r="S64">
        <v>0.49</v>
      </c>
      <c r="T64">
        <v>0.83699999999999997</v>
      </c>
      <c r="U64">
        <v>4</v>
      </c>
      <c r="V64">
        <v>2</v>
      </c>
      <c r="W64">
        <v>2</v>
      </c>
      <c r="X64">
        <v>255</v>
      </c>
      <c r="Y64">
        <v>3</v>
      </c>
    </row>
    <row r="65" spans="1:25" x14ac:dyDescent="0.2">
      <c r="A65">
        <v>64</v>
      </c>
      <c r="B65" t="s">
        <v>121</v>
      </c>
      <c r="C65" t="s">
        <v>99</v>
      </c>
      <c r="D65" t="s">
        <v>45</v>
      </c>
      <c r="E65">
        <v>135</v>
      </c>
      <c r="F65">
        <v>470</v>
      </c>
      <c r="G65">
        <v>55</v>
      </c>
      <c r="H65">
        <v>114</v>
      </c>
      <c r="I65">
        <v>20</v>
      </c>
      <c r="J65">
        <v>1</v>
      </c>
      <c r="K65">
        <v>13</v>
      </c>
      <c r="L65">
        <v>49</v>
      </c>
      <c r="M65">
        <v>51</v>
      </c>
      <c r="N65">
        <v>122</v>
      </c>
      <c r="O65">
        <v>7</v>
      </c>
      <c r="P65">
        <v>3</v>
      </c>
      <c r="Q65">
        <v>0.24299999999999999</v>
      </c>
      <c r="R65">
        <v>0.32800000000000001</v>
      </c>
      <c r="S65">
        <v>0.372</v>
      </c>
      <c r="T65">
        <v>0.7</v>
      </c>
      <c r="U65">
        <v>9</v>
      </c>
      <c r="V65">
        <v>0</v>
      </c>
      <c r="W65">
        <v>1</v>
      </c>
      <c r="X65">
        <v>175</v>
      </c>
      <c r="Y65">
        <v>2</v>
      </c>
    </row>
    <row r="66" spans="1:25" x14ac:dyDescent="0.2">
      <c r="A66">
        <v>65</v>
      </c>
      <c r="B66" t="s">
        <v>122</v>
      </c>
      <c r="C66" t="s">
        <v>123</v>
      </c>
      <c r="D66" t="s">
        <v>38</v>
      </c>
      <c r="E66">
        <v>146</v>
      </c>
      <c r="F66">
        <v>536</v>
      </c>
      <c r="G66">
        <v>53</v>
      </c>
      <c r="H66">
        <v>148</v>
      </c>
      <c r="I66">
        <v>20</v>
      </c>
      <c r="J66">
        <v>10</v>
      </c>
      <c r="K66">
        <v>1</v>
      </c>
      <c r="L66">
        <v>34</v>
      </c>
      <c r="M66">
        <v>26</v>
      </c>
      <c r="N66">
        <v>86</v>
      </c>
      <c r="O66">
        <v>7</v>
      </c>
      <c r="P66">
        <v>5</v>
      </c>
      <c r="Q66">
        <v>0.27600000000000002</v>
      </c>
      <c r="R66">
        <v>0.308</v>
      </c>
      <c r="S66">
        <v>0.35599999999999998</v>
      </c>
      <c r="T66">
        <v>0.66400000000000003</v>
      </c>
      <c r="U66">
        <v>1</v>
      </c>
      <c r="V66">
        <v>4</v>
      </c>
      <c r="W66">
        <v>6</v>
      </c>
      <c r="X66">
        <v>191</v>
      </c>
      <c r="Y66">
        <v>2</v>
      </c>
    </row>
    <row r="67" spans="1:25" x14ac:dyDescent="0.2">
      <c r="A67">
        <v>66</v>
      </c>
      <c r="B67" t="s">
        <v>124</v>
      </c>
      <c r="C67" t="s">
        <v>106</v>
      </c>
      <c r="D67" t="s">
        <v>41</v>
      </c>
      <c r="E67">
        <v>149</v>
      </c>
      <c r="F67">
        <v>573</v>
      </c>
      <c r="G67">
        <v>74</v>
      </c>
      <c r="H67">
        <v>155</v>
      </c>
      <c r="I67">
        <v>26</v>
      </c>
      <c r="J67">
        <v>3</v>
      </c>
      <c r="K67">
        <v>11</v>
      </c>
      <c r="L67">
        <v>58</v>
      </c>
      <c r="M67">
        <v>67</v>
      </c>
      <c r="N67">
        <v>98</v>
      </c>
      <c r="O67">
        <v>20</v>
      </c>
      <c r="P67">
        <v>4</v>
      </c>
      <c r="Q67">
        <v>0.27100000000000002</v>
      </c>
      <c r="R67">
        <v>0.35099999999999998</v>
      </c>
      <c r="S67">
        <v>0.38400000000000001</v>
      </c>
      <c r="T67">
        <v>0.73499999999999999</v>
      </c>
      <c r="U67">
        <v>6</v>
      </c>
      <c r="V67">
        <v>0</v>
      </c>
      <c r="W67">
        <v>3</v>
      </c>
      <c r="X67">
        <v>220</v>
      </c>
      <c r="Y67">
        <v>1</v>
      </c>
    </row>
    <row r="68" spans="1:25" x14ac:dyDescent="0.2">
      <c r="A68">
        <v>67</v>
      </c>
      <c r="B68" t="s">
        <v>125</v>
      </c>
      <c r="C68" t="s">
        <v>126</v>
      </c>
      <c r="D68" t="s">
        <v>35</v>
      </c>
      <c r="E68">
        <v>133</v>
      </c>
      <c r="F68">
        <v>501</v>
      </c>
      <c r="G68">
        <v>52</v>
      </c>
      <c r="H68">
        <v>122</v>
      </c>
      <c r="I68">
        <v>26</v>
      </c>
      <c r="J68">
        <v>3</v>
      </c>
      <c r="K68">
        <v>10</v>
      </c>
      <c r="L68">
        <v>60</v>
      </c>
      <c r="M68">
        <v>28</v>
      </c>
      <c r="N68">
        <v>92</v>
      </c>
      <c r="O68">
        <v>4</v>
      </c>
      <c r="P68">
        <v>3</v>
      </c>
      <c r="Q68">
        <v>0.24399999999999999</v>
      </c>
      <c r="R68">
        <v>0.28699999999999998</v>
      </c>
      <c r="S68">
        <v>0.36699999999999999</v>
      </c>
      <c r="T68">
        <v>0.65400000000000003</v>
      </c>
      <c r="U68">
        <v>5</v>
      </c>
      <c r="V68">
        <v>0</v>
      </c>
      <c r="W68">
        <v>7</v>
      </c>
      <c r="X68">
        <v>184</v>
      </c>
      <c r="Y68">
        <v>2</v>
      </c>
    </row>
    <row r="69" spans="1:25" x14ac:dyDescent="0.2">
      <c r="A69">
        <v>68</v>
      </c>
      <c r="B69" t="s">
        <v>127</v>
      </c>
      <c r="C69" t="s">
        <v>32</v>
      </c>
      <c r="D69" t="s">
        <v>30</v>
      </c>
      <c r="E69">
        <v>156</v>
      </c>
      <c r="F69">
        <v>574</v>
      </c>
      <c r="G69">
        <v>83</v>
      </c>
      <c r="H69">
        <v>156</v>
      </c>
      <c r="I69">
        <v>37</v>
      </c>
      <c r="J69">
        <v>0</v>
      </c>
      <c r="K69">
        <v>20</v>
      </c>
      <c r="L69">
        <v>90</v>
      </c>
      <c r="M69">
        <v>74</v>
      </c>
      <c r="N69">
        <v>100</v>
      </c>
      <c r="O69">
        <v>4</v>
      </c>
      <c r="P69">
        <v>1</v>
      </c>
      <c r="Q69">
        <v>0.27200000000000002</v>
      </c>
      <c r="R69">
        <v>0.37</v>
      </c>
      <c r="S69">
        <v>0.441</v>
      </c>
      <c r="T69">
        <v>0.81100000000000005</v>
      </c>
      <c r="U69">
        <v>17</v>
      </c>
      <c r="V69">
        <v>0</v>
      </c>
      <c r="W69">
        <v>2</v>
      </c>
      <c r="X69">
        <v>253</v>
      </c>
      <c r="Y69">
        <v>1</v>
      </c>
    </row>
    <row r="70" spans="1:25" x14ac:dyDescent="0.2">
      <c r="A70">
        <v>69</v>
      </c>
      <c r="B70" t="s">
        <v>128</v>
      </c>
      <c r="C70" t="s">
        <v>40</v>
      </c>
      <c r="D70" t="s">
        <v>27</v>
      </c>
      <c r="E70">
        <v>131</v>
      </c>
      <c r="F70">
        <v>503</v>
      </c>
      <c r="G70">
        <v>54</v>
      </c>
      <c r="H70">
        <v>136</v>
      </c>
      <c r="I70">
        <v>35</v>
      </c>
      <c r="J70">
        <v>1</v>
      </c>
      <c r="K70">
        <v>9</v>
      </c>
      <c r="L70">
        <v>58</v>
      </c>
      <c r="M70">
        <v>35</v>
      </c>
      <c r="N70">
        <v>93</v>
      </c>
      <c r="O70">
        <v>4</v>
      </c>
      <c r="P70">
        <v>2</v>
      </c>
      <c r="Q70">
        <v>0.27</v>
      </c>
      <c r="R70">
        <v>0.318</v>
      </c>
      <c r="S70">
        <v>0.39800000000000002</v>
      </c>
      <c r="T70">
        <v>0.71599999999999997</v>
      </c>
      <c r="U70">
        <v>3</v>
      </c>
      <c r="V70">
        <v>0</v>
      </c>
      <c r="W70">
        <v>6</v>
      </c>
      <c r="X70">
        <v>200</v>
      </c>
      <c r="Y70">
        <v>2</v>
      </c>
    </row>
    <row r="71" spans="1:25" x14ac:dyDescent="0.2">
      <c r="A71">
        <v>70</v>
      </c>
      <c r="B71" t="s">
        <v>129</v>
      </c>
      <c r="C71" t="s">
        <v>55</v>
      </c>
      <c r="D71" t="s">
        <v>27</v>
      </c>
      <c r="E71">
        <v>153</v>
      </c>
      <c r="F71">
        <v>569</v>
      </c>
      <c r="G71">
        <v>65</v>
      </c>
      <c r="H71">
        <v>127</v>
      </c>
      <c r="I71">
        <v>18</v>
      </c>
      <c r="J71">
        <v>1</v>
      </c>
      <c r="K71">
        <v>23</v>
      </c>
      <c r="L71">
        <v>95</v>
      </c>
      <c r="M71">
        <v>67</v>
      </c>
      <c r="N71">
        <v>190</v>
      </c>
      <c r="O71">
        <v>0</v>
      </c>
      <c r="P71">
        <v>0</v>
      </c>
      <c r="Q71">
        <v>0.223</v>
      </c>
      <c r="R71">
        <v>0.31</v>
      </c>
      <c r="S71">
        <v>0.38</v>
      </c>
      <c r="T71">
        <v>0.69</v>
      </c>
      <c r="U71">
        <v>7</v>
      </c>
      <c r="V71">
        <v>0</v>
      </c>
      <c r="W71">
        <v>5</v>
      </c>
      <c r="X71">
        <v>216</v>
      </c>
      <c r="Y71">
        <v>2</v>
      </c>
    </row>
    <row r="72" spans="1:25" x14ac:dyDescent="0.2">
      <c r="A72">
        <v>71</v>
      </c>
      <c r="B72" t="s">
        <v>130</v>
      </c>
      <c r="C72" t="s">
        <v>64</v>
      </c>
      <c r="D72" t="s">
        <v>41</v>
      </c>
      <c r="E72">
        <v>142</v>
      </c>
      <c r="F72">
        <v>549</v>
      </c>
      <c r="G72">
        <v>71</v>
      </c>
      <c r="H72">
        <v>157</v>
      </c>
      <c r="I72">
        <v>33</v>
      </c>
      <c r="J72">
        <v>2</v>
      </c>
      <c r="K72">
        <v>17</v>
      </c>
      <c r="L72">
        <v>83</v>
      </c>
      <c r="M72">
        <v>23</v>
      </c>
      <c r="N72">
        <v>89</v>
      </c>
      <c r="O72">
        <v>4</v>
      </c>
      <c r="P72">
        <v>3</v>
      </c>
      <c r="Q72">
        <v>0.28599999999999998</v>
      </c>
      <c r="R72">
        <v>0.31900000000000001</v>
      </c>
      <c r="S72">
        <v>0.44600000000000001</v>
      </c>
      <c r="T72">
        <v>0.76500000000000001</v>
      </c>
      <c r="U72">
        <v>7</v>
      </c>
      <c r="V72">
        <v>0</v>
      </c>
      <c r="W72">
        <v>7</v>
      </c>
      <c r="X72">
        <v>245</v>
      </c>
      <c r="Y72">
        <v>3</v>
      </c>
    </row>
    <row r="73" spans="1:25" x14ac:dyDescent="0.2">
      <c r="A73">
        <v>72</v>
      </c>
      <c r="B73" t="s">
        <v>131</v>
      </c>
      <c r="C73" t="s">
        <v>40</v>
      </c>
      <c r="D73" t="s">
        <v>35</v>
      </c>
      <c r="E73">
        <v>135</v>
      </c>
      <c r="F73">
        <v>528</v>
      </c>
      <c r="G73">
        <v>50</v>
      </c>
      <c r="H73">
        <v>133</v>
      </c>
      <c r="I73">
        <v>21</v>
      </c>
      <c r="J73">
        <v>3</v>
      </c>
      <c r="K73">
        <v>6</v>
      </c>
      <c r="L73">
        <v>66</v>
      </c>
      <c r="M73">
        <v>33</v>
      </c>
      <c r="N73">
        <v>68</v>
      </c>
      <c r="O73">
        <v>9</v>
      </c>
      <c r="P73">
        <v>3</v>
      </c>
      <c r="Q73">
        <v>0.252</v>
      </c>
      <c r="R73">
        <v>0.29499999999999998</v>
      </c>
      <c r="S73">
        <v>0.33700000000000002</v>
      </c>
      <c r="T73">
        <v>0.63200000000000001</v>
      </c>
      <c r="U73">
        <v>2</v>
      </c>
      <c r="V73">
        <v>5</v>
      </c>
      <c r="W73">
        <v>7</v>
      </c>
      <c r="X73">
        <v>178</v>
      </c>
      <c r="Y73">
        <v>2</v>
      </c>
    </row>
    <row r="74" spans="1:25" x14ac:dyDescent="0.2">
      <c r="A74">
        <v>73</v>
      </c>
      <c r="B74" t="s">
        <v>132</v>
      </c>
      <c r="C74" t="s">
        <v>29</v>
      </c>
      <c r="D74" t="s">
        <v>66</v>
      </c>
      <c r="E74">
        <v>154</v>
      </c>
      <c r="F74">
        <v>597</v>
      </c>
      <c r="G74">
        <v>71</v>
      </c>
      <c r="H74">
        <v>153</v>
      </c>
      <c r="I74">
        <v>30</v>
      </c>
      <c r="J74">
        <v>6</v>
      </c>
      <c r="K74">
        <v>4</v>
      </c>
      <c r="L74">
        <v>47</v>
      </c>
      <c r="M74">
        <v>47</v>
      </c>
      <c r="N74">
        <v>144</v>
      </c>
      <c r="O74">
        <v>20</v>
      </c>
      <c r="P74">
        <v>6</v>
      </c>
      <c r="Q74">
        <v>0.25600000000000001</v>
      </c>
      <c r="R74">
        <v>0.308</v>
      </c>
      <c r="S74">
        <v>0.34699999999999998</v>
      </c>
      <c r="T74">
        <v>0.65500000000000003</v>
      </c>
      <c r="U74">
        <v>2</v>
      </c>
      <c r="V74">
        <v>1</v>
      </c>
      <c r="W74">
        <v>9</v>
      </c>
      <c r="X74">
        <v>207</v>
      </c>
      <c r="Y74">
        <v>2</v>
      </c>
    </row>
    <row r="75" spans="1:25" x14ac:dyDescent="0.2">
      <c r="A75">
        <v>74</v>
      </c>
      <c r="B75" t="s">
        <v>133</v>
      </c>
      <c r="C75" t="s">
        <v>23</v>
      </c>
      <c r="D75" t="s">
        <v>66</v>
      </c>
      <c r="E75">
        <v>123</v>
      </c>
      <c r="F75">
        <v>479</v>
      </c>
      <c r="G75">
        <v>64</v>
      </c>
      <c r="H75">
        <v>117</v>
      </c>
      <c r="I75">
        <v>30</v>
      </c>
      <c r="J75">
        <v>2</v>
      </c>
      <c r="K75">
        <v>10</v>
      </c>
      <c r="L75">
        <v>36</v>
      </c>
      <c r="M75">
        <v>47</v>
      </c>
      <c r="N75">
        <v>108</v>
      </c>
      <c r="O75">
        <v>15</v>
      </c>
      <c r="P75">
        <v>6</v>
      </c>
      <c r="Q75">
        <v>0.24399999999999999</v>
      </c>
      <c r="R75">
        <v>0.31900000000000001</v>
      </c>
      <c r="S75">
        <v>0.378</v>
      </c>
      <c r="T75">
        <v>0.69699999999999995</v>
      </c>
      <c r="U75">
        <v>6</v>
      </c>
      <c r="V75">
        <v>9</v>
      </c>
      <c r="W75">
        <v>1</v>
      </c>
      <c r="X75">
        <v>181</v>
      </c>
      <c r="Y75">
        <v>2</v>
      </c>
    </row>
    <row r="76" spans="1:25" x14ac:dyDescent="0.2">
      <c r="A76">
        <v>75</v>
      </c>
      <c r="B76" t="s">
        <v>134</v>
      </c>
      <c r="C76" t="s">
        <v>106</v>
      </c>
      <c r="D76" t="s">
        <v>45</v>
      </c>
      <c r="E76">
        <v>153</v>
      </c>
      <c r="F76">
        <v>582</v>
      </c>
      <c r="G76">
        <v>43</v>
      </c>
      <c r="H76">
        <v>153</v>
      </c>
      <c r="I76">
        <v>27</v>
      </c>
      <c r="J76">
        <v>0</v>
      </c>
      <c r="K76">
        <v>10</v>
      </c>
      <c r="L76">
        <v>58</v>
      </c>
      <c r="M76">
        <v>23</v>
      </c>
      <c r="N76">
        <v>159</v>
      </c>
      <c r="O76">
        <v>6</v>
      </c>
      <c r="P76">
        <v>0</v>
      </c>
      <c r="Q76">
        <v>0.26300000000000001</v>
      </c>
      <c r="R76">
        <v>0.29199999999999998</v>
      </c>
      <c r="S76">
        <v>0.36099999999999999</v>
      </c>
      <c r="T76">
        <v>0.65300000000000002</v>
      </c>
      <c r="U76">
        <v>2</v>
      </c>
      <c r="V76">
        <v>2</v>
      </c>
      <c r="W76">
        <v>2</v>
      </c>
      <c r="X76">
        <v>210</v>
      </c>
      <c r="Y76">
        <v>2</v>
      </c>
    </row>
    <row r="77" spans="1:25" x14ac:dyDescent="0.2">
      <c r="A77">
        <v>76</v>
      </c>
      <c r="B77" t="s">
        <v>135</v>
      </c>
      <c r="C77" t="s">
        <v>86</v>
      </c>
      <c r="D77" t="s">
        <v>66</v>
      </c>
      <c r="E77">
        <v>159</v>
      </c>
      <c r="F77">
        <v>644</v>
      </c>
      <c r="G77">
        <v>88</v>
      </c>
      <c r="H77">
        <v>181</v>
      </c>
      <c r="I77">
        <v>30</v>
      </c>
      <c r="J77">
        <v>2</v>
      </c>
      <c r="K77">
        <v>29</v>
      </c>
      <c r="L77">
        <v>96</v>
      </c>
      <c r="M77">
        <v>19</v>
      </c>
      <c r="N77">
        <v>133</v>
      </c>
      <c r="O77">
        <v>7</v>
      </c>
      <c r="P77">
        <v>1</v>
      </c>
      <c r="Q77">
        <v>0.28100000000000003</v>
      </c>
      <c r="R77">
        <v>0.311</v>
      </c>
      <c r="S77">
        <v>0.46899999999999997</v>
      </c>
      <c r="T77">
        <v>0.78</v>
      </c>
      <c r="U77">
        <v>12</v>
      </c>
      <c r="V77">
        <v>0</v>
      </c>
      <c r="W77">
        <v>7</v>
      </c>
      <c r="X77">
        <v>302</v>
      </c>
      <c r="Y77">
        <v>1</v>
      </c>
    </row>
    <row r="78" spans="1:25" x14ac:dyDescent="0.2">
      <c r="A78">
        <v>77</v>
      </c>
      <c r="B78" t="s">
        <v>136</v>
      </c>
      <c r="C78" t="s">
        <v>123</v>
      </c>
      <c r="D78" t="s">
        <v>27</v>
      </c>
      <c r="E78">
        <v>146</v>
      </c>
      <c r="F78">
        <v>496</v>
      </c>
      <c r="G78">
        <v>59</v>
      </c>
      <c r="H78">
        <v>122</v>
      </c>
      <c r="I78">
        <v>33</v>
      </c>
      <c r="J78">
        <v>2</v>
      </c>
      <c r="K78">
        <v>15</v>
      </c>
      <c r="L78">
        <v>53</v>
      </c>
      <c r="M78">
        <v>46</v>
      </c>
      <c r="N78">
        <v>116</v>
      </c>
      <c r="O78">
        <v>0</v>
      </c>
      <c r="P78">
        <v>1</v>
      </c>
      <c r="Q78">
        <v>0.246</v>
      </c>
      <c r="R78">
        <v>0.309</v>
      </c>
      <c r="S78">
        <v>0.41099999999999998</v>
      </c>
      <c r="T78">
        <v>0.72</v>
      </c>
      <c r="U78">
        <v>1</v>
      </c>
      <c r="V78">
        <v>0</v>
      </c>
      <c r="W78">
        <v>4</v>
      </c>
      <c r="X78">
        <v>204</v>
      </c>
      <c r="Y78">
        <v>2</v>
      </c>
    </row>
    <row r="79" spans="1:25" x14ac:dyDescent="0.2">
      <c r="A79">
        <v>78</v>
      </c>
      <c r="B79" t="s">
        <v>137</v>
      </c>
      <c r="C79" t="s">
        <v>113</v>
      </c>
      <c r="D79" t="s">
        <v>30</v>
      </c>
      <c r="E79">
        <v>150</v>
      </c>
      <c r="F79">
        <v>541</v>
      </c>
      <c r="G79">
        <v>77</v>
      </c>
      <c r="H79">
        <v>155</v>
      </c>
      <c r="I79">
        <v>38</v>
      </c>
      <c r="J79">
        <v>3</v>
      </c>
      <c r="K79">
        <v>25</v>
      </c>
      <c r="L79">
        <v>89</v>
      </c>
      <c r="M79">
        <v>52</v>
      </c>
      <c r="N79">
        <v>145</v>
      </c>
      <c r="O79">
        <v>8</v>
      </c>
      <c r="P79">
        <v>5</v>
      </c>
      <c r="Q79">
        <v>0.28699999999999998</v>
      </c>
      <c r="R79">
        <v>0.34599999999999997</v>
      </c>
      <c r="S79">
        <v>0.50600000000000001</v>
      </c>
      <c r="T79">
        <v>0.85199999999999998</v>
      </c>
      <c r="U79">
        <v>0</v>
      </c>
      <c r="V79">
        <v>0</v>
      </c>
      <c r="W79">
        <v>6</v>
      </c>
      <c r="X79">
        <v>274</v>
      </c>
      <c r="Y79">
        <v>1</v>
      </c>
    </row>
    <row r="80" spans="1:25" x14ac:dyDescent="0.2">
      <c r="A80">
        <v>79</v>
      </c>
      <c r="B80" t="s">
        <v>138</v>
      </c>
      <c r="C80" t="s">
        <v>68</v>
      </c>
      <c r="D80" t="s">
        <v>35</v>
      </c>
      <c r="E80">
        <v>157</v>
      </c>
      <c r="F80">
        <v>617</v>
      </c>
      <c r="G80">
        <v>85</v>
      </c>
      <c r="H80">
        <v>181</v>
      </c>
      <c r="I80">
        <v>33</v>
      </c>
      <c r="J80">
        <v>5</v>
      </c>
      <c r="K80">
        <v>7</v>
      </c>
      <c r="L80">
        <v>75</v>
      </c>
      <c r="M80">
        <v>48</v>
      </c>
      <c r="N80">
        <v>110</v>
      </c>
      <c r="O80">
        <v>14</v>
      </c>
      <c r="P80">
        <v>5</v>
      </c>
      <c r="Q80">
        <v>0.29299999999999998</v>
      </c>
      <c r="R80">
        <v>0.34699999999999998</v>
      </c>
      <c r="S80">
        <v>0.39700000000000002</v>
      </c>
      <c r="T80">
        <v>0.74399999999999999</v>
      </c>
      <c r="U80">
        <v>4</v>
      </c>
      <c r="V80">
        <v>3</v>
      </c>
      <c r="W80">
        <v>2</v>
      </c>
      <c r="X80">
        <v>245</v>
      </c>
      <c r="Y80">
        <v>1</v>
      </c>
    </row>
    <row r="81" spans="1:25" x14ac:dyDescent="0.2">
      <c r="A81">
        <v>80</v>
      </c>
      <c r="B81" t="s">
        <v>139</v>
      </c>
      <c r="C81" t="s">
        <v>64</v>
      </c>
      <c r="D81" t="s">
        <v>35</v>
      </c>
      <c r="E81">
        <v>161</v>
      </c>
      <c r="F81">
        <v>684</v>
      </c>
      <c r="G81">
        <v>100</v>
      </c>
      <c r="H81">
        <v>188</v>
      </c>
      <c r="I81">
        <v>40</v>
      </c>
      <c r="J81">
        <v>4</v>
      </c>
      <c r="K81">
        <v>17</v>
      </c>
      <c r="L81">
        <v>92</v>
      </c>
      <c r="M81">
        <v>29</v>
      </c>
      <c r="N81">
        <v>79</v>
      </c>
      <c r="O81">
        <v>15</v>
      </c>
      <c r="P81">
        <v>4</v>
      </c>
      <c r="Q81">
        <v>0.27500000000000002</v>
      </c>
      <c r="R81">
        <v>0.307</v>
      </c>
      <c r="S81">
        <v>0.42</v>
      </c>
      <c r="T81">
        <v>0.72699999999999998</v>
      </c>
      <c r="U81">
        <v>5</v>
      </c>
      <c r="V81">
        <v>3</v>
      </c>
      <c r="W81">
        <v>5</v>
      </c>
      <c r="X81">
        <v>287</v>
      </c>
      <c r="Y81">
        <v>1</v>
      </c>
    </row>
    <row r="82" spans="1:25" x14ac:dyDescent="0.2">
      <c r="A82">
        <v>81</v>
      </c>
      <c r="B82" t="s">
        <v>140</v>
      </c>
      <c r="C82" t="s">
        <v>51</v>
      </c>
      <c r="D82" t="s">
        <v>35</v>
      </c>
      <c r="E82">
        <v>129</v>
      </c>
      <c r="F82">
        <v>500</v>
      </c>
      <c r="G82">
        <v>61</v>
      </c>
      <c r="H82">
        <v>120</v>
      </c>
      <c r="I82">
        <v>25</v>
      </c>
      <c r="J82">
        <v>1</v>
      </c>
      <c r="K82">
        <v>6</v>
      </c>
      <c r="L82">
        <v>41</v>
      </c>
      <c r="M82">
        <v>50</v>
      </c>
      <c r="N82">
        <v>100</v>
      </c>
      <c r="O82">
        <v>22</v>
      </c>
      <c r="P82">
        <v>3</v>
      </c>
      <c r="Q82">
        <v>0.24</v>
      </c>
      <c r="R82">
        <v>0.31</v>
      </c>
      <c r="S82">
        <v>0.33</v>
      </c>
      <c r="T82">
        <v>0.64</v>
      </c>
      <c r="U82">
        <v>2</v>
      </c>
      <c r="V82">
        <v>1</v>
      </c>
      <c r="W82">
        <v>2</v>
      </c>
      <c r="X82">
        <v>165</v>
      </c>
      <c r="Y82">
        <v>2</v>
      </c>
    </row>
    <row r="83" spans="1:25" x14ac:dyDescent="0.2">
      <c r="A83">
        <v>82</v>
      </c>
      <c r="B83" t="s">
        <v>141</v>
      </c>
      <c r="C83" t="s">
        <v>62</v>
      </c>
      <c r="D83" t="s">
        <v>27</v>
      </c>
      <c r="E83">
        <v>140</v>
      </c>
      <c r="F83">
        <v>494</v>
      </c>
      <c r="G83">
        <v>73</v>
      </c>
      <c r="H83">
        <v>128</v>
      </c>
      <c r="I83">
        <v>19</v>
      </c>
      <c r="J83">
        <v>0</v>
      </c>
      <c r="K83">
        <v>26</v>
      </c>
      <c r="L83">
        <v>92</v>
      </c>
      <c r="M83">
        <v>82</v>
      </c>
      <c r="N83">
        <v>108</v>
      </c>
      <c r="O83">
        <v>3</v>
      </c>
      <c r="P83">
        <v>0</v>
      </c>
      <c r="Q83">
        <v>0.25900000000000001</v>
      </c>
      <c r="R83">
        <v>0.36199999999999999</v>
      </c>
      <c r="S83">
        <v>0.45500000000000002</v>
      </c>
      <c r="T83">
        <v>0.81699999999999995</v>
      </c>
      <c r="U83">
        <v>2</v>
      </c>
      <c r="V83">
        <v>0</v>
      </c>
      <c r="W83">
        <v>8</v>
      </c>
      <c r="X83">
        <v>225</v>
      </c>
      <c r="Y83">
        <v>3</v>
      </c>
    </row>
    <row r="84" spans="1:25" x14ac:dyDescent="0.2">
      <c r="A84">
        <v>83</v>
      </c>
      <c r="B84" t="s">
        <v>142</v>
      </c>
      <c r="C84" t="s">
        <v>47</v>
      </c>
      <c r="D84" t="s">
        <v>35</v>
      </c>
      <c r="E84">
        <v>149</v>
      </c>
      <c r="F84">
        <v>494</v>
      </c>
      <c r="G84">
        <v>59</v>
      </c>
      <c r="H84">
        <v>132</v>
      </c>
      <c r="I84">
        <v>15</v>
      </c>
      <c r="J84">
        <v>5</v>
      </c>
      <c r="K84">
        <v>5</v>
      </c>
      <c r="L84">
        <v>42</v>
      </c>
      <c r="M84">
        <v>33</v>
      </c>
      <c r="N84">
        <v>97</v>
      </c>
      <c r="O84">
        <v>10</v>
      </c>
      <c r="P84">
        <v>10</v>
      </c>
      <c r="Q84">
        <v>0.26700000000000002</v>
      </c>
      <c r="R84">
        <v>0.315</v>
      </c>
      <c r="S84">
        <v>0.34799999999999998</v>
      </c>
      <c r="T84">
        <v>0.66300000000000003</v>
      </c>
      <c r="U84">
        <v>2</v>
      </c>
      <c r="V84">
        <v>7</v>
      </c>
      <c r="W84">
        <v>2</v>
      </c>
      <c r="X84">
        <v>172</v>
      </c>
      <c r="Y84">
        <v>2</v>
      </c>
    </row>
    <row r="85" spans="1:25" x14ac:dyDescent="0.2">
      <c r="A85">
        <v>84</v>
      </c>
      <c r="B85" t="s">
        <v>143</v>
      </c>
      <c r="C85" t="s">
        <v>23</v>
      </c>
      <c r="D85" t="s">
        <v>27</v>
      </c>
      <c r="E85">
        <v>155</v>
      </c>
      <c r="F85">
        <v>600</v>
      </c>
      <c r="G85">
        <v>59</v>
      </c>
      <c r="H85">
        <v>174</v>
      </c>
      <c r="I85">
        <v>27</v>
      </c>
      <c r="J85">
        <v>0</v>
      </c>
      <c r="K85">
        <v>9</v>
      </c>
      <c r="L85">
        <v>69</v>
      </c>
      <c r="M85">
        <v>41</v>
      </c>
      <c r="N85">
        <v>80</v>
      </c>
      <c r="O85">
        <v>4</v>
      </c>
      <c r="P85">
        <v>0</v>
      </c>
      <c r="Q85">
        <v>0.28999999999999998</v>
      </c>
      <c r="R85">
        <v>0.33600000000000002</v>
      </c>
      <c r="S85">
        <v>0.38</v>
      </c>
      <c r="T85">
        <v>0.71599999999999997</v>
      </c>
      <c r="U85">
        <v>4</v>
      </c>
      <c r="V85">
        <v>0</v>
      </c>
      <c r="W85">
        <v>6</v>
      </c>
      <c r="X85">
        <v>228</v>
      </c>
      <c r="Y85">
        <v>1</v>
      </c>
    </row>
    <row r="86" spans="1:25" x14ac:dyDescent="0.2">
      <c r="A86">
        <v>85</v>
      </c>
      <c r="B86" t="s">
        <v>144</v>
      </c>
      <c r="C86" t="s">
        <v>23</v>
      </c>
      <c r="D86" t="s">
        <v>45</v>
      </c>
      <c r="E86">
        <v>162</v>
      </c>
      <c r="F86">
        <v>624</v>
      </c>
      <c r="G86">
        <v>83</v>
      </c>
      <c r="H86">
        <v>158</v>
      </c>
      <c r="I86">
        <v>26</v>
      </c>
      <c r="J86">
        <v>1</v>
      </c>
      <c r="K86">
        <v>22</v>
      </c>
      <c r="L86">
        <v>91</v>
      </c>
      <c r="M86">
        <v>57</v>
      </c>
      <c r="N86">
        <v>133</v>
      </c>
      <c r="O86">
        <v>5</v>
      </c>
      <c r="P86">
        <v>0</v>
      </c>
      <c r="Q86">
        <v>0.253</v>
      </c>
      <c r="R86">
        <v>0.32</v>
      </c>
      <c r="S86">
        <v>0.40400000000000003</v>
      </c>
      <c r="T86">
        <v>0.72399999999999998</v>
      </c>
      <c r="U86">
        <v>9</v>
      </c>
      <c r="V86">
        <v>1</v>
      </c>
      <c r="W86">
        <v>9</v>
      </c>
      <c r="X86">
        <v>252</v>
      </c>
      <c r="Y86">
        <v>1</v>
      </c>
    </row>
    <row r="87" spans="1:25" x14ac:dyDescent="0.2">
      <c r="A87">
        <v>86</v>
      </c>
      <c r="B87" t="s">
        <v>145</v>
      </c>
      <c r="C87" t="s">
        <v>84</v>
      </c>
      <c r="D87" t="s">
        <v>38</v>
      </c>
      <c r="E87">
        <v>136</v>
      </c>
      <c r="F87">
        <v>502</v>
      </c>
      <c r="G87">
        <v>59</v>
      </c>
      <c r="H87">
        <v>125</v>
      </c>
      <c r="I87">
        <v>29</v>
      </c>
      <c r="J87">
        <v>3</v>
      </c>
      <c r="K87">
        <v>6</v>
      </c>
      <c r="L87">
        <v>50</v>
      </c>
      <c r="M87">
        <v>51</v>
      </c>
      <c r="N87">
        <v>79</v>
      </c>
      <c r="O87">
        <v>0</v>
      </c>
      <c r="P87">
        <v>0</v>
      </c>
      <c r="Q87">
        <v>0.249</v>
      </c>
      <c r="R87">
        <v>0.32100000000000001</v>
      </c>
      <c r="S87">
        <v>0.35499999999999998</v>
      </c>
      <c r="T87">
        <v>0.67600000000000005</v>
      </c>
      <c r="U87">
        <v>5</v>
      </c>
      <c r="V87">
        <v>2</v>
      </c>
      <c r="W87">
        <v>6</v>
      </c>
      <c r="X87">
        <v>178</v>
      </c>
      <c r="Y87">
        <v>2</v>
      </c>
    </row>
    <row r="88" spans="1:25" x14ac:dyDescent="0.2">
      <c r="A88">
        <v>87</v>
      </c>
      <c r="B88" t="s">
        <v>146</v>
      </c>
      <c r="C88" t="s">
        <v>53</v>
      </c>
      <c r="D88" t="s">
        <v>74</v>
      </c>
      <c r="E88">
        <v>153</v>
      </c>
      <c r="F88">
        <v>585</v>
      </c>
      <c r="G88">
        <v>73</v>
      </c>
      <c r="H88">
        <v>176</v>
      </c>
      <c r="I88">
        <v>53</v>
      </c>
      <c r="J88">
        <v>2</v>
      </c>
      <c r="K88">
        <v>13</v>
      </c>
      <c r="L88">
        <v>69</v>
      </c>
      <c r="M88">
        <v>66</v>
      </c>
      <c r="N88">
        <v>71</v>
      </c>
      <c r="O88">
        <v>4</v>
      </c>
      <c r="P88">
        <v>4</v>
      </c>
      <c r="Q88">
        <v>0.30099999999999999</v>
      </c>
      <c r="R88">
        <v>0.373</v>
      </c>
      <c r="S88">
        <v>0.46500000000000002</v>
      </c>
      <c r="T88">
        <v>0.83699999999999997</v>
      </c>
      <c r="U88">
        <v>2</v>
      </c>
      <c r="V88">
        <v>0</v>
      </c>
      <c r="W88">
        <v>2</v>
      </c>
      <c r="X88">
        <v>272</v>
      </c>
      <c r="Y88">
        <v>1</v>
      </c>
    </row>
    <row r="89" spans="1:25" x14ac:dyDescent="0.2">
      <c r="A89">
        <v>88</v>
      </c>
      <c r="B89" t="s">
        <v>147</v>
      </c>
      <c r="C89" t="s">
        <v>86</v>
      </c>
      <c r="D89" t="s">
        <v>41</v>
      </c>
      <c r="E89">
        <v>155</v>
      </c>
      <c r="F89">
        <v>642</v>
      </c>
      <c r="G89">
        <v>81</v>
      </c>
      <c r="H89">
        <v>177</v>
      </c>
      <c r="I89">
        <v>27</v>
      </c>
      <c r="J89">
        <v>1</v>
      </c>
      <c r="K89">
        <v>14</v>
      </c>
      <c r="L89">
        <v>50</v>
      </c>
      <c r="M89">
        <v>62</v>
      </c>
      <c r="N89">
        <v>84</v>
      </c>
      <c r="O89">
        <v>4</v>
      </c>
      <c r="P89">
        <v>2</v>
      </c>
      <c r="Q89">
        <v>0.27600000000000002</v>
      </c>
      <c r="R89">
        <v>0.34200000000000003</v>
      </c>
      <c r="S89">
        <v>0.38600000000000001</v>
      </c>
      <c r="T89">
        <v>0.72899999999999998</v>
      </c>
      <c r="U89">
        <v>4</v>
      </c>
      <c r="V89">
        <v>0</v>
      </c>
      <c r="W89">
        <v>2</v>
      </c>
      <c r="X89">
        <v>248</v>
      </c>
      <c r="Y89">
        <v>1</v>
      </c>
    </row>
    <row r="90" spans="1:25" x14ac:dyDescent="0.2">
      <c r="A90">
        <v>89</v>
      </c>
      <c r="B90" t="s">
        <v>148</v>
      </c>
      <c r="C90" t="s">
        <v>120</v>
      </c>
      <c r="D90" t="s">
        <v>30</v>
      </c>
      <c r="E90">
        <v>135</v>
      </c>
      <c r="F90">
        <v>495</v>
      </c>
      <c r="G90">
        <v>73</v>
      </c>
      <c r="H90">
        <v>144</v>
      </c>
      <c r="I90">
        <v>29</v>
      </c>
      <c r="J90">
        <v>6</v>
      </c>
      <c r="K90">
        <v>13</v>
      </c>
      <c r="L90">
        <v>56</v>
      </c>
      <c r="M90">
        <v>33</v>
      </c>
      <c r="N90">
        <v>131</v>
      </c>
      <c r="O90">
        <v>30</v>
      </c>
      <c r="P90">
        <v>11</v>
      </c>
      <c r="Q90">
        <v>0.29099999999999998</v>
      </c>
      <c r="R90">
        <v>0.35599999999999998</v>
      </c>
      <c r="S90">
        <v>0.45300000000000001</v>
      </c>
      <c r="T90">
        <v>0.80800000000000005</v>
      </c>
      <c r="U90">
        <v>17</v>
      </c>
      <c r="V90">
        <v>0</v>
      </c>
      <c r="W90">
        <v>0</v>
      </c>
      <c r="X90">
        <v>224</v>
      </c>
      <c r="Y90">
        <v>3</v>
      </c>
    </row>
    <row r="91" spans="1:25" x14ac:dyDescent="0.2">
      <c r="A91">
        <v>90</v>
      </c>
      <c r="B91" t="s">
        <v>149</v>
      </c>
      <c r="C91" t="s">
        <v>37</v>
      </c>
      <c r="D91" t="s">
        <v>66</v>
      </c>
      <c r="E91">
        <v>155</v>
      </c>
      <c r="F91">
        <v>533</v>
      </c>
      <c r="G91">
        <v>68</v>
      </c>
      <c r="H91">
        <v>146</v>
      </c>
      <c r="I91">
        <v>13</v>
      </c>
      <c r="J91">
        <v>7</v>
      </c>
      <c r="K91">
        <v>7</v>
      </c>
      <c r="L91">
        <v>40</v>
      </c>
      <c r="M91">
        <v>39</v>
      </c>
      <c r="N91">
        <v>114</v>
      </c>
      <c r="O91">
        <v>31</v>
      </c>
      <c r="P91">
        <v>12</v>
      </c>
      <c r="Q91">
        <v>0.27400000000000002</v>
      </c>
      <c r="R91">
        <v>0.32500000000000001</v>
      </c>
      <c r="S91">
        <v>0.36399999999999999</v>
      </c>
      <c r="T91">
        <v>0.68899999999999995</v>
      </c>
      <c r="U91">
        <v>2</v>
      </c>
      <c r="V91">
        <v>7</v>
      </c>
      <c r="W91">
        <v>2</v>
      </c>
      <c r="X91">
        <v>194</v>
      </c>
      <c r="Y91">
        <v>2</v>
      </c>
    </row>
    <row r="92" spans="1:25" x14ac:dyDescent="0.2">
      <c r="A92">
        <v>91</v>
      </c>
      <c r="B92" t="s">
        <v>150</v>
      </c>
      <c r="C92" t="s">
        <v>64</v>
      </c>
      <c r="D92" t="s">
        <v>59</v>
      </c>
      <c r="E92">
        <v>151</v>
      </c>
      <c r="F92">
        <v>561</v>
      </c>
      <c r="G92">
        <v>87</v>
      </c>
      <c r="H92">
        <v>188</v>
      </c>
      <c r="I92">
        <v>33</v>
      </c>
      <c r="J92">
        <v>0</v>
      </c>
      <c r="K92">
        <v>32</v>
      </c>
      <c r="L92">
        <v>103</v>
      </c>
      <c r="M92">
        <v>70</v>
      </c>
      <c r="N92">
        <v>42</v>
      </c>
      <c r="O92">
        <v>3</v>
      </c>
      <c r="P92">
        <v>2</v>
      </c>
      <c r="Q92">
        <v>0.33500000000000002</v>
      </c>
      <c r="R92">
        <v>0.40899999999999997</v>
      </c>
      <c r="S92">
        <v>0.56499999999999995</v>
      </c>
      <c r="T92">
        <v>0.97399999999999998</v>
      </c>
      <c r="U92">
        <v>4</v>
      </c>
      <c r="V92">
        <v>0</v>
      </c>
      <c r="W92">
        <v>6</v>
      </c>
      <c r="X92">
        <v>317</v>
      </c>
      <c r="Y92">
        <v>1</v>
      </c>
    </row>
    <row r="93" spans="1:25" x14ac:dyDescent="0.2">
      <c r="A93">
        <v>92</v>
      </c>
      <c r="B93" t="s">
        <v>151</v>
      </c>
      <c r="C93" t="s">
        <v>93</v>
      </c>
      <c r="D93" t="s">
        <v>27</v>
      </c>
      <c r="E93">
        <v>120</v>
      </c>
      <c r="F93">
        <v>455</v>
      </c>
      <c r="G93">
        <v>60</v>
      </c>
      <c r="H93">
        <v>126</v>
      </c>
      <c r="I93">
        <v>27</v>
      </c>
      <c r="J93">
        <v>2</v>
      </c>
      <c r="K93">
        <v>4</v>
      </c>
      <c r="L93">
        <v>55</v>
      </c>
      <c r="M93">
        <v>60</v>
      </c>
      <c r="N93">
        <v>96</v>
      </c>
      <c r="O93">
        <v>3</v>
      </c>
      <c r="P93">
        <v>0</v>
      </c>
      <c r="Q93">
        <v>0.27700000000000002</v>
      </c>
      <c r="R93">
        <v>0.36099999999999999</v>
      </c>
      <c r="S93">
        <v>0.371</v>
      </c>
      <c r="T93">
        <v>0.73199999999999998</v>
      </c>
      <c r="U93">
        <v>1</v>
      </c>
      <c r="V93">
        <v>0</v>
      </c>
      <c r="W93">
        <v>2</v>
      </c>
      <c r="X93">
        <v>169</v>
      </c>
      <c r="Y93">
        <v>2</v>
      </c>
    </row>
    <row r="94" spans="1:25" x14ac:dyDescent="0.2">
      <c r="A94">
        <v>93</v>
      </c>
      <c r="B94" t="s">
        <v>152</v>
      </c>
      <c r="C94" t="s">
        <v>99</v>
      </c>
      <c r="D94" t="s">
        <v>74</v>
      </c>
      <c r="E94">
        <v>140</v>
      </c>
      <c r="F94">
        <v>495</v>
      </c>
      <c r="G94">
        <v>57</v>
      </c>
      <c r="H94">
        <v>115</v>
      </c>
      <c r="I94">
        <v>15</v>
      </c>
      <c r="J94">
        <v>1</v>
      </c>
      <c r="K94">
        <v>23</v>
      </c>
      <c r="L94">
        <v>75</v>
      </c>
      <c r="M94">
        <v>32</v>
      </c>
      <c r="N94">
        <v>77</v>
      </c>
      <c r="O94">
        <v>0</v>
      </c>
      <c r="P94">
        <v>0</v>
      </c>
      <c r="Q94">
        <v>0.23200000000000001</v>
      </c>
      <c r="R94">
        <v>0.28599999999999998</v>
      </c>
      <c r="S94">
        <v>0.40600000000000003</v>
      </c>
      <c r="T94">
        <v>0.69199999999999995</v>
      </c>
      <c r="U94">
        <v>7</v>
      </c>
      <c r="V94">
        <v>0</v>
      </c>
      <c r="W94">
        <v>4</v>
      </c>
      <c r="X94">
        <v>201</v>
      </c>
      <c r="Y94">
        <v>2</v>
      </c>
    </row>
    <row r="95" spans="1:25" x14ac:dyDescent="0.2">
      <c r="A95">
        <v>94</v>
      </c>
      <c r="B95" t="s">
        <v>153</v>
      </c>
      <c r="C95" t="s">
        <v>120</v>
      </c>
      <c r="D95" t="s">
        <v>66</v>
      </c>
      <c r="E95">
        <v>146</v>
      </c>
      <c r="F95">
        <v>548</v>
      </c>
      <c r="G95">
        <v>89</v>
      </c>
      <c r="H95">
        <v>172</v>
      </c>
      <c r="I95">
        <v>38</v>
      </c>
      <c r="J95">
        <v>6</v>
      </c>
      <c r="K95">
        <v>25</v>
      </c>
      <c r="L95">
        <v>83</v>
      </c>
      <c r="M95">
        <v>84</v>
      </c>
      <c r="N95">
        <v>115</v>
      </c>
      <c r="O95">
        <v>18</v>
      </c>
      <c r="P95">
        <v>3</v>
      </c>
      <c r="Q95">
        <v>0.314</v>
      </c>
      <c r="R95">
        <v>0.41</v>
      </c>
      <c r="S95">
        <v>0.54200000000000004</v>
      </c>
      <c r="T95">
        <v>0.95199999999999996</v>
      </c>
      <c r="U95">
        <v>10</v>
      </c>
      <c r="V95">
        <v>0</v>
      </c>
      <c r="W95">
        <v>6</v>
      </c>
      <c r="X95">
        <v>297</v>
      </c>
      <c r="Y95">
        <v>1</v>
      </c>
    </row>
    <row r="96" spans="1:25" x14ac:dyDescent="0.2">
      <c r="A96">
        <v>95</v>
      </c>
      <c r="B96" t="s">
        <v>154</v>
      </c>
      <c r="C96" t="s">
        <v>123</v>
      </c>
      <c r="D96" t="s">
        <v>45</v>
      </c>
      <c r="E96">
        <v>160</v>
      </c>
      <c r="F96">
        <v>616</v>
      </c>
      <c r="G96">
        <v>56</v>
      </c>
      <c r="H96">
        <v>177</v>
      </c>
      <c r="I96">
        <v>29</v>
      </c>
      <c r="J96">
        <v>1</v>
      </c>
      <c r="K96">
        <v>4</v>
      </c>
      <c r="L96">
        <v>76</v>
      </c>
      <c r="M96">
        <v>67</v>
      </c>
      <c r="N96">
        <v>102</v>
      </c>
      <c r="O96">
        <v>4</v>
      </c>
      <c r="P96">
        <v>2</v>
      </c>
      <c r="Q96">
        <v>0.28699999999999998</v>
      </c>
      <c r="R96">
        <v>0.35499999999999998</v>
      </c>
      <c r="S96">
        <v>0.35699999999999998</v>
      </c>
      <c r="T96">
        <v>0.71199999999999997</v>
      </c>
      <c r="U96">
        <v>1</v>
      </c>
      <c r="V96">
        <v>0</v>
      </c>
      <c r="W96">
        <v>7</v>
      </c>
      <c r="X96">
        <v>220</v>
      </c>
      <c r="Y96">
        <v>1</v>
      </c>
    </row>
    <row r="97" spans="1:25" x14ac:dyDescent="0.2">
      <c r="A97">
        <v>96</v>
      </c>
      <c r="B97" t="s">
        <v>155</v>
      </c>
      <c r="C97" t="s">
        <v>120</v>
      </c>
      <c r="D97" t="s">
        <v>38</v>
      </c>
      <c r="E97">
        <v>149</v>
      </c>
      <c r="F97">
        <v>506</v>
      </c>
      <c r="G97">
        <v>56</v>
      </c>
      <c r="H97">
        <v>129</v>
      </c>
      <c r="I97">
        <v>27</v>
      </c>
      <c r="J97">
        <v>2</v>
      </c>
      <c r="K97">
        <v>12</v>
      </c>
      <c r="L97">
        <v>55</v>
      </c>
      <c r="M97">
        <v>35</v>
      </c>
      <c r="N97">
        <v>89</v>
      </c>
      <c r="O97">
        <v>4</v>
      </c>
      <c r="P97">
        <v>1</v>
      </c>
      <c r="Q97">
        <v>0.255</v>
      </c>
      <c r="R97">
        <v>0.30499999999999999</v>
      </c>
      <c r="S97">
        <v>0.38700000000000001</v>
      </c>
      <c r="T97">
        <v>0.69299999999999995</v>
      </c>
      <c r="U97">
        <v>4</v>
      </c>
      <c r="V97">
        <v>5</v>
      </c>
      <c r="W97">
        <v>5</v>
      </c>
      <c r="X97">
        <v>196</v>
      </c>
      <c r="Y97">
        <v>2</v>
      </c>
    </row>
    <row r="98" spans="1:25" x14ac:dyDescent="0.2">
      <c r="A98">
        <v>97</v>
      </c>
      <c r="B98" t="s">
        <v>156</v>
      </c>
      <c r="C98" t="s">
        <v>126</v>
      </c>
      <c r="D98" t="s">
        <v>74</v>
      </c>
      <c r="E98">
        <v>136</v>
      </c>
      <c r="F98">
        <v>489</v>
      </c>
      <c r="G98">
        <v>40</v>
      </c>
      <c r="H98">
        <v>119</v>
      </c>
      <c r="I98">
        <v>23</v>
      </c>
      <c r="J98">
        <v>0</v>
      </c>
      <c r="K98">
        <v>13</v>
      </c>
      <c r="L98">
        <v>72</v>
      </c>
      <c r="M98">
        <v>56</v>
      </c>
      <c r="N98">
        <v>97</v>
      </c>
      <c r="O98">
        <v>0</v>
      </c>
      <c r="P98">
        <v>4</v>
      </c>
      <c r="Q98">
        <v>0.24299999999999999</v>
      </c>
      <c r="R98">
        <v>0.32900000000000001</v>
      </c>
      <c r="S98">
        <v>0.37</v>
      </c>
      <c r="T98">
        <v>0.69899999999999995</v>
      </c>
      <c r="U98">
        <v>9</v>
      </c>
      <c r="V98">
        <v>0</v>
      </c>
      <c r="W98">
        <v>6</v>
      </c>
      <c r="X98">
        <v>181</v>
      </c>
      <c r="Y98">
        <v>2</v>
      </c>
    </row>
    <row r="99" spans="1:25" x14ac:dyDescent="0.2">
      <c r="A99">
        <v>98</v>
      </c>
      <c r="B99" t="s">
        <v>157</v>
      </c>
      <c r="C99" t="s">
        <v>47</v>
      </c>
      <c r="D99" t="s">
        <v>27</v>
      </c>
      <c r="E99">
        <v>135</v>
      </c>
      <c r="F99">
        <v>502</v>
      </c>
      <c r="G99">
        <v>62</v>
      </c>
      <c r="H99">
        <v>160</v>
      </c>
      <c r="I99">
        <v>32</v>
      </c>
      <c r="J99">
        <v>3</v>
      </c>
      <c r="K99">
        <v>17</v>
      </c>
      <c r="L99">
        <v>82</v>
      </c>
      <c r="M99">
        <v>34</v>
      </c>
      <c r="N99">
        <v>60</v>
      </c>
      <c r="O99">
        <v>0</v>
      </c>
      <c r="P99">
        <v>3</v>
      </c>
      <c r="Q99">
        <v>0.31900000000000001</v>
      </c>
      <c r="R99">
        <v>0.36399999999999999</v>
      </c>
      <c r="S99">
        <v>0.496</v>
      </c>
      <c r="T99">
        <v>0.86</v>
      </c>
      <c r="U99">
        <v>6</v>
      </c>
      <c r="V99">
        <v>0</v>
      </c>
      <c r="W99">
        <v>8</v>
      </c>
      <c r="X99">
        <v>249</v>
      </c>
      <c r="Y99">
        <v>3</v>
      </c>
    </row>
    <row r="100" spans="1:25" x14ac:dyDescent="0.2">
      <c r="A100">
        <v>99</v>
      </c>
      <c r="B100" t="s">
        <v>158</v>
      </c>
      <c r="C100" t="s">
        <v>84</v>
      </c>
      <c r="D100" t="s">
        <v>27</v>
      </c>
      <c r="E100">
        <v>147</v>
      </c>
      <c r="F100">
        <v>500</v>
      </c>
      <c r="G100">
        <v>70</v>
      </c>
      <c r="H100">
        <v>117</v>
      </c>
      <c r="I100">
        <v>23</v>
      </c>
      <c r="J100">
        <v>2</v>
      </c>
      <c r="K100">
        <v>25</v>
      </c>
      <c r="L100">
        <v>81</v>
      </c>
      <c r="M100">
        <v>67</v>
      </c>
      <c r="N100">
        <v>153</v>
      </c>
      <c r="O100">
        <v>1</v>
      </c>
      <c r="P100">
        <v>0</v>
      </c>
      <c r="Q100">
        <v>0.23400000000000001</v>
      </c>
      <c r="R100">
        <v>0.33400000000000002</v>
      </c>
      <c r="S100">
        <v>0.438</v>
      </c>
      <c r="T100">
        <v>0.77200000000000002</v>
      </c>
      <c r="U100">
        <v>10</v>
      </c>
      <c r="V100">
        <v>0</v>
      </c>
      <c r="W100">
        <v>3</v>
      </c>
      <c r="X100">
        <v>219</v>
      </c>
      <c r="Y100">
        <v>3</v>
      </c>
    </row>
    <row r="101" spans="1:25" x14ac:dyDescent="0.2">
      <c r="A101">
        <v>100</v>
      </c>
      <c r="B101" t="s">
        <v>159</v>
      </c>
      <c r="C101" t="s">
        <v>95</v>
      </c>
      <c r="D101" t="s">
        <v>35</v>
      </c>
      <c r="E101">
        <v>143</v>
      </c>
      <c r="F101">
        <v>596</v>
      </c>
      <c r="G101">
        <v>79</v>
      </c>
      <c r="H101">
        <v>172</v>
      </c>
      <c r="I101">
        <v>37</v>
      </c>
      <c r="J101">
        <v>2</v>
      </c>
      <c r="K101">
        <v>9</v>
      </c>
      <c r="L101">
        <v>57</v>
      </c>
      <c r="M101">
        <v>39</v>
      </c>
      <c r="N101">
        <v>86</v>
      </c>
      <c r="O101">
        <v>13</v>
      </c>
      <c r="P101">
        <v>5</v>
      </c>
      <c r="Q101">
        <v>0.28899999999999998</v>
      </c>
      <c r="R101">
        <v>0.33200000000000002</v>
      </c>
      <c r="S101">
        <v>0.40300000000000002</v>
      </c>
      <c r="T101">
        <v>0.73399999999999999</v>
      </c>
      <c r="U101">
        <v>2</v>
      </c>
      <c r="V101">
        <v>0</v>
      </c>
      <c r="W101">
        <v>5</v>
      </c>
      <c r="X101">
        <v>240</v>
      </c>
      <c r="Y101">
        <v>1</v>
      </c>
    </row>
    <row r="102" spans="1:25" x14ac:dyDescent="0.2">
      <c r="A102">
        <v>101</v>
      </c>
      <c r="B102" t="s">
        <v>160</v>
      </c>
      <c r="C102" t="s">
        <v>43</v>
      </c>
      <c r="D102" t="s">
        <v>74</v>
      </c>
      <c r="E102">
        <v>139</v>
      </c>
      <c r="F102">
        <v>481</v>
      </c>
      <c r="G102">
        <v>40</v>
      </c>
      <c r="H102">
        <v>132</v>
      </c>
      <c r="I102">
        <v>22</v>
      </c>
      <c r="J102">
        <v>0</v>
      </c>
      <c r="K102">
        <v>12</v>
      </c>
      <c r="L102">
        <v>69</v>
      </c>
      <c r="M102">
        <v>32</v>
      </c>
      <c r="N102">
        <v>76</v>
      </c>
      <c r="O102">
        <v>3</v>
      </c>
      <c r="P102">
        <v>0</v>
      </c>
      <c r="Q102">
        <v>0.27400000000000002</v>
      </c>
      <c r="R102">
        <v>0.317</v>
      </c>
      <c r="S102">
        <v>0.39500000000000002</v>
      </c>
      <c r="T102">
        <v>0.71199999999999997</v>
      </c>
      <c r="U102">
        <v>1</v>
      </c>
      <c r="V102">
        <v>0</v>
      </c>
      <c r="W102">
        <v>6</v>
      </c>
      <c r="X102">
        <v>190</v>
      </c>
      <c r="Y102">
        <v>2</v>
      </c>
    </row>
    <row r="103" spans="1:25" x14ac:dyDescent="0.2">
      <c r="A103">
        <v>102</v>
      </c>
      <c r="B103" t="s">
        <v>161</v>
      </c>
      <c r="C103" t="s">
        <v>49</v>
      </c>
      <c r="D103" t="s">
        <v>59</v>
      </c>
      <c r="E103">
        <v>142</v>
      </c>
      <c r="F103">
        <v>518</v>
      </c>
      <c r="G103">
        <v>59</v>
      </c>
      <c r="H103">
        <v>136</v>
      </c>
      <c r="I103">
        <v>27</v>
      </c>
      <c r="J103">
        <v>0</v>
      </c>
      <c r="K103">
        <v>35</v>
      </c>
      <c r="L103">
        <v>104</v>
      </c>
      <c r="M103">
        <v>75</v>
      </c>
      <c r="N103">
        <v>95</v>
      </c>
      <c r="O103">
        <v>0</v>
      </c>
      <c r="P103">
        <v>0</v>
      </c>
      <c r="Q103">
        <v>0.26300000000000001</v>
      </c>
      <c r="R103">
        <v>0.35499999999999998</v>
      </c>
      <c r="S103">
        <v>0.51700000000000002</v>
      </c>
      <c r="T103">
        <v>0.873</v>
      </c>
      <c r="U103">
        <v>3</v>
      </c>
      <c r="V103">
        <v>0</v>
      </c>
      <c r="W103">
        <v>6</v>
      </c>
      <c r="X103">
        <v>268</v>
      </c>
      <c r="Y103">
        <v>3</v>
      </c>
    </row>
    <row r="104" spans="1:25" x14ac:dyDescent="0.2">
      <c r="A104">
        <v>103</v>
      </c>
      <c r="B104" t="s">
        <v>162</v>
      </c>
      <c r="C104" t="s">
        <v>123</v>
      </c>
      <c r="D104" t="s">
        <v>66</v>
      </c>
      <c r="E104">
        <v>153</v>
      </c>
      <c r="F104">
        <v>565</v>
      </c>
      <c r="G104">
        <v>72</v>
      </c>
      <c r="H104">
        <v>152</v>
      </c>
      <c r="I104">
        <v>26</v>
      </c>
      <c r="J104">
        <v>5</v>
      </c>
      <c r="K104">
        <v>23</v>
      </c>
      <c r="L104">
        <v>85</v>
      </c>
      <c r="M104">
        <v>41</v>
      </c>
      <c r="N104">
        <v>164</v>
      </c>
      <c r="O104">
        <v>3</v>
      </c>
      <c r="P104">
        <v>1</v>
      </c>
      <c r="Q104">
        <v>0.26900000000000002</v>
      </c>
      <c r="R104">
        <v>0.317</v>
      </c>
      <c r="S104">
        <v>0.45500000000000002</v>
      </c>
      <c r="T104">
        <v>0.77200000000000002</v>
      </c>
      <c r="U104">
        <v>1</v>
      </c>
      <c r="V104">
        <v>0</v>
      </c>
      <c r="W104">
        <v>5</v>
      </c>
      <c r="X104">
        <v>257</v>
      </c>
      <c r="Y104">
        <v>1</v>
      </c>
    </row>
    <row r="105" spans="1:25" x14ac:dyDescent="0.2">
      <c r="A105">
        <v>104</v>
      </c>
      <c r="B105" t="s">
        <v>163</v>
      </c>
      <c r="C105" t="s">
        <v>53</v>
      </c>
      <c r="D105" t="s">
        <v>41</v>
      </c>
      <c r="E105">
        <v>150</v>
      </c>
      <c r="F105">
        <v>529</v>
      </c>
      <c r="G105">
        <v>64</v>
      </c>
      <c r="H105">
        <v>138</v>
      </c>
      <c r="I105">
        <v>22</v>
      </c>
      <c r="J105">
        <v>4</v>
      </c>
      <c r="K105">
        <v>9</v>
      </c>
      <c r="L105">
        <v>40</v>
      </c>
      <c r="M105">
        <v>32</v>
      </c>
      <c r="N105">
        <v>100</v>
      </c>
      <c r="O105">
        <v>9</v>
      </c>
      <c r="P105">
        <v>7</v>
      </c>
      <c r="Q105">
        <v>0.26100000000000001</v>
      </c>
      <c r="R105">
        <v>0.308</v>
      </c>
      <c r="S105">
        <v>0.36899999999999999</v>
      </c>
      <c r="T105">
        <v>0.67700000000000005</v>
      </c>
      <c r="U105">
        <v>5</v>
      </c>
      <c r="V105">
        <v>6</v>
      </c>
      <c r="W105">
        <v>2</v>
      </c>
      <c r="X105">
        <v>195</v>
      </c>
      <c r="Y105">
        <v>2</v>
      </c>
    </row>
    <row r="106" spans="1:25" x14ac:dyDescent="0.2">
      <c r="A106">
        <v>105</v>
      </c>
      <c r="B106" t="s">
        <v>164</v>
      </c>
      <c r="C106" t="s">
        <v>49</v>
      </c>
      <c r="D106" t="s">
        <v>35</v>
      </c>
      <c r="E106">
        <v>135</v>
      </c>
      <c r="F106">
        <v>551</v>
      </c>
      <c r="G106">
        <v>72</v>
      </c>
      <c r="H106">
        <v>153</v>
      </c>
      <c r="I106">
        <v>33</v>
      </c>
      <c r="J106">
        <v>0</v>
      </c>
      <c r="K106">
        <v>7</v>
      </c>
      <c r="L106">
        <v>53</v>
      </c>
      <c r="M106">
        <v>51</v>
      </c>
      <c r="N106">
        <v>75</v>
      </c>
      <c r="O106">
        <v>6</v>
      </c>
      <c r="P106">
        <v>6</v>
      </c>
      <c r="Q106">
        <v>0.27800000000000002</v>
      </c>
      <c r="R106">
        <v>0.33700000000000002</v>
      </c>
      <c r="S106">
        <v>0.376</v>
      </c>
      <c r="T106">
        <v>0.71199999999999997</v>
      </c>
      <c r="U106">
        <v>1</v>
      </c>
      <c r="V106">
        <v>0</v>
      </c>
      <c r="W106">
        <v>6</v>
      </c>
      <c r="X106">
        <v>207</v>
      </c>
      <c r="Y106">
        <v>2</v>
      </c>
    </row>
    <row r="107" spans="1:25" x14ac:dyDescent="0.2">
      <c r="A107">
        <v>106</v>
      </c>
      <c r="B107" t="s">
        <v>165</v>
      </c>
      <c r="C107" t="s">
        <v>22</v>
      </c>
      <c r="D107" t="s">
        <v>41</v>
      </c>
      <c r="E107">
        <v>162</v>
      </c>
      <c r="F107">
        <v>650</v>
      </c>
      <c r="G107">
        <v>106</v>
      </c>
      <c r="H107">
        <v>180</v>
      </c>
      <c r="I107">
        <v>29</v>
      </c>
      <c r="J107">
        <v>10</v>
      </c>
      <c r="K107">
        <v>20</v>
      </c>
      <c r="L107">
        <v>74</v>
      </c>
      <c r="M107">
        <v>52</v>
      </c>
      <c r="N107">
        <v>130</v>
      </c>
      <c r="O107">
        <v>13</v>
      </c>
      <c r="P107">
        <v>6</v>
      </c>
      <c r="Q107">
        <v>0.27700000000000002</v>
      </c>
      <c r="R107">
        <v>0.33200000000000002</v>
      </c>
      <c r="S107">
        <v>0.44500000000000001</v>
      </c>
      <c r="T107">
        <v>0.77700000000000002</v>
      </c>
      <c r="U107">
        <v>3</v>
      </c>
      <c r="V107">
        <v>0</v>
      </c>
      <c r="W107">
        <v>3</v>
      </c>
      <c r="X107">
        <v>289</v>
      </c>
      <c r="Y107">
        <v>1</v>
      </c>
    </row>
    <row r="108" spans="1:25" x14ac:dyDescent="0.2">
      <c r="A108">
        <v>107</v>
      </c>
      <c r="B108" t="s">
        <v>166</v>
      </c>
      <c r="C108" t="s">
        <v>32</v>
      </c>
      <c r="D108" t="s">
        <v>38</v>
      </c>
      <c r="E108">
        <v>157</v>
      </c>
      <c r="F108">
        <v>560</v>
      </c>
      <c r="G108">
        <v>61</v>
      </c>
      <c r="H108">
        <v>147</v>
      </c>
      <c r="I108">
        <v>38</v>
      </c>
      <c r="J108">
        <v>0</v>
      </c>
      <c r="K108">
        <v>21</v>
      </c>
      <c r="L108">
        <v>75</v>
      </c>
      <c r="M108">
        <v>58</v>
      </c>
      <c r="N108">
        <v>112</v>
      </c>
      <c r="O108">
        <v>3</v>
      </c>
      <c r="P108">
        <v>2</v>
      </c>
      <c r="Q108">
        <v>0.26300000000000001</v>
      </c>
      <c r="R108">
        <v>0.33600000000000002</v>
      </c>
      <c r="S108">
        <v>0.443</v>
      </c>
      <c r="T108">
        <v>0.77900000000000003</v>
      </c>
      <c r="U108">
        <v>6</v>
      </c>
      <c r="V108">
        <v>0</v>
      </c>
      <c r="W108">
        <v>4</v>
      </c>
      <c r="X108">
        <v>248</v>
      </c>
      <c r="Y108">
        <v>1</v>
      </c>
    </row>
    <row r="109" spans="1:25" x14ac:dyDescent="0.2">
      <c r="A109">
        <v>108</v>
      </c>
      <c r="B109" t="s">
        <v>167</v>
      </c>
      <c r="C109" t="s">
        <v>40</v>
      </c>
      <c r="D109" t="s">
        <v>74</v>
      </c>
      <c r="E109">
        <v>150</v>
      </c>
      <c r="F109">
        <v>578</v>
      </c>
      <c r="G109">
        <v>57</v>
      </c>
      <c r="H109">
        <v>150</v>
      </c>
      <c r="I109">
        <v>28</v>
      </c>
      <c r="J109">
        <v>2</v>
      </c>
      <c r="K109">
        <v>17</v>
      </c>
      <c r="L109">
        <v>70</v>
      </c>
      <c r="M109">
        <v>22</v>
      </c>
      <c r="N109">
        <v>85</v>
      </c>
      <c r="O109">
        <v>1</v>
      </c>
      <c r="P109">
        <v>0</v>
      </c>
      <c r="Q109">
        <v>0.26</v>
      </c>
      <c r="R109">
        <v>0.28899999999999998</v>
      </c>
      <c r="S109">
        <v>0.40300000000000002</v>
      </c>
      <c r="T109">
        <v>0.69199999999999995</v>
      </c>
      <c r="U109">
        <v>3</v>
      </c>
      <c r="V109">
        <v>0</v>
      </c>
      <c r="W109">
        <v>3</v>
      </c>
      <c r="X109">
        <v>233</v>
      </c>
      <c r="Y109">
        <v>2</v>
      </c>
    </row>
    <row r="110" spans="1:25" x14ac:dyDescent="0.2">
      <c r="A110">
        <v>109</v>
      </c>
      <c r="B110" t="s">
        <v>168</v>
      </c>
      <c r="C110" t="s">
        <v>93</v>
      </c>
      <c r="D110" t="s">
        <v>45</v>
      </c>
      <c r="E110">
        <v>136</v>
      </c>
      <c r="F110">
        <v>520</v>
      </c>
      <c r="G110">
        <v>69</v>
      </c>
      <c r="H110">
        <v>134</v>
      </c>
      <c r="I110">
        <v>40</v>
      </c>
      <c r="J110">
        <v>2</v>
      </c>
      <c r="K110">
        <v>14</v>
      </c>
      <c r="L110">
        <v>80</v>
      </c>
      <c r="M110">
        <v>53</v>
      </c>
      <c r="N110">
        <v>109</v>
      </c>
      <c r="O110">
        <v>2</v>
      </c>
      <c r="P110">
        <v>1</v>
      </c>
      <c r="Q110">
        <v>0.25800000000000001</v>
      </c>
      <c r="R110">
        <v>0.32800000000000001</v>
      </c>
      <c r="S110">
        <v>0.42299999999999999</v>
      </c>
      <c r="T110">
        <v>0.751</v>
      </c>
      <c r="U110">
        <v>4</v>
      </c>
      <c r="V110">
        <v>0</v>
      </c>
      <c r="W110">
        <v>5</v>
      </c>
      <c r="X110">
        <v>220</v>
      </c>
      <c r="Y110">
        <v>3</v>
      </c>
    </row>
    <row r="111" spans="1:25" x14ac:dyDescent="0.2">
      <c r="A111">
        <v>110</v>
      </c>
      <c r="B111" t="s">
        <v>169</v>
      </c>
      <c r="C111" t="s">
        <v>22</v>
      </c>
      <c r="D111" t="s">
        <v>74</v>
      </c>
      <c r="E111">
        <v>147</v>
      </c>
      <c r="F111">
        <v>547</v>
      </c>
      <c r="G111">
        <v>72</v>
      </c>
      <c r="H111">
        <v>170</v>
      </c>
      <c r="I111">
        <v>28</v>
      </c>
      <c r="J111">
        <v>2</v>
      </c>
      <c r="K111">
        <v>22</v>
      </c>
      <c r="L111">
        <v>89</v>
      </c>
      <c r="M111">
        <v>47</v>
      </c>
      <c r="N111">
        <v>69</v>
      </c>
      <c r="O111">
        <v>0</v>
      </c>
      <c r="P111">
        <v>1</v>
      </c>
      <c r="Q111">
        <v>0.311</v>
      </c>
      <c r="R111">
        <v>0.36399999999999999</v>
      </c>
      <c r="S111">
        <v>0.49</v>
      </c>
      <c r="T111">
        <v>0.85399999999999998</v>
      </c>
      <c r="U111">
        <v>3</v>
      </c>
      <c r="V111">
        <v>0</v>
      </c>
      <c r="W111">
        <v>8</v>
      </c>
      <c r="X111">
        <v>268</v>
      </c>
      <c r="Y111">
        <v>1</v>
      </c>
    </row>
    <row r="112" spans="1:25" x14ac:dyDescent="0.2">
      <c r="A112">
        <v>111</v>
      </c>
      <c r="B112" t="s">
        <v>170</v>
      </c>
      <c r="C112" t="s">
        <v>99</v>
      </c>
      <c r="D112" t="s">
        <v>45</v>
      </c>
      <c r="E112">
        <v>143</v>
      </c>
      <c r="F112">
        <v>536</v>
      </c>
      <c r="G112">
        <v>62</v>
      </c>
      <c r="H112">
        <v>151</v>
      </c>
      <c r="I112">
        <v>26</v>
      </c>
      <c r="J112">
        <v>4</v>
      </c>
      <c r="K112">
        <v>12</v>
      </c>
      <c r="L112">
        <v>58</v>
      </c>
      <c r="M112">
        <v>26</v>
      </c>
      <c r="N112">
        <v>80</v>
      </c>
      <c r="O112">
        <v>3</v>
      </c>
      <c r="P112">
        <v>1</v>
      </c>
      <c r="Q112">
        <v>0.28199999999999997</v>
      </c>
      <c r="R112">
        <v>0.32100000000000001</v>
      </c>
      <c r="S112">
        <v>0.41199999999999998</v>
      </c>
      <c r="T112">
        <v>0.73299999999999998</v>
      </c>
      <c r="U112">
        <v>7</v>
      </c>
      <c r="V112">
        <v>0</v>
      </c>
      <c r="W112">
        <v>4</v>
      </c>
      <c r="X112">
        <v>221</v>
      </c>
      <c r="Y112">
        <v>2</v>
      </c>
    </row>
    <row r="113" spans="1:25" x14ac:dyDescent="0.2">
      <c r="A113">
        <v>112</v>
      </c>
      <c r="B113" t="s">
        <v>171</v>
      </c>
      <c r="C113" t="s">
        <v>113</v>
      </c>
      <c r="D113" t="s">
        <v>41</v>
      </c>
      <c r="E113">
        <v>148</v>
      </c>
      <c r="F113">
        <v>558</v>
      </c>
      <c r="G113">
        <v>92</v>
      </c>
      <c r="H113">
        <v>165</v>
      </c>
      <c r="I113">
        <v>37</v>
      </c>
      <c r="J113">
        <v>9</v>
      </c>
      <c r="K113">
        <v>16</v>
      </c>
      <c r="L113">
        <v>69</v>
      </c>
      <c r="M113">
        <v>67</v>
      </c>
      <c r="N113">
        <v>124</v>
      </c>
      <c r="O113">
        <v>11</v>
      </c>
      <c r="P113">
        <v>7</v>
      </c>
      <c r="Q113">
        <v>0.29599999999999999</v>
      </c>
      <c r="R113">
        <v>0.38200000000000001</v>
      </c>
      <c r="S113">
        <v>0.48</v>
      </c>
      <c r="T113">
        <v>0.86299999999999999</v>
      </c>
      <c r="U113">
        <v>12</v>
      </c>
      <c r="V113">
        <v>2</v>
      </c>
      <c r="W113">
        <v>1</v>
      </c>
      <c r="X113">
        <v>268</v>
      </c>
      <c r="Y113">
        <v>1</v>
      </c>
    </row>
    <row r="114" spans="1:25" x14ac:dyDescent="0.2">
      <c r="A114">
        <v>113</v>
      </c>
      <c r="B114" t="s">
        <v>172</v>
      </c>
      <c r="C114" t="s">
        <v>68</v>
      </c>
      <c r="D114" t="s">
        <v>27</v>
      </c>
      <c r="E114">
        <v>159</v>
      </c>
      <c r="F114">
        <v>633</v>
      </c>
      <c r="G114">
        <v>89</v>
      </c>
      <c r="H114">
        <v>172</v>
      </c>
      <c r="I114">
        <v>37</v>
      </c>
      <c r="J114">
        <v>1</v>
      </c>
      <c r="K114">
        <v>28</v>
      </c>
      <c r="L114">
        <v>105</v>
      </c>
      <c r="M114">
        <v>48</v>
      </c>
      <c r="N114">
        <v>71</v>
      </c>
      <c r="O114">
        <v>5</v>
      </c>
      <c r="P114">
        <v>1</v>
      </c>
      <c r="Q114">
        <v>0.27200000000000002</v>
      </c>
      <c r="R114">
        <v>0.32400000000000001</v>
      </c>
      <c r="S114">
        <v>0.46600000000000003</v>
      </c>
      <c r="T114">
        <v>0.79</v>
      </c>
      <c r="U114">
        <v>5</v>
      </c>
      <c r="V114">
        <v>0</v>
      </c>
      <c r="W114">
        <v>9</v>
      </c>
      <c r="X114">
        <v>295</v>
      </c>
      <c r="Y114">
        <v>1</v>
      </c>
    </row>
    <row r="115" spans="1:25" x14ac:dyDescent="0.2">
      <c r="A115">
        <v>114</v>
      </c>
      <c r="B115" t="s">
        <v>173</v>
      </c>
      <c r="C115" t="s">
        <v>53</v>
      </c>
      <c r="D115" t="s">
        <v>45</v>
      </c>
      <c r="E115">
        <v>133</v>
      </c>
      <c r="F115">
        <v>494</v>
      </c>
      <c r="G115">
        <v>47</v>
      </c>
      <c r="H115">
        <v>141</v>
      </c>
      <c r="I115">
        <v>23</v>
      </c>
      <c r="J115">
        <v>1</v>
      </c>
      <c r="K115">
        <v>15</v>
      </c>
      <c r="L115">
        <v>66</v>
      </c>
      <c r="M115">
        <v>21</v>
      </c>
      <c r="N115">
        <v>75</v>
      </c>
      <c r="O115">
        <v>3</v>
      </c>
      <c r="P115">
        <v>0</v>
      </c>
      <c r="Q115">
        <v>0.28499999999999998</v>
      </c>
      <c r="R115">
        <v>0.33</v>
      </c>
      <c r="S115">
        <v>0.42699999999999999</v>
      </c>
      <c r="T115">
        <v>0.75700000000000001</v>
      </c>
      <c r="U115">
        <v>13</v>
      </c>
      <c r="V115">
        <v>0</v>
      </c>
      <c r="W115">
        <v>3</v>
      </c>
      <c r="X115">
        <v>211</v>
      </c>
      <c r="Y115">
        <v>2</v>
      </c>
    </row>
    <row r="116" spans="1:25" x14ac:dyDescent="0.2">
      <c r="A116">
        <v>115</v>
      </c>
      <c r="B116" t="s">
        <v>173</v>
      </c>
      <c r="C116" t="s">
        <v>26</v>
      </c>
      <c r="D116" t="s">
        <v>38</v>
      </c>
      <c r="E116">
        <v>158</v>
      </c>
      <c r="F116">
        <v>622</v>
      </c>
      <c r="G116">
        <v>82</v>
      </c>
      <c r="H116">
        <v>170</v>
      </c>
      <c r="I116">
        <v>35</v>
      </c>
      <c r="J116">
        <v>2</v>
      </c>
      <c r="K116">
        <v>15</v>
      </c>
      <c r="L116">
        <v>74</v>
      </c>
      <c r="M116">
        <v>24</v>
      </c>
      <c r="N116">
        <v>81</v>
      </c>
      <c r="O116">
        <v>21</v>
      </c>
      <c r="P116">
        <v>4</v>
      </c>
      <c r="Q116">
        <v>0.27300000000000002</v>
      </c>
      <c r="R116">
        <v>0.30499999999999999</v>
      </c>
      <c r="S116">
        <v>0.40799999999999997</v>
      </c>
      <c r="T116">
        <v>0.71299999999999997</v>
      </c>
      <c r="U116">
        <v>6</v>
      </c>
      <c r="V116">
        <v>1</v>
      </c>
      <c r="W116">
        <v>4</v>
      </c>
      <c r="X116">
        <v>254</v>
      </c>
      <c r="Y116">
        <v>1</v>
      </c>
    </row>
    <row r="117" spans="1:25" x14ac:dyDescent="0.2">
      <c r="A117">
        <v>116</v>
      </c>
      <c r="B117" t="s">
        <v>174</v>
      </c>
      <c r="C117" t="s">
        <v>113</v>
      </c>
      <c r="D117" t="s">
        <v>38</v>
      </c>
      <c r="E117">
        <v>128</v>
      </c>
      <c r="F117">
        <v>449</v>
      </c>
      <c r="G117">
        <v>64</v>
      </c>
      <c r="H117">
        <v>127</v>
      </c>
      <c r="I117">
        <v>35</v>
      </c>
      <c r="J117">
        <v>0</v>
      </c>
      <c r="K117">
        <v>13</v>
      </c>
      <c r="L117">
        <v>71</v>
      </c>
      <c r="M117">
        <v>56</v>
      </c>
      <c r="N117">
        <v>84</v>
      </c>
      <c r="O117">
        <v>14</v>
      </c>
      <c r="P117">
        <v>5</v>
      </c>
      <c r="Q117">
        <v>0.28299999999999997</v>
      </c>
      <c r="R117">
        <v>0.36899999999999999</v>
      </c>
      <c r="S117">
        <v>0.44800000000000001</v>
      </c>
      <c r="T117">
        <v>0.81699999999999995</v>
      </c>
      <c r="U117">
        <v>6</v>
      </c>
      <c r="V117">
        <v>0</v>
      </c>
      <c r="W117">
        <v>1</v>
      </c>
      <c r="X117">
        <v>201</v>
      </c>
      <c r="Y117">
        <v>2</v>
      </c>
    </row>
    <row r="118" spans="1:25" x14ac:dyDescent="0.2">
      <c r="A118">
        <v>117</v>
      </c>
      <c r="B118" t="s">
        <v>175</v>
      </c>
      <c r="C118" t="s">
        <v>62</v>
      </c>
      <c r="D118" t="s">
        <v>45</v>
      </c>
      <c r="E118">
        <v>153</v>
      </c>
      <c r="F118">
        <v>613</v>
      </c>
      <c r="G118">
        <v>111</v>
      </c>
      <c r="H118">
        <v>176</v>
      </c>
      <c r="I118">
        <v>39</v>
      </c>
      <c r="J118">
        <v>6</v>
      </c>
      <c r="K118">
        <v>21</v>
      </c>
      <c r="L118">
        <v>83</v>
      </c>
      <c r="M118">
        <v>58</v>
      </c>
      <c r="N118">
        <v>104</v>
      </c>
      <c r="O118">
        <v>17</v>
      </c>
      <c r="P118">
        <v>3</v>
      </c>
      <c r="Q118">
        <v>0.28699999999999998</v>
      </c>
      <c r="R118">
        <v>0.35099999999999998</v>
      </c>
      <c r="S118">
        <v>0.47299999999999998</v>
      </c>
      <c r="T118">
        <v>0.82399999999999995</v>
      </c>
      <c r="U118">
        <v>5</v>
      </c>
      <c r="V118">
        <v>2</v>
      </c>
      <c r="W118">
        <v>5</v>
      </c>
      <c r="X118">
        <v>290</v>
      </c>
      <c r="Y118">
        <v>1</v>
      </c>
    </row>
    <row r="119" spans="1:25" x14ac:dyDescent="0.2">
      <c r="A119">
        <v>118</v>
      </c>
      <c r="B119" t="s">
        <v>176</v>
      </c>
      <c r="C119" t="s">
        <v>55</v>
      </c>
      <c r="D119" t="s">
        <v>66</v>
      </c>
      <c r="E119">
        <v>151</v>
      </c>
      <c r="F119">
        <v>601</v>
      </c>
      <c r="G119">
        <v>71</v>
      </c>
      <c r="H119">
        <v>184</v>
      </c>
      <c r="I119">
        <v>13</v>
      </c>
      <c r="J119">
        <v>7</v>
      </c>
      <c r="K119">
        <v>2</v>
      </c>
      <c r="L119">
        <v>28</v>
      </c>
      <c r="M119">
        <v>13</v>
      </c>
      <c r="N119">
        <v>49</v>
      </c>
      <c r="O119">
        <v>49</v>
      </c>
      <c r="P119">
        <v>8</v>
      </c>
      <c r="Q119">
        <v>0.30599999999999999</v>
      </c>
      <c r="R119">
        <v>0.32500000000000001</v>
      </c>
      <c r="S119">
        <v>0.36099999999999999</v>
      </c>
      <c r="T119">
        <v>0.68600000000000005</v>
      </c>
      <c r="U119">
        <v>4</v>
      </c>
      <c r="V119">
        <v>7</v>
      </c>
      <c r="W119">
        <v>1</v>
      </c>
      <c r="X119">
        <v>217</v>
      </c>
      <c r="Y119">
        <v>1</v>
      </c>
    </row>
    <row r="120" spans="1:25" x14ac:dyDescent="0.2">
      <c r="A120">
        <v>119</v>
      </c>
      <c r="B120" t="s">
        <v>177</v>
      </c>
      <c r="C120" t="s">
        <v>43</v>
      </c>
      <c r="D120" t="s">
        <v>38</v>
      </c>
      <c r="E120">
        <v>143</v>
      </c>
      <c r="F120">
        <v>610</v>
      </c>
      <c r="G120">
        <v>94</v>
      </c>
      <c r="H120">
        <v>175</v>
      </c>
      <c r="I120">
        <v>33</v>
      </c>
      <c r="J120">
        <v>4</v>
      </c>
      <c r="K120">
        <v>9</v>
      </c>
      <c r="L120">
        <v>51</v>
      </c>
      <c r="M120">
        <v>38</v>
      </c>
      <c r="N120">
        <v>73</v>
      </c>
      <c r="O120">
        <v>30</v>
      </c>
      <c r="P120">
        <v>2</v>
      </c>
      <c r="Q120">
        <v>0.28699999999999998</v>
      </c>
      <c r="R120">
        <v>0.32800000000000001</v>
      </c>
      <c r="S120">
        <v>0.39800000000000002</v>
      </c>
      <c r="T120">
        <v>0.72599999999999998</v>
      </c>
      <c r="U120">
        <v>1</v>
      </c>
      <c r="V120">
        <v>2</v>
      </c>
      <c r="W120">
        <v>4</v>
      </c>
      <c r="X120">
        <v>243</v>
      </c>
      <c r="Y120">
        <v>1</v>
      </c>
    </row>
    <row r="121" spans="1:25" x14ac:dyDescent="0.2">
      <c r="A121">
        <v>120</v>
      </c>
      <c r="B121" t="s">
        <v>178</v>
      </c>
      <c r="C121" t="s">
        <v>76</v>
      </c>
      <c r="D121" t="s">
        <v>27</v>
      </c>
      <c r="E121">
        <v>140</v>
      </c>
      <c r="F121">
        <v>524</v>
      </c>
      <c r="G121">
        <v>89</v>
      </c>
      <c r="H121">
        <v>150</v>
      </c>
      <c r="I121">
        <v>28</v>
      </c>
      <c r="J121">
        <v>1</v>
      </c>
      <c r="K121">
        <v>32</v>
      </c>
      <c r="L121">
        <v>78</v>
      </c>
      <c r="M121">
        <v>73</v>
      </c>
      <c r="N121">
        <v>116</v>
      </c>
      <c r="O121">
        <v>5</v>
      </c>
      <c r="P121">
        <v>4</v>
      </c>
      <c r="Q121">
        <v>0.28599999999999998</v>
      </c>
      <c r="R121">
        <v>0.38600000000000001</v>
      </c>
      <c r="S121">
        <v>0.52700000000000002</v>
      </c>
      <c r="T121">
        <v>0.91300000000000003</v>
      </c>
      <c r="U121">
        <v>15</v>
      </c>
      <c r="V121">
        <v>0</v>
      </c>
      <c r="W121">
        <v>4</v>
      </c>
      <c r="X121">
        <v>276</v>
      </c>
      <c r="Y121">
        <v>1</v>
      </c>
    </row>
    <row r="122" spans="1:25" x14ac:dyDescent="0.2">
      <c r="A122">
        <v>121</v>
      </c>
      <c r="B122" t="s">
        <v>179</v>
      </c>
      <c r="C122" t="s">
        <v>55</v>
      </c>
      <c r="D122" t="s">
        <v>38</v>
      </c>
      <c r="E122">
        <v>138</v>
      </c>
      <c r="F122">
        <v>538</v>
      </c>
      <c r="G122">
        <v>78</v>
      </c>
      <c r="H122">
        <v>131</v>
      </c>
      <c r="I122">
        <v>22</v>
      </c>
      <c r="J122">
        <v>4</v>
      </c>
      <c r="K122">
        <v>17</v>
      </c>
      <c r="L122">
        <v>55</v>
      </c>
      <c r="M122">
        <v>64</v>
      </c>
      <c r="N122">
        <v>100</v>
      </c>
      <c r="O122">
        <v>28</v>
      </c>
      <c r="P122">
        <v>6</v>
      </c>
      <c r="Q122">
        <v>0.24299999999999999</v>
      </c>
      <c r="R122">
        <v>0.32300000000000001</v>
      </c>
      <c r="S122">
        <v>0.39400000000000002</v>
      </c>
      <c r="T122">
        <v>0.71699999999999997</v>
      </c>
      <c r="U122">
        <v>1</v>
      </c>
      <c r="V122">
        <v>3</v>
      </c>
      <c r="W122">
        <v>3</v>
      </c>
      <c r="X122">
        <v>212</v>
      </c>
      <c r="Y122">
        <v>2</v>
      </c>
    </row>
    <row r="123" spans="1:25" x14ac:dyDescent="0.2">
      <c r="A123">
        <v>122</v>
      </c>
      <c r="B123" t="s">
        <v>180</v>
      </c>
      <c r="C123" t="s">
        <v>22</v>
      </c>
      <c r="D123" t="s">
        <v>45</v>
      </c>
      <c r="E123">
        <v>157</v>
      </c>
      <c r="F123">
        <v>588</v>
      </c>
      <c r="G123">
        <v>68</v>
      </c>
      <c r="H123">
        <v>164</v>
      </c>
      <c r="I123">
        <v>26</v>
      </c>
      <c r="J123">
        <v>3</v>
      </c>
      <c r="K123">
        <v>16</v>
      </c>
      <c r="L123">
        <v>73</v>
      </c>
      <c r="M123">
        <v>39</v>
      </c>
      <c r="N123">
        <v>85</v>
      </c>
      <c r="O123">
        <v>0</v>
      </c>
      <c r="P123">
        <v>0</v>
      </c>
      <c r="Q123">
        <v>0.27900000000000003</v>
      </c>
      <c r="R123">
        <v>0.32400000000000001</v>
      </c>
      <c r="S123">
        <v>0.41499999999999998</v>
      </c>
      <c r="T123">
        <v>0.73899999999999999</v>
      </c>
      <c r="U123">
        <v>4</v>
      </c>
      <c r="V123">
        <v>0</v>
      </c>
      <c r="W123">
        <v>7</v>
      </c>
      <c r="X123">
        <v>244</v>
      </c>
      <c r="Y123">
        <v>1</v>
      </c>
    </row>
    <row r="124" spans="1:25" x14ac:dyDescent="0.2">
      <c r="A124">
        <v>123</v>
      </c>
      <c r="B124" t="s">
        <v>181</v>
      </c>
      <c r="C124" t="s">
        <v>51</v>
      </c>
      <c r="D124" t="s">
        <v>27</v>
      </c>
      <c r="E124">
        <v>152</v>
      </c>
      <c r="F124">
        <v>541</v>
      </c>
      <c r="G124">
        <v>68</v>
      </c>
      <c r="H124">
        <v>125</v>
      </c>
      <c r="I124">
        <v>25</v>
      </c>
      <c r="J124">
        <v>0</v>
      </c>
      <c r="K124">
        <v>27</v>
      </c>
      <c r="L124">
        <v>85</v>
      </c>
      <c r="M124">
        <v>113</v>
      </c>
      <c r="N124">
        <v>124</v>
      </c>
      <c r="O124">
        <v>5</v>
      </c>
      <c r="P124">
        <v>2</v>
      </c>
      <c r="Q124">
        <v>0.23100000000000001</v>
      </c>
      <c r="R124">
        <v>0.36499999999999999</v>
      </c>
      <c r="S124">
        <v>0.42699999999999999</v>
      </c>
      <c r="T124">
        <v>0.79200000000000004</v>
      </c>
      <c r="U124">
        <v>3</v>
      </c>
      <c r="V124">
        <v>0</v>
      </c>
      <c r="W124">
        <v>3</v>
      </c>
      <c r="X124">
        <v>231</v>
      </c>
      <c r="Y124">
        <v>3</v>
      </c>
    </row>
    <row r="125" spans="1:25" x14ac:dyDescent="0.2">
      <c r="A125">
        <v>124</v>
      </c>
      <c r="B125" t="s">
        <v>182</v>
      </c>
      <c r="C125" t="s">
        <v>29</v>
      </c>
      <c r="D125" t="s">
        <v>45</v>
      </c>
      <c r="E125">
        <v>159</v>
      </c>
      <c r="F125">
        <v>590</v>
      </c>
      <c r="G125">
        <v>71</v>
      </c>
      <c r="H125">
        <v>158</v>
      </c>
      <c r="I125">
        <v>27</v>
      </c>
      <c r="J125">
        <v>4</v>
      </c>
      <c r="K125">
        <v>25</v>
      </c>
      <c r="L125">
        <v>96</v>
      </c>
      <c r="M125">
        <v>52</v>
      </c>
      <c r="N125">
        <v>118</v>
      </c>
      <c r="O125">
        <v>7</v>
      </c>
      <c r="P125">
        <v>5</v>
      </c>
      <c r="Q125">
        <v>0.26800000000000002</v>
      </c>
      <c r="R125">
        <v>0.33400000000000002</v>
      </c>
      <c r="S125">
        <v>0.45400000000000001</v>
      </c>
      <c r="T125">
        <v>0.78800000000000003</v>
      </c>
      <c r="U125">
        <v>8</v>
      </c>
      <c r="V125">
        <v>1</v>
      </c>
      <c r="W125">
        <v>3</v>
      </c>
      <c r="X125">
        <v>268</v>
      </c>
      <c r="Y125">
        <v>1</v>
      </c>
    </row>
    <row r="126" spans="1:25" x14ac:dyDescent="0.2">
      <c r="A126">
        <v>125</v>
      </c>
      <c r="B126" t="s">
        <v>183</v>
      </c>
      <c r="C126" t="s">
        <v>53</v>
      </c>
      <c r="D126" t="s">
        <v>38</v>
      </c>
      <c r="E126">
        <v>146</v>
      </c>
      <c r="F126">
        <v>513</v>
      </c>
      <c r="G126">
        <v>61</v>
      </c>
      <c r="H126">
        <v>126</v>
      </c>
      <c r="I126">
        <v>14</v>
      </c>
      <c r="J126">
        <v>6</v>
      </c>
      <c r="K126">
        <v>5</v>
      </c>
      <c r="L126">
        <v>31</v>
      </c>
      <c r="M126">
        <v>28</v>
      </c>
      <c r="N126">
        <v>70</v>
      </c>
      <c r="O126">
        <v>20</v>
      </c>
      <c r="P126">
        <v>9</v>
      </c>
      <c r="Q126">
        <v>0.246</v>
      </c>
      <c r="R126">
        <v>0.28899999999999998</v>
      </c>
      <c r="S126">
        <v>0.32600000000000001</v>
      </c>
      <c r="T126">
        <v>0.61399999999999999</v>
      </c>
      <c r="U126">
        <v>4</v>
      </c>
      <c r="V126">
        <v>10</v>
      </c>
      <c r="W126">
        <v>2</v>
      </c>
      <c r="X126">
        <v>167</v>
      </c>
      <c r="Y126">
        <v>2</v>
      </c>
    </row>
    <row r="127" spans="1:25" x14ac:dyDescent="0.2">
      <c r="A127">
        <v>126</v>
      </c>
      <c r="B127" t="s">
        <v>184</v>
      </c>
      <c r="C127" t="s">
        <v>106</v>
      </c>
      <c r="D127" t="s">
        <v>38</v>
      </c>
      <c r="E127">
        <v>146</v>
      </c>
      <c r="F127">
        <v>540</v>
      </c>
      <c r="G127">
        <v>44</v>
      </c>
      <c r="H127">
        <v>132</v>
      </c>
      <c r="I127">
        <v>18</v>
      </c>
      <c r="J127">
        <v>4</v>
      </c>
      <c r="K127">
        <v>7</v>
      </c>
      <c r="L127">
        <v>46</v>
      </c>
      <c r="M127">
        <v>32</v>
      </c>
      <c r="N127">
        <v>60</v>
      </c>
      <c r="O127">
        <v>4</v>
      </c>
      <c r="P127">
        <v>5</v>
      </c>
      <c r="Q127">
        <v>0.24399999999999999</v>
      </c>
      <c r="R127">
        <v>0.28599999999999998</v>
      </c>
      <c r="S127">
        <v>0.33100000000000002</v>
      </c>
      <c r="T127">
        <v>0.61699999999999999</v>
      </c>
      <c r="U127">
        <v>0</v>
      </c>
      <c r="V127">
        <v>2</v>
      </c>
      <c r="W127">
        <v>2</v>
      </c>
      <c r="X127">
        <v>179</v>
      </c>
      <c r="Y127">
        <v>2</v>
      </c>
    </row>
    <row r="128" spans="1:25" x14ac:dyDescent="0.2">
      <c r="A128">
        <v>127</v>
      </c>
      <c r="B128" t="s">
        <v>185</v>
      </c>
      <c r="C128" t="s">
        <v>186</v>
      </c>
      <c r="D128" t="s">
        <v>30</v>
      </c>
      <c r="E128">
        <v>136</v>
      </c>
      <c r="F128">
        <v>443</v>
      </c>
      <c r="G128">
        <v>55</v>
      </c>
      <c r="H128">
        <v>118</v>
      </c>
      <c r="I128">
        <v>31</v>
      </c>
      <c r="J128">
        <v>5</v>
      </c>
      <c r="K128">
        <v>12</v>
      </c>
      <c r="L128">
        <v>48</v>
      </c>
      <c r="M128">
        <v>69</v>
      </c>
      <c r="N128">
        <v>87</v>
      </c>
      <c r="O128">
        <v>1</v>
      </c>
      <c r="P128">
        <v>1</v>
      </c>
      <c r="Q128">
        <v>0.26600000000000001</v>
      </c>
      <c r="R128">
        <v>0.36699999999999999</v>
      </c>
      <c r="S128">
        <v>0.44</v>
      </c>
      <c r="T128">
        <v>0.80700000000000005</v>
      </c>
      <c r="U128">
        <v>4</v>
      </c>
      <c r="V128">
        <v>0</v>
      </c>
      <c r="W128">
        <v>4</v>
      </c>
      <c r="X128">
        <v>195</v>
      </c>
      <c r="Y128">
        <v>2</v>
      </c>
    </row>
    <row r="129" spans="1:25" x14ac:dyDescent="0.2">
      <c r="A129">
        <v>128</v>
      </c>
      <c r="B129" t="s">
        <v>187</v>
      </c>
      <c r="C129" t="s">
        <v>186</v>
      </c>
      <c r="D129" t="s">
        <v>45</v>
      </c>
      <c r="E129">
        <v>131</v>
      </c>
      <c r="F129">
        <v>469</v>
      </c>
      <c r="G129">
        <v>56</v>
      </c>
      <c r="H129">
        <v>122</v>
      </c>
      <c r="I129">
        <v>19</v>
      </c>
      <c r="J129">
        <v>1</v>
      </c>
      <c r="K129">
        <v>10</v>
      </c>
      <c r="L129">
        <v>48</v>
      </c>
      <c r="M129">
        <v>53</v>
      </c>
      <c r="N129">
        <v>58</v>
      </c>
      <c r="O129">
        <v>0</v>
      </c>
      <c r="P129">
        <v>1</v>
      </c>
      <c r="Q129">
        <v>0.26</v>
      </c>
      <c r="R129">
        <v>0.33600000000000002</v>
      </c>
      <c r="S129">
        <v>0.36899999999999999</v>
      </c>
      <c r="T129">
        <v>0.70499999999999996</v>
      </c>
      <c r="U129">
        <v>4</v>
      </c>
      <c r="V129">
        <v>3</v>
      </c>
      <c r="W129">
        <v>6</v>
      </c>
      <c r="X129">
        <v>173</v>
      </c>
      <c r="Y129">
        <v>2</v>
      </c>
    </row>
    <row r="130" spans="1:25" x14ac:dyDescent="0.2">
      <c r="A130">
        <v>129</v>
      </c>
      <c r="B130" t="s">
        <v>188</v>
      </c>
      <c r="C130" t="s">
        <v>62</v>
      </c>
      <c r="D130" t="s">
        <v>66</v>
      </c>
      <c r="E130">
        <v>147</v>
      </c>
      <c r="F130">
        <v>610</v>
      </c>
      <c r="G130">
        <v>94</v>
      </c>
      <c r="H130">
        <v>184</v>
      </c>
      <c r="I130">
        <v>39</v>
      </c>
      <c r="J130">
        <v>8</v>
      </c>
      <c r="K130">
        <v>5</v>
      </c>
      <c r="L130">
        <v>37</v>
      </c>
      <c r="M130">
        <v>50</v>
      </c>
      <c r="N130">
        <v>65</v>
      </c>
      <c r="O130">
        <v>31</v>
      </c>
      <c r="P130">
        <v>7</v>
      </c>
      <c r="Q130">
        <v>0.30199999999999999</v>
      </c>
      <c r="R130">
        <v>0.35499999999999998</v>
      </c>
      <c r="S130">
        <v>0.41599999999999998</v>
      </c>
      <c r="T130">
        <v>0.77100000000000002</v>
      </c>
      <c r="U130">
        <v>2</v>
      </c>
      <c r="V130">
        <v>3</v>
      </c>
      <c r="W130">
        <v>3</v>
      </c>
      <c r="X130">
        <v>254</v>
      </c>
      <c r="Y130">
        <v>1</v>
      </c>
    </row>
    <row r="131" spans="1:25" x14ac:dyDescent="0.2">
      <c r="A131">
        <v>130</v>
      </c>
      <c r="B131" t="s">
        <v>189</v>
      </c>
      <c r="C131" t="s">
        <v>123</v>
      </c>
      <c r="D131" t="s">
        <v>41</v>
      </c>
      <c r="E131">
        <v>145</v>
      </c>
      <c r="F131">
        <v>539</v>
      </c>
      <c r="G131">
        <v>89</v>
      </c>
      <c r="H131">
        <v>155</v>
      </c>
      <c r="I131">
        <v>31</v>
      </c>
      <c r="J131">
        <v>1</v>
      </c>
      <c r="K131">
        <v>37</v>
      </c>
      <c r="L131">
        <v>105</v>
      </c>
      <c r="M131">
        <v>94</v>
      </c>
      <c r="N131">
        <v>170</v>
      </c>
      <c r="O131">
        <v>13</v>
      </c>
      <c r="P131">
        <v>1</v>
      </c>
      <c r="Q131">
        <v>0.28799999999999998</v>
      </c>
      <c r="R131">
        <v>0.39500000000000002</v>
      </c>
      <c r="S131">
        <v>0.55500000000000005</v>
      </c>
      <c r="T131">
        <v>0.95</v>
      </c>
      <c r="U131">
        <v>3</v>
      </c>
      <c r="V131">
        <v>0</v>
      </c>
      <c r="W131">
        <v>2</v>
      </c>
      <c r="X131">
        <v>299</v>
      </c>
      <c r="Y131">
        <v>1</v>
      </c>
    </row>
    <row r="132" spans="1:25" x14ac:dyDescent="0.2">
      <c r="A132">
        <v>131</v>
      </c>
      <c r="B132" t="s">
        <v>190</v>
      </c>
      <c r="C132" t="s">
        <v>93</v>
      </c>
      <c r="D132" t="s">
        <v>74</v>
      </c>
      <c r="E132">
        <v>131</v>
      </c>
      <c r="F132">
        <v>452</v>
      </c>
      <c r="G132">
        <v>37</v>
      </c>
      <c r="H132">
        <v>130</v>
      </c>
      <c r="I132">
        <v>34</v>
      </c>
      <c r="J132">
        <v>0</v>
      </c>
      <c r="K132">
        <v>3</v>
      </c>
      <c r="L132">
        <v>61</v>
      </c>
      <c r="M132">
        <v>34</v>
      </c>
      <c r="N132">
        <v>46</v>
      </c>
      <c r="O132">
        <v>0</v>
      </c>
      <c r="P132">
        <v>1</v>
      </c>
      <c r="Q132">
        <v>0.28799999999999998</v>
      </c>
      <c r="R132">
        <v>0.34499999999999997</v>
      </c>
      <c r="S132">
        <v>0.38300000000000001</v>
      </c>
      <c r="T132">
        <v>0.72699999999999998</v>
      </c>
      <c r="U132">
        <v>9</v>
      </c>
      <c r="V132">
        <v>1</v>
      </c>
      <c r="W132">
        <v>7</v>
      </c>
      <c r="X132">
        <v>173</v>
      </c>
      <c r="Y132">
        <v>2</v>
      </c>
    </row>
    <row r="133" spans="1:25" x14ac:dyDescent="0.2">
      <c r="A133">
        <v>132</v>
      </c>
      <c r="B133" t="s">
        <v>191</v>
      </c>
      <c r="C133" t="s">
        <v>99</v>
      </c>
      <c r="D133" t="s">
        <v>27</v>
      </c>
      <c r="E133">
        <v>123</v>
      </c>
      <c r="F133">
        <v>440</v>
      </c>
      <c r="G133">
        <v>56</v>
      </c>
      <c r="H133">
        <v>95</v>
      </c>
      <c r="I133">
        <v>14</v>
      </c>
      <c r="J133">
        <v>0</v>
      </c>
      <c r="K133">
        <v>22</v>
      </c>
      <c r="L133">
        <v>62</v>
      </c>
      <c r="M133">
        <v>58</v>
      </c>
      <c r="N133">
        <v>109</v>
      </c>
      <c r="O133">
        <v>1</v>
      </c>
      <c r="P133">
        <v>1</v>
      </c>
      <c r="Q133">
        <v>0.216</v>
      </c>
      <c r="R133">
        <v>0.313</v>
      </c>
      <c r="S133">
        <v>0.39800000000000002</v>
      </c>
      <c r="T133">
        <v>0.71099999999999997</v>
      </c>
      <c r="U133">
        <v>6</v>
      </c>
      <c r="V133">
        <v>0</v>
      </c>
      <c r="W133">
        <v>4</v>
      </c>
      <c r="X133">
        <v>175</v>
      </c>
      <c r="Y133">
        <v>2</v>
      </c>
    </row>
    <row r="134" spans="1:25" x14ac:dyDescent="0.2">
      <c r="A134">
        <v>133</v>
      </c>
      <c r="B134" t="s">
        <v>192</v>
      </c>
      <c r="C134" t="s">
        <v>68</v>
      </c>
      <c r="D134" t="s">
        <v>66</v>
      </c>
      <c r="E134">
        <v>157</v>
      </c>
      <c r="F134">
        <v>602</v>
      </c>
      <c r="G134">
        <v>115</v>
      </c>
      <c r="H134">
        <v>173</v>
      </c>
      <c r="I134">
        <v>39</v>
      </c>
      <c r="J134">
        <v>9</v>
      </c>
      <c r="K134">
        <v>36</v>
      </c>
      <c r="L134">
        <v>111</v>
      </c>
      <c r="M134">
        <v>83</v>
      </c>
      <c r="N134">
        <v>184</v>
      </c>
      <c r="O134">
        <v>16</v>
      </c>
      <c r="P134">
        <v>2</v>
      </c>
      <c r="Q134">
        <v>0.28699999999999998</v>
      </c>
      <c r="R134">
        <v>0.377</v>
      </c>
      <c r="S134">
        <v>0.56100000000000005</v>
      </c>
      <c r="T134">
        <v>0.93899999999999995</v>
      </c>
      <c r="U134">
        <v>10</v>
      </c>
      <c r="V134">
        <v>0</v>
      </c>
      <c r="W134">
        <v>10</v>
      </c>
      <c r="X134">
        <v>338</v>
      </c>
      <c r="Y134">
        <v>1</v>
      </c>
    </row>
    <row r="135" spans="1:25" x14ac:dyDescent="0.2">
      <c r="A135">
        <v>134</v>
      </c>
      <c r="B135" t="s">
        <v>193</v>
      </c>
      <c r="C135" t="s">
        <v>106</v>
      </c>
      <c r="D135" t="s">
        <v>30</v>
      </c>
      <c r="E135">
        <v>154</v>
      </c>
      <c r="F135">
        <v>566</v>
      </c>
      <c r="G135">
        <v>77</v>
      </c>
      <c r="H135">
        <v>153</v>
      </c>
      <c r="I135">
        <v>34</v>
      </c>
      <c r="J135">
        <v>2</v>
      </c>
      <c r="K135">
        <v>29</v>
      </c>
      <c r="L135">
        <v>102</v>
      </c>
      <c r="M135">
        <v>60</v>
      </c>
      <c r="N135">
        <v>171</v>
      </c>
      <c r="O135">
        <v>8</v>
      </c>
      <c r="P135">
        <v>4</v>
      </c>
      <c r="Q135">
        <v>0.27</v>
      </c>
      <c r="R135">
        <v>0.34200000000000003</v>
      </c>
      <c r="S135">
        <v>0.49099999999999999</v>
      </c>
      <c r="T135">
        <v>0.83299999999999996</v>
      </c>
      <c r="U135">
        <v>6</v>
      </c>
      <c r="V135">
        <v>0</v>
      </c>
      <c r="W135">
        <v>8</v>
      </c>
      <c r="X135">
        <v>278</v>
      </c>
      <c r="Y135">
        <v>1</v>
      </c>
    </row>
    <row r="136" spans="1:25" x14ac:dyDescent="0.2">
      <c r="A136">
        <v>135</v>
      </c>
      <c r="B136" t="s">
        <v>194</v>
      </c>
      <c r="C136" t="s">
        <v>106</v>
      </c>
      <c r="D136" t="s">
        <v>66</v>
      </c>
      <c r="E136">
        <v>141</v>
      </c>
      <c r="F136">
        <v>519</v>
      </c>
      <c r="G136">
        <v>67</v>
      </c>
      <c r="H136">
        <v>108</v>
      </c>
      <c r="I136">
        <v>19</v>
      </c>
      <c r="J136">
        <v>5</v>
      </c>
      <c r="K136">
        <v>12</v>
      </c>
      <c r="L136">
        <v>35</v>
      </c>
      <c r="M136">
        <v>57</v>
      </c>
      <c r="N136">
        <v>173</v>
      </c>
      <c r="O136">
        <v>20</v>
      </c>
      <c r="P136">
        <v>7</v>
      </c>
      <c r="Q136">
        <v>0.20799999999999999</v>
      </c>
      <c r="R136">
        <v>0.28699999999999998</v>
      </c>
      <c r="S136">
        <v>0.33300000000000002</v>
      </c>
      <c r="T136">
        <v>0.62</v>
      </c>
      <c r="U136">
        <v>1</v>
      </c>
      <c r="V136">
        <v>3</v>
      </c>
      <c r="W136">
        <v>2</v>
      </c>
      <c r="X136">
        <v>173</v>
      </c>
      <c r="Y136">
        <v>2</v>
      </c>
    </row>
    <row r="137" spans="1:25" x14ac:dyDescent="0.2">
      <c r="A137">
        <v>136</v>
      </c>
      <c r="B137" t="s">
        <v>195</v>
      </c>
      <c r="C137" t="s">
        <v>55</v>
      </c>
      <c r="D137" t="s">
        <v>35</v>
      </c>
      <c r="E137">
        <v>155</v>
      </c>
      <c r="F137">
        <v>589</v>
      </c>
      <c r="G137">
        <v>74</v>
      </c>
      <c r="H137">
        <v>159</v>
      </c>
      <c r="I137">
        <v>36</v>
      </c>
      <c r="J137">
        <v>6</v>
      </c>
      <c r="K137">
        <v>11</v>
      </c>
      <c r="L137">
        <v>78</v>
      </c>
      <c r="M137">
        <v>53</v>
      </c>
      <c r="N137">
        <v>85</v>
      </c>
      <c r="O137">
        <v>10</v>
      </c>
      <c r="P137">
        <v>1</v>
      </c>
      <c r="Q137">
        <v>0.27</v>
      </c>
      <c r="R137">
        <v>0.33900000000000002</v>
      </c>
      <c r="S137">
        <v>0.40699999999999997</v>
      </c>
      <c r="T137">
        <v>0.746</v>
      </c>
      <c r="U137">
        <v>13</v>
      </c>
      <c r="V137">
        <v>0</v>
      </c>
      <c r="W137">
        <v>9</v>
      </c>
      <c r="X137">
        <v>240</v>
      </c>
      <c r="Y137">
        <v>1</v>
      </c>
    </row>
    <row r="138" spans="1:25" x14ac:dyDescent="0.2">
      <c r="A138">
        <v>137</v>
      </c>
      <c r="B138" t="s">
        <v>196</v>
      </c>
      <c r="C138" t="s">
        <v>76</v>
      </c>
      <c r="D138" t="s">
        <v>45</v>
      </c>
      <c r="E138">
        <v>149</v>
      </c>
      <c r="F138">
        <v>478</v>
      </c>
      <c r="G138">
        <v>68</v>
      </c>
      <c r="H138">
        <v>119</v>
      </c>
      <c r="I138">
        <v>33</v>
      </c>
      <c r="J138">
        <v>4</v>
      </c>
      <c r="K138">
        <v>16</v>
      </c>
      <c r="L138">
        <v>51</v>
      </c>
      <c r="M138">
        <v>65</v>
      </c>
      <c r="N138">
        <v>113</v>
      </c>
      <c r="O138">
        <v>1</v>
      </c>
      <c r="P138">
        <v>2</v>
      </c>
      <c r="Q138">
        <v>0.249</v>
      </c>
      <c r="R138">
        <v>0.34100000000000003</v>
      </c>
      <c r="S138">
        <v>0.435</v>
      </c>
      <c r="T138">
        <v>0.77600000000000002</v>
      </c>
      <c r="U138">
        <v>2</v>
      </c>
      <c r="V138">
        <v>1</v>
      </c>
      <c r="W138">
        <v>1</v>
      </c>
      <c r="X138">
        <v>208</v>
      </c>
      <c r="Y138">
        <v>2</v>
      </c>
    </row>
    <row r="139" spans="1:25" x14ac:dyDescent="0.2">
      <c r="A139">
        <v>138</v>
      </c>
      <c r="B139" t="s">
        <v>197</v>
      </c>
      <c r="C139" t="s">
        <v>26</v>
      </c>
      <c r="D139" t="s">
        <v>41</v>
      </c>
      <c r="E139">
        <v>145</v>
      </c>
      <c r="F139">
        <v>523</v>
      </c>
      <c r="G139">
        <v>65</v>
      </c>
      <c r="H139">
        <v>121</v>
      </c>
      <c r="I139">
        <v>22</v>
      </c>
      <c r="J139">
        <v>3</v>
      </c>
      <c r="K139">
        <v>21</v>
      </c>
      <c r="L139">
        <v>58</v>
      </c>
      <c r="M139">
        <v>32</v>
      </c>
      <c r="N139">
        <v>122</v>
      </c>
      <c r="O139">
        <v>0</v>
      </c>
      <c r="P139">
        <v>1</v>
      </c>
      <c r="Q139">
        <v>0.23100000000000001</v>
      </c>
      <c r="R139">
        <v>0.28100000000000003</v>
      </c>
      <c r="S139">
        <v>0.40500000000000003</v>
      </c>
      <c r="T139">
        <v>0.68600000000000005</v>
      </c>
      <c r="U139">
        <v>5</v>
      </c>
      <c r="V139">
        <v>0</v>
      </c>
      <c r="W139">
        <v>3</v>
      </c>
      <c r="X139">
        <v>212</v>
      </c>
      <c r="Y139">
        <v>2</v>
      </c>
    </row>
    <row r="140" spans="1:25" x14ac:dyDescent="0.2">
      <c r="A140">
        <v>139</v>
      </c>
      <c r="B140" t="s">
        <v>198</v>
      </c>
      <c r="C140" t="s">
        <v>120</v>
      </c>
      <c r="D140" t="s">
        <v>35</v>
      </c>
      <c r="E140">
        <v>137</v>
      </c>
      <c r="F140">
        <v>512</v>
      </c>
      <c r="G140">
        <v>74</v>
      </c>
      <c r="H140">
        <v>139</v>
      </c>
      <c r="I140">
        <v>25</v>
      </c>
      <c r="J140">
        <v>3</v>
      </c>
      <c r="K140">
        <v>23</v>
      </c>
      <c r="L140">
        <v>76</v>
      </c>
      <c r="M140">
        <v>45</v>
      </c>
      <c r="N140">
        <v>88</v>
      </c>
      <c r="O140">
        <v>2</v>
      </c>
      <c r="P140">
        <v>2</v>
      </c>
      <c r="Q140">
        <v>0.27100000000000002</v>
      </c>
      <c r="R140">
        <v>0.34200000000000003</v>
      </c>
      <c r="S140">
        <v>0.46700000000000003</v>
      </c>
      <c r="T140">
        <v>0.80900000000000005</v>
      </c>
      <c r="U140">
        <v>11</v>
      </c>
      <c r="V140">
        <v>1</v>
      </c>
      <c r="W140">
        <v>2</v>
      </c>
      <c r="X140">
        <v>239</v>
      </c>
      <c r="Y140">
        <v>3</v>
      </c>
    </row>
    <row r="141" spans="1:25" x14ac:dyDescent="0.2">
      <c r="A141">
        <v>140</v>
      </c>
      <c r="B141" t="s">
        <v>199</v>
      </c>
      <c r="C141" t="s">
        <v>62</v>
      </c>
      <c r="D141" t="s">
        <v>41</v>
      </c>
      <c r="E141">
        <v>147</v>
      </c>
      <c r="F141">
        <v>534</v>
      </c>
      <c r="G141">
        <v>85</v>
      </c>
      <c r="H141">
        <v>156</v>
      </c>
      <c r="I141">
        <v>37</v>
      </c>
      <c r="J141">
        <v>1</v>
      </c>
      <c r="K141">
        <v>16</v>
      </c>
      <c r="L141">
        <v>82</v>
      </c>
      <c r="M141">
        <v>83</v>
      </c>
      <c r="N141">
        <v>113</v>
      </c>
      <c r="O141">
        <v>9</v>
      </c>
      <c r="P141">
        <v>1</v>
      </c>
      <c r="Q141">
        <v>0.29199999999999998</v>
      </c>
      <c r="R141">
        <v>0.39400000000000002</v>
      </c>
      <c r="S141">
        <v>0.45500000000000002</v>
      </c>
      <c r="T141">
        <v>0.84899999999999998</v>
      </c>
      <c r="U141">
        <v>9</v>
      </c>
      <c r="V141">
        <v>0</v>
      </c>
      <c r="W141">
        <v>3</v>
      </c>
      <c r="X141">
        <v>243</v>
      </c>
      <c r="Y141">
        <v>1</v>
      </c>
    </row>
    <row r="142" spans="1:25" x14ac:dyDescent="0.2">
      <c r="A142">
        <v>141</v>
      </c>
      <c r="B142" t="s">
        <v>200</v>
      </c>
      <c r="C142" t="s">
        <v>95</v>
      </c>
      <c r="D142" t="s">
        <v>45</v>
      </c>
      <c r="E142">
        <v>134</v>
      </c>
      <c r="F142">
        <v>535</v>
      </c>
      <c r="G142">
        <v>54</v>
      </c>
      <c r="H142">
        <v>144</v>
      </c>
      <c r="I142">
        <v>30</v>
      </c>
      <c r="J142">
        <v>1</v>
      </c>
      <c r="K142">
        <v>8</v>
      </c>
      <c r="L142">
        <v>63</v>
      </c>
      <c r="M142">
        <v>42</v>
      </c>
      <c r="N142">
        <v>113</v>
      </c>
      <c r="O142">
        <v>8</v>
      </c>
      <c r="P142">
        <v>5</v>
      </c>
      <c r="Q142">
        <v>0.26900000000000002</v>
      </c>
      <c r="R142">
        <v>0.32400000000000001</v>
      </c>
      <c r="S142">
        <v>0.374</v>
      </c>
      <c r="T142">
        <v>0.69799999999999995</v>
      </c>
      <c r="U142">
        <v>4</v>
      </c>
      <c r="V142">
        <v>0</v>
      </c>
      <c r="W142">
        <v>5</v>
      </c>
      <c r="X142">
        <v>200</v>
      </c>
      <c r="Y142">
        <v>2</v>
      </c>
    </row>
    <row r="143" spans="1:25" x14ac:dyDescent="0.2">
      <c r="A143">
        <v>142</v>
      </c>
      <c r="B143" t="s">
        <v>201</v>
      </c>
      <c r="C143" t="s">
        <v>123</v>
      </c>
      <c r="D143" t="s">
        <v>30</v>
      </c>
      <c r="E143">
        <v>144</v>
      </c>
      <c r="F143">
        <v>582</v>
      </c>
      <c r="G143">
        <v>94</v>
      </c>
      <c r="H143">
        <v>165</v>
      </c>
      <c r="I143">
        <v>30</v>
      </c>
      <c r="J143">
        <v>6</v>
      </c>
      <c r="K143">
        <v>9</v>
      </c>
      <c r="L143">
        <v>54</v>
      </c>
      <c r="M143">
        <v>70</v>
      </c>
      <c r="N143">
        <v>137</v>
      </c>
      <c r="O143">
        <v>21</v>
      </c>
      <c r="P143">
        <v>7</v>
      </c>
      <c r="Q143">
        <v>0.28399999999999997</v>
      </c>
      <c r="R143">
        <v>0.36199999999999999</v>
      </c>
      <c r="S143">
        <v>0.40200000000000002</v>
      </c>
      <c r="T143">
        <v>0.76400000000000001</v>
      </c>
      <c r="U143">
        <v>3</v>
      </c>
      <c r="V143">
        <v>3</v>
      </c>
      <c r="W143">
        <v>2</v>
      </c>
      <c r="X143">
        <v>234</v>
      </c>
      <c r="Y143">
        <v>1</v>
      </c>
    </row>
    <row r="144" spans="1:25" x14ac:dyDescent="0.2">
      <c r="A144">
        <v>143</v>
      </c>
      <c r="B144" t="s">
        <v>202</v>
      </c>
      <c r="C144" t="s">
        <v>23</v>
      </c>
      <c r="D144" t="s">
        <v>35</v>
      </c>
      <c r="E144">
        <v>146</v>
      </c>
      <c r="F144">
        <v>570</v>
      </c>
      <c r="G144">
        <v>83</v>
      </c>
      <c r="H144">
        <v>155</v>
      </c>
      <c r="I144">
        <v>34</v>
      </c>
      <c r="J144">
        <v>3</v>
      </c>
      <c r="K144">
        <v>10</v>
      </c>
      <c r="L144">
        <v>52</v>
      </c>
      <c r="M144">
        <v>75</v>
      </c>
      <c r="N144">
        <v>84</v>
      </c>
      <c r="O144">
        <v>10</v>
      </c>
      <c r="P144">
        <v>5</v>
      </c>
      <c r="Q144">
        <v>0.27200000000000002</v>
      </c>
      <c r="R144">
        <v>0.35399999999999998</v>
      </c>
      <c r="S144">
        <v>0.39500000000000002</v>
      </c>
      <c r="T144">
        <v>0.749</v>
      </c>
      <c r="U144">
        <v>1</v>
      </c>
      <c r="V144">
        <v>2</v>
      </c>
      <c r="W144">
        <v>6</v>
      </c>
      <c r="X144">
        <v>225</v>
      </c>
      <c r="Y14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F712-62FA-D040-87D9-4840053B8244}">
  <dimension ref="A1:AL144"/>
  <sheetViews>
    <sheetView workbookViewId="0">
      <selection activeCell="L44" sqref="L44"/>
    </sheetView>
  </sheetViews>
  <sheetFormatPr baseColWidth="10" defaultRowHeight="16" x14ac:dyDescent="0.2"/>
  <cols>
    <col min="9" max="10" width="0" hidden="1" customWidth="1"/>
    <col min="13" max="16" width="0" hidden="1" customWidth="1"/>
    <col min="20" max="24" width="0" hidden="1" customWidth="1"/>
    <col min="26" max="26" width="0" hidden="1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203</v>
      </c>
      <c r="Z1" t="s">
        <v>204</v>
      </c>
    </row>
    <row r="2" spans="1:38" x14ac:dyDescent="0.2">
      <c r="A2">
        <v>1</v>
      </c>
      <c r="B2" t="s">
        <v>25</v>
      </c>
      <c r="C2" t="s">
        <v>26</v>
      </c>
      <c r="D2" t="s">
        <v>27</v>
      </c>
      <c r="E2">
        <v>145</v>
      </c>
      <c r="F2">
        <v>556</v>
      </c>
      <c r="G2">
        <v>80</v>
      </c>
      <c r="H2">
        <v>176</v>
      </c>
      <c r="I2">
        <v>35</v>
      </c>
      <c r="J2">
        <v>2</v>
      </c>
      <c r="K2">
        <v>36</v>
      </c>
      <c r="L2">
        <v>107</v>
      </c>
      <c r="M2">
        <v>51</v>
      </c>
      <c r="N2">
        <v>131</v>
      </c>
      <c r="O2">
        <v>3</v>
      </c>
      <c r="P2">
        <v>1</v>
      </c>
      <c r="Q2">
        <v>0.317</v>
      </c>
      <c r="R2">
        <v>0.38300000000000001</v>
      </c>
      <c r="S2">
        <v>0.58099999999999996</v>
      </c>
      <c r="T2">
        <v>0.96399999999999997</v>
      </c>
      <c r="U2">
        <v>11</v>
      </c>
      <c r="V2">
        <v>0</v>
      </c>
      <c r="W2">
        <v>4</v>
      </c>
      <c r="X2">
        <v>323</v>
      </c>
      <c r="Y2">
        <v>1</v>
      </c>
      <c r="Z2">
        <v>50.694310000000002</v>
      </c>
      <c r="AB2" t="s">
        <v>205</v>
      </c>
      <c r="AC2" t="s">
        <v>206</v>
      </c>
      <c r="AD2" t="s">
        <v>4</v>
      </c>
      <c r="AE2" t="s">
        <v>5</v>
      </c>
      <c r="AF2" t="s">
        <v>6</v>
      </c>
      <c r="AG2" t="s">
        <v>7</v>
      </c>
      <c r="AH2" t="s">
        <v>10</v>
      </c>
      <c r="AI2" t="s">
        <v>11</v>
      </c>
      <c r="AJ2" t="s">
        <v>16</v>
      </c>
      <c r="AK2" t="s">
        <v>17</v>
      </c>
      <c r="AL2" t="s">
        <v>18</v>
      </c>
    </row>
    <row r="3" spans="1:38" x14ac:dyDescent="0.2">
      <c r="A3">
        <v>2</v>
      </c>
      <c r="B3" t="s">
        <v>28</v>
      </c>
      <c r="C3" t="s">
        <v>29</v>
      </c>
      <c r="D3" t="s">
        <v>30</v>
      </c>
      <c r="E3">
        <v>143</v>
      </c>
      <c r="F3">
        <v>502</v>
      </c>
      <c r="G3">
        <v>64</v>
      </c>
      <c r="H3">
        <v>123</v>
      </c>
      <c r="I3">
        <v>27</v>
      </c>
      <c r="J3">
        <v>4</v>
      </c>
      <c r="K3">
        <v>14</v>
      </c>
      <c r="L3">
        <v>65</v>
      </c>
      <c r="M3">
        <v>32</v>
      </c>
      <c r="N3">
        <v>90</v>
      </c>
      <c r="O3">
        <v>8</v>
      </c>
      <c r="P3">
        <v>4</v>
      </c>
      <c r="Q3">
        <v>0.245</v>
      </c>
      <c r="R3">
        <v>0.29299999999999998</v>
      </c>
      <c r="S3">
        <v>0.39800000000000002</v>
      </c>
      <c r="T3">
        <v>0.69199999999999995</v>
      </c>
      <c r="U3">
        <v>3</v>
      </c>
      <c r="V3">
        <v>3</v>
      </c>
      <c r="W3">
        <v>2</v>
      </c>
      <c r="X3">
        <v>200</v>
      </c>
      <c r="Y3">
        <v>2</v>
      </c>
      <c r="Z3">
        <v>24.79513</v>
      </c>
      <c r="AB3">
        <v>1</v>
      </c>
      <c r="AC3">
        <f>COUNTIF(Y$2:Y$144,AB3)</f>
        <v>53</v>
      </c>
      <c r="AD3">
        <f>AVERAGEIF(Y$2:Y144,AB3,E$2:E$144)</f>
        <v>146.35849056603774</v>
      </c>
      <c r="AE3">
        <f>AVERAGEIF(Y$2:Y144,AB3,F$2:F$144)</f>
        <v>545.4905660377359</v>
      </c>
      <c r="AF3">
        <f>AVERAGEIF(Y$2:Y144,AB3,G$2:G$144)</f>
        <v>70.169811320754718</v>
      </c>
      <c r="AG3">
        <f>AVERAGEIF(Y$2:Y144,AB3,H$2:H$144)</f>
        <v>148.30188679245282</v>
      </c>
      <c r="AH3">
        <f>AVERAGEIF(Y$2:Y144,AB3,K$2:K$144)</f>
        <v>17.79245283018868</v>
      </c>
      <c r="AI3">
        <f>AVERAGEIF(Y$2:Y144,AB3,L$2:L$144)</f>
        <v>71.471698113207552</v>
      </c>
      <c r="AJ3">
        <f>AVERAGEIF(Y$2:Y144,AB3,Q$2:Q$144)</f>
        <v>0.27199999999999996</v>
      </c>
      <c r="AK3">
        <f>AVERAGEIF(Y$2:Y144,AB3,R$2:R$144)</f>
        <v>0.33688679245283015</v>
      </c>
      <c r="AL3">
        <f>AVERAGEIF(Y$2:Y144,AB3,S$2:S$144)</f>
        <v>0.43360377358490548</v>
      </c>
    </row>
    <row r="4" spans="1:38" x14ac:dyDescent="0.2">
      <c r="A4">
        <v>3</v>
      </c>
      <c r="B4" t="s">
        <v>31</v>
      </c>
      <c r="C4" t="s">
        <v>32</v>
      </c>
      <c r="D4" t="s">
        <v>27</v>
      </c>
      <c r="E4">
        <v>142</v>
      </c>
      <c r="F4">
        <v>527</v>
      </c>
      <c r="G4">
        <v>55</v>
      </c>
      <c r="H4">
        <v>152</v>
      </c>
      <c r="I4">
        <v>34</v>
      </c>
      <c r="J4">
        <v>5</v>
      </c>
      <c r="K4">
        <v>15</v>
      </c>
      <c r="L4">
        <v>68</v>
      </c>
      <c r="M4">
        <v>26</v>
      </c>
      <c r="N4">
        <v>114</v>
      </c>
      <c r="O4">
        <v>3</v>
      </c>
      <c r="P4">
        <v>2</v>
      </c>
      <c r="Q4">
        <v>0.28799999999999998</v>
      </c>
      <c r="R4">
        <v>0.32100000000000001</v>
      </c>
      <c r="S4">
        <v>0.45700000000000002</v>
      </c>
      <c r="T4">
        <v>0.77900000000000003</v>
      </c>
      <c r="U4">
        <v>3</v>
      </c>
      <c r="V4">
        <v>0</v>
      </c>
      <c r="W4">
        <v>7</v>
      </c>
      <c r="X4">
        <v>241</v>
      </c>
      <c r="Y4">
        <v>1</v>
      </c>
      <c r="Z4">
        <v>24.990960000000001</v>
      </c>
      <c r="AB4">
        <v>2</v>
      </c>
      <c r="AC4">
        <f>COUNTIF(Y$2:Y$144,AB4)</f>
        <v>49</v>
      </c>
      <c r="AD4">
        <f ca="1">AVERAGEIF(Y$2:Y145,AB4,E$2:E$144)</f>
        <v>135.30612244897958</v>
      </c>
      <c r="AE4">
        <f ca="1">AVERAGEIF(Y$2:Y145,AB4,F$2:F$144)</f>
        <v>480.75510204081633</v>
      </c>
      <c r="AF4">
        <f ca="1">AVERAGEIF(Y$2:Y145,AB4,G$2:G$144)</f>
        <v>58.346938775510203</v>
      </c>
      <c r="AG4">
        <f ca="1">AVERAGEIF(Y$2:Y145,AB4,H$2:H$144)</f>
        <v>122.20408163265306</v>
      </c>
      <c r="AH4">
        <f ca="1">AVERAGEIF(Y$2:Y145,AB4,K$2:K$144)</f>
        <v>12.714285714285714</v>
      </c>
      <c r="AI4">
        <f ca="1">AVERAGEIF(Y$2:Y145,AB4,L$2:L$144)</f>
        <v>56.632653061224488</v>
      </c>
      <c r="AJ4">
        <f ca="1">AVERAGEIF(Y$2:Y145,AB4,Q$2:Q$144)</f>
        <v>0.25428571428571428</v>
      </c>
      <c r="AK4">
        <f ca="1">AVERAGEIF(Y$2:Y145,AB4,R$2:R$144)</f>
        <v>0.32295918367346943</v>
      </c>
      <c r="AL4">
        <f ca="1">AVERAGEIF(Y$2:Y145,AB4,S$2:S$144)</f>
        <v>0.39542857142857141</v>
      </c>
    </row>
    <row r="5" spans="1:38" x14ac:dyDescent="0.2">
      <c r="A5">
        <v>4</v>
      </c>
      <c r="B5" t="s">
        <v>33</v>
      </c>
      <c r="C5" t="s">
        <v>34</v>
      </c>
      <c r="D5" t="s">
        <v>35</v>
      </c>
      <c r="E5">
        <v>158</v>
      </c>
      <c r="F5">
        <v>660</v>
      </c>
      <c r="G5">
        <v>85</v>
      </c>
      <c r="H5">
        <v>225</v>
      </c>
      <c r="I5">
        <v>47</v>
      </c>
      <c r="J5">
        <v>3</v>
      </c>
      <c r="K5">
        <v>7</v>
      </c>
      <c r="L5">
        <v>59</v>
      </c>
      <c r="M5">
        <v>36</v>
      </c>
      <c r="N5">
        <v>53</v>
      </c>
      <c r="O5">
        <v>56</v>
      </c>
      <c r="P5">
        <v>9</v>
      </c>
      <c r="Q5">
        <v>0.34100000000000003</v>
      </c>
      <c r="R5">
        <v>0.377</v>
      </c>
      <c r="S5">
        <v>0.45300000000000001</v>
      </c>
      <c r="T5">
        <v>0.83</v>
      </c>
      <c r="U5">
        <v>5</v>
      </c>
      <c r="V5">
        <v>1</v>
      </c>
      <c r="W5">
        <v>5</v>
      </c>
      <c r="X5">
        <v>299</v>
      </c>
      <c r="Y5">
        <v>3</v>
      </c>
      <c r="Z5">
        <v>76.87988</v>
      </c>
      <c r="AB5">
        <v>3</v>
      </c>
      <c r="AC5">
        <f>COUNTIF(Y$2:Y$144,AB5)</f>
        <v>41</v>
      </c>
      <c r="AD5">
        <f ca="1">AVERAGEIF(Y$2:Y146,AB5,E$2:E$144)</f>
        <v>155.41463414634146</v>
      </c>
      <c r="AE5">
        <f ca="1">AVERAGEIF(Y$2:Y146,AB5,F$2:F$144)</f>
        <v>608.26829268292681</v>
      </c>
      <c r="AF5">
        <f ca="1">AVERAGEIF(Y$2:Y146,AB5,G$2:G$144)</f>
        <v>85.463414634146346</v>
      </c>
      <c r="AG5">
        <f ca="1">AVERAGEIF(Y$2:Y146,AB5,H$2:H$144)</f>
        <v>171.46341463414635</v>
      </c>
      <c r="AH5">
        <f ca="1">AVERAGEIF(Y$2:Y146,AB5,K$2:K$144)</f>
        <v>16.707317073170731</v>
      </c>
      <c r="AI5">
        <f ca="1">AVERAGEIF(Y$2:Y146,AB5,L$2:L$144)</f>
        <v>75.341463414634148</v>
      </c>
      <c r="AJ5">
        <f ca="1">AVERAGEIF(Y$2:Y146,AB5,Q$2:Q$144)</f>
        <v>0.28178048780487808</v>
      </c>
      <c r="AK5">
        <f ca="1">AVERAGEIF(Y$2:Y146,AB5,R$2:R$144)</f>
        <v>0.33970731707317076</v>
      </c>
      <c r="AL5">
        <f ca="1">AVERAGEIF(Y$2:Y146,AB5,S$2:S$144)</f>
        <v>0.43109756097560975</v>
      </c>
    </row>
    <row r="6" spans="1:38" x14ac:dyDescent="0.2">
      <c r="A6">
        <v>5</v>
      </c>
      <c r="B6" t="s">
        <v>36</v>
      </c>
      <c r="C6" t="s">
        <v>37</v>
      </c>
      <c r="D6" t="s">
        <v>38</v>
      </c>
      <c r="E6">
        <v>157</v>
      </c>
      <c r="F6">
        <v>619</v>
      </c>
      <c r="G6">
        <v>72</v>
      </c>
      <c r="H6">
        <v>163</v>
      </c>
      <c r="I6">
        <v>35</v>
      </c>
      <c r="J6">
        <v>1</v>
      </c>
      <c r="K6">
        <v>2</v>
      </c>
      <c r="L6">
        <v>41</v>
      </c>
      <c r="M6">
        <v>46</v>
      </c>
      <c r="N6">
        <v>96</v>
      </c>
      <c r="O6">
        <v>27</v>
      </c>
      <c r="P6">
        <v>15</v>
      </c>
      <c r="Q6">
        <v>0.26300000000000001</v>
      </c>
      <c r="R6">
        <v>0.314</v>
      </c>
      <c r="S6">
        <v>0.33300000000000002</v>
      </c>
      <c r="T6">
        <v>0.64700000000000002</v>
      </c>
      <c r="U6">
        <v>3</v>
      </c>
      <c r="V6">
        <v>9</v>
      </c>
      <c r="W6">
        <v>7</v>
      </c>
      <c r="X6">
        <v>206</v>
      </c>
      <c r="Y6">
        <v>3</v>
      </c>
      <c r="Z6">
        <v>42.026510000000002</v>
      </c>
      <c r="AC6">
        <f>SUM(AC3:AC5)</f>
        <v>143</v>
      </c>
    </row>
    <row r="7" spans="1:38" x14ac:dyDescent="0.2">
      <c r="A7">
        <v>6</v>
      </c>
      <c r="B7" t="s">
        <v>39</v>
      </c>
      <c r="C7" t="s">
        <v>40</v>
      </c>
      <c r="D7" t="s">
        <v>41</v>
      </c>
      <c r="E7">
        <v>132</v>
      </c>
      <c r="F7">
        <v>491</v>
      </c>
      <c r="G7">
        <v>63</v>
      </c>
      <c r="H7">
        <v>140</v>
      </c>
      <c r="I7">
        <v>22</v>
      </c>
      <c r="J7">
        <v>6</v>
      </c>
      <c r="K7">
        <v>1</v>
      </c>
      <c r="L7">
        <v>43</v>
      </c>
      <c r="M7">
        <v>43</v>
      </c>
      <c r="N7">
        <v>49</v>
      </c>
      <c r="O7">
        <v>17</v>
      </c>
      <c r="P7">
        <v>8</v>
      </c>
      <c r="Q7">
        <v>0.28499999999999998</v>
      </c>
      <c r="R7">
        <v>0.34899999999999998</v>
      </c>
      <c r="S7">
        <v>0.36</v>
      </c>
      <c r="T7">
        <v>0.71</v>
      </c>
      <c r="U7">
        <v>6</v>
      </c>
      <c r="V7">
        <v>8</v>
      </c>
      <c r="W7">
        <v>1</v>
      </c>
      <c r="X7">
        <v>177</v>
      </c>
      <c r="Y7">
        <v>2</v>
      </c>
      <c r="Z7">
        <v>27.880289999999999</v>
      </c>
    </row>
    <row r="8" spans="1:38" x14ac:dyDescent="0.2">
      <c r="A8">
        <v>7</v>
      </c>
      <c r="B8" t="s">
        <v>42</v>
      </c>
      <c r="C8" t="s">
        <v>43</v>
      </c>
      <c r="D8" t="s">
        <v>41</v>
      </c>
      <c r="E8">
        <v>155</v>
      </c>
      <c r="F8">
        <v>553</v>
      </c>
      <c r="G8">
        <v>101</v>
      </c>
      <c r="H8">
        <v>158</v>
      </c>
      <c r="I8">
        <v>27</v>
      </c>
      <c r="J8">
        <v>0</v>
      </c>
      <c r="K8">
        <v>35</v>
      </c>
      <c r="L8">
        <v>103</v>
      </c>
      <c r="M8">
        <v>104</v>
      </c>
      <c r="N8">
        <v>96</v>
      </c>
      <c r="O8">
        <v>6</v>
      </c>
      <c r="P8">
        <v>2</v>
      </c>
      <c r="Q8">
        <v>0.28599999999999998</v>
      </c>
      <c r="R8">
        <v>0.40300000000000002</v>
      </c>
      <c r="S8">
        <v>0.52400000000000002</v>
      </c>
      <c r="T8">
        <v>0.92800000000000005</v>
      </c>
      <c r="U8">
        <v>9</v>
      </c>
      <c r="V8">
        <v>1</v>
      </c>
      <c r="W8">
        <v>6</v>
      </c>
      <c r="X8">
        <v>290</v>
      </c>
      <c r="Y8">
        <v>1</v>
      </c>
      <c r="Z8">
        <v>49.656489999999998</v>
      </c>
    </row>
    <row r="9" spans="1:38" x14ac:dyDescent="0.2">
      <c r="A9">
        <v>8</v>
      </c>
      <c r="B9" t="s">
        <v>44</v>
      </c>
      <c r="C9" t="s">
        <v>37</v>
      </c>
      <c r="D9" t="s">
        <v>45</v>
      </c>
      <c r="E9">
        <v>148</v>
      </c>
      <c r="F9">
        <v>549</v>
      </c>
      <c r="G9">
        <v>79</v>
      </c>
      <c r="H9">
        <v>178</v>
      </c>
      <c r="I9">
        <v>33</v>
      </c>
      <c r="J9">
        <v>1</v>
      </c>
      <c r="K9">
        <v>19</v>
      </c>
      <c r="L9">
        <v>77</v>
      </c>
      <c r="M9">
        <v>57</v>
      </c>
      <c r="N9">
        <v>74</v>
      </c>
      <c r="O9">
        <v>1</v>
      </c>
      <c r="P9">
        <v>1</v>
      </c>
      <c r="Q9">
        <v>0.32400000000000001</v>
      </c>
      <c r="R9">
        <v>0.38800000000000001</v>
      </c>
      <c r="S9">
        <v>0.49199999999999999</v>
      </c>
      <c r="T9">
        <v>0.879</v>
      </c>
      <c r="U9">
        <v>3</v>
      </c>
      <c r="V9">
        <v>0</v>
      </c>
      <c r="W9">
        <v>5</v>
      </c>
      <c r="X9">
        <v>270</v>
      </c>
      <c r="Y9">
        <v>1</v>
      </c>
      <c r="Z9">
        <v>31.7331</v>
      </c>
    </row>
    <row r="10" spans="1:38" x14ac:dyDescent="0.2">
      <c r="A10">
        <v>9</v>
      </c>
      <c r="B10" t="s">
        <v>46</v>
      </c>
      <c r="C10" t="s">
        <v>47</v>
      </c>
      <c r="D10" t="s">
        <v>41</v>
      </c>
      <c r="E10">
        <v>154</v>
      </c>
      <c r="F10">
        <v>593</v>
      </c>
      <c r="G10">
        <v>82</v>
      </c>
      <c r="H10">
        <v>171</v>
      </c>
      <c r="I10">
        <v>27</v>
      </c>
      <c r="J10">
        <v>3</v>
      </c>
      <c r="K10">
        <v>19</v>
      </c>
      <c r="L10">
        <v>72</v>
      </c>
      <c r="M10">
        <v>31</v>
      </c>
      <c r="N10">
        <v>96</v>
      </c>
      <c r="O10">
        <v>28</v>
      </c>
      <c r="P10">
        <v>10</v>
      </c>
      <c r="Q10">
        <v>0.28799999999999998</v>
      </c>
      <c r="R10">
        <v>0.33500000000000002</v>
      </c>
      <c r="S10">
        <v>0.44</v>
      </c>
      <c r="T10">
        <v>0.77500000000000002</v>
      </c>
      <c r="U10">
        <v>13</v>
      </c>
      <c r="V10">
        <v>6</v>
      </c>
      <c r="W10">
        <v>5</v>
      </c>
      <c r="X10">
        <v>261</v>
      </c>
      <c r="Y10">
        <v>3</v>
      </c>
      <c r="Z10">
        <v>16.240500000000001</v>
      </c>
    </row>
    <row r="11" spans="1:38" x14ac:dyDescent="0.2">
      <c r="A11">
        <v>10</v>
      </c>
      <c r="B11" t="s">
        <v>48</v>
      </c>
      <c r="C11" t="s">
        <v>49</v>
      </c>
      <c r="D11" t="s">
        <v>38</v>
      </c>
      <c r="E11">
        <v>144</v>
      </c>
      <c r="F11">
        <v>538</v>
      </c>
      <c r="G11">
        <v>60</v>
      </c>
      <c r="H11">
        <v>129</v>
      </c>
      <c r="I11">
        <v>28</v>
      </c>
      <c r="J11">
        <v>1</v>
      </c>
      <c r="K11">
        <v>12</v>
      </c>
      <c r="L11">
        <v>46</v>
      </c>
      <c r="M11">
        <v>39</v>
      </c>
      <c r="N11">
        <v>138</v>
      </c>
      <c r="O11">
        <v>2</v>
      </c>
      <c r="P11">
        <v>3</v>
      </c>
      <c r="Q11">
        <v>0.24</v>
      </c>
      <c r="R11">
        <v>0.29699999999999999</v>
      </c>
      <c r="S11">
        <v>0.36199999999999999</v>
      </c>
      <c r="T11">
        <v>0.66</v>
      </c>
      <c r="U11">
        <v>8</v>
      </c>
      <c r="V11">
        <v>2</v>
      </c>
      <c r="W11">
        <v>7</v>
      </c>
      <c r="X11">
        <v>195</v>
      </c>
      <c r="Y11">
        <v>1</v>
      </c>
      <c r="Z11">
        <v>34.928879999999999</v>
      </c>
    </row>
    <row r="12" spans="1:38" x14ac:dyDescent="0.2">
      <c r="A12">
        <v>11</v>
      </c>
      <c r="B12" t="s">
        <v>50</v>
      </c>
      <c r="C12" t="s">
        <v>51</v>
      </c>
      <c r="D12" t="s">
        <v>30</v>
      </c>
      <c r="E12">
        <v>156</v>
      </c>
      <c r="F12">
        <v>611</v>
      </c>
      <c r="G12">
        <v>94</v>
      </c>
      <c r="H12">
        <v>200</v>
      </c>
      <c r="I12">
        <v>45</v>
      </c>
      <c r="J12">
        <v>2</v>
      </c>
      <c r="K12">
        <v>20</v>
      </c>
      <c r="L12">
        <v>97</v>
      </c>
      <c r="M12">
        <v>52</v>
      </c>
      <c r="N12">
        <v>56</v>
      </c>
      <c r="O12">
        <v>23</v>
      </c>
      <c r="P12">
        <v>1</v>
      </c>
      <c r="Q12">
        <v>0.32700000000000001</v>
      </c>
      <c r="R12">
        <v>0.38500000000000001</v>
      </c>
      <c r="S12">
        <v>0.50600000000000001</v>
      </c>
      <c r="T12">
        <v>0.89</v>
      </c>
      <c r="U12">
        <v>8</v>
      </c>
      <c r="V12">
        <v>0</v>
      </c>
      <c r="W12">
        <v>5</v>
      </c>
      <c r="X12">
        <v>309</v>
      </c>
      <c r="Y12">
        <v>3</v>
      </c>
      <c r="Z12">
        <v>37.08043</v>
      </c>
    </row>
    <row r="13" spans="1:38" x14ac:dyDescent="0.2">
      <c r="A13">
        <v>12</v>
      </c>
      <c r="B13" t="s">
        <v>52</v>
      </c>
      <c r="C13" t="s">
        <v>53</v>
      </c>
      <c r="D13" t="s">
        <v>41</v>
      </c>
      <c r="E13">
        <v>135</v>
      </c>
      <c r="F13">
        <v>530</v>
      </c>
      <c r="G13">
        <v>68</v>
      </c>
      <c r="H13">
        <v>141</v>
      </c>
      <c r="I13">
        <v>30</v>
      </c>
      <c r="J13">
        <v>6</v>
      </c>
      <c r="K13">
        <v>19</v>
      </c>
      <c r="L13">
        <v>81</v>
      </c>
      <c r="M13">
        <v>41</v>
      </c>
      <c r="N13">
        <v>113</v>
      </c>
      <c r="O13">
        <v>11</v>
      </c>
      <c r="P13">
        <v>5</v>
      </c>
      <c r="Q13">
        <v>0.26600000000000001</v>
      </c>
      <c r="R13">
        <v>0.32400000000000001</v>
      </c>
      <c r="S13">
        <v>0.45300000000000001</v>
      </c>
      <c r="T13">
        <v>0.77700000000000002</v>
      </c>
      <c r="U13">
        <v>6</v>
      </c>
      <c r="V13">
        <v>0</v>
      </c>
      <c r="W13">
        <v>3</v>
      </c>
      <c r="X13">
        <v>240</v>
      </c>
      <c r="Y13">
        <v>1</v>
      </c>
      <c r="Z13">
        <v>22.78697</v>
      </c>
    </row>
    <row r="14" spans="1:38" x14ac:dyDescent="0.2">
      <c r="A14">
        <v>13</v>
      </c>
      <c r="B14" t="s">
        <v>54</v>
      </c>
      <c r="C14" t="s">
        <v>55</v>
      </c>
      <c r="D14" t="s">
        <v>30</v>
      </c>
      <c r="E14">
        <v>144</v>
      </c>
      <c r="F14">
        <v>473</v>
      </c>
      <c r="G14">
        <v>47</v>
      </c>
      <c r="H14">
        <v>111</v>
      </c>
      <c r="I14">
        <v>22</v>
      </c>
      <c r="J14">
        <v>1</v>
      </c>
      <c r="K14">
        <v>10</v>
      </c>
      <c r="L14">
        <v>63</v>
      </c>
      <c r="M14">
        <v>34</v>
      </c>
      <c r="N14">
        <v>91</v>
      </c>
      <c r="O14">
        <v>7</v>
      </c>
      <c r="P14">
        <v>1</v>
      </c>
      <c r="Q14">
        <v>0.23499999999999999</v>
      </c>
      <c r="R14">
        <v>0.28499999999999998</v>
      </c>
      <c r="S14">
        <v>0.34899999999999998</v>
      </c>
      <c r="T14">
        <v>0.63400000000000001</v>
      </c>
      <c r="U14">
        <v>1</v>
      </c>
      <c r="V14">
        <v>0</v>
      </c>
      <c r="W14">
        <v>4</v>
      </c>
      <c r="X14">
        <v>165</v>
      </c>
      <c r="Y14">
        <v>2</v>
      </c>
      <c r="Z14">
        <v>20.926629999999999</v>
      </c>
    </row>
    <row r="15" spans="1:38" x14ac:dyDescent="0.2">
      <c r="A15">
        <v>14</v>
      </c>
      <c r="B15" t="s">
        <v>56</v>
      </c>
      <c r="C15" t="s">
        <v>57</v>
      </c>
      <c r="D15" t="s">
        <v>41</v>
      </c>
      <c r="E15">
        <v>137</v>
      </c>
      <c r="F15">
        <v>493</v>
      </c>
      <c r="G15">
        <v>71</v>
      </c>
      <c r="H15">
        <v>107</v>
      </c>
      <c r="I15">
        <v>21</v>
      </c>
      <c r="J15">
        <v>1</v>
      </c>
      <c r="K15">
        <v>18</v>
      </c>
      <c r="L15">
        <v>66</v>
      </c>
      <c r="M15">
        <v>44</v>
      </c>
      <c r="N15">
        <v>149</v>
      </c>
      <c r="O15">
        <v>12</v>
      </c>
      <c r="P15">
        <v>3</v>
      </c>
      <c r="Q15">
        <v>0.217</v>
      </c>
      <c r="R15">
        <v>0.28100000000000003</v>
      </c>
      <c r="S15">
        <v>0.373</v>
      </c>
      <c r="T15">
        <v>0.65400000000000003</v>
      </c>
      <c r="U15">
        <v>2</v>
      </c>
      <c r="V15">
        <v>1</v>
      </c>
      <c r="W15">
        <v>5</v>
      </c>
      <c r="X15">
        <v>184</v>
      </c>
      <c r="Y15">
        <v>2</v>
      </c>
      <c r="Z15">
        <v>25.6858</v>
      </c>
    </row>
    <row r="16" spans="1:38" x14ac:dyDescent="0.2">
      <c r="A16">
        <v>15</v>
      </c>
      <c r="B16" t="s">
        <v>58</v>
      </c>
      <c r="C16" t="s">
        <v>40</v>
      </c>
      <c r="D16" t="s">
        <v>59</v>
      </c>
      <c r="E16">
        <v>151</v>
      </c>
      <c r="F16">
        <v>549</v>
      </c>
      <c r="G16">
        <v>57</v>
      </c>
      <c r="H16">
        <v>149</v>
      </c>
      <c r="I16">
        <v>32</v>
      </c>
      <c r="J16">
        <v>0</v>
      </c>
      <c r="K16">
        <v>9</v>
      </c>
      <c r="L16">
        <v>66</v>
      </c>
      <c r="M16">
        <v>41</v>
      </c>
      <c r="N16">
        <v>96</v>
      </c>
      <c r="O16">
        <v>0</v>
      </c>
      <c r="P16">
        <v>0</v>
      </c>
      <c r="Q16">
        <v>0.27100000000000002</v>
      </c>
      <c r="R16">
        <v>0.32300000000000001</v>
      </c>
      <c r="S16">
        <v>0.379</v>
      </c>
      <c r="T16">
        <v>0.70199999999999996</v>
      </c>
      <c r="U16">
        <v>5</v>
      </c>
      <c r="V16">
        <v>0</v>
      </c>
      <c r="W16">
        <v>8</v>
      </c>
      <c r="X16">
        <v>208</v>
      </c>
      <c r="Y16">
        <v>1</v>
      </c>
      <c r="Z16">
        <v>17.749389999999998</v>
      </c>
    </row>
    <row r="17" spans="1:26" x14ac:dyDescent="0.2">
      <c r="A17">
        <v>16</v>
      </c>
      <c r="B17" t="s">
        <v>60</v>
      </c>
      <c r="C17" t="s">
        <v>55</v>
      </c>
      <c r="D17" t="s">
        <v>41</v>
      </c>
      <c r="E17">
        <v>154</v>
      </c>
      <c r="F17">
        <v>591</v>
      </c>
      <c r="G17">
        <v>71</v>
      </c>
      <c r="H17">
        <v>156</v>
      </c>
      <c r="I17">
        <v>28</v>
      </c>
      <c r="J17">
        <v>2</v>
      </c>
      <c r="K17">
        <v>25</v>
      </c>
      <c r="L17">
        <v>85</v>
      </c>
      <c r="M17">
        <v>35</v>
      </c>
      <c r="N17">
        <v>185</v>
      </c>
      <c r="O17">
        <v>3</v>
      </c>
      <c r="P17">
        <v>2</v>
      </c>
      <c r="Q17">
        <v>0.26400000000000001</v>
      </c>
      <c r="R17">
        <v>0.312</v>
      </c>
      <c r="S17">
        <v>0.44500000000000001</v>
      </c>
      <c r="T17">
        <v>0.75700000000000001</v>
      </c>
      <c r="U17">
        <v>8</v>
      </c>
      <c r="V17">
        <v>0</v>
      </c>
      <c r="W17">
        <v>3</v>
      </c>
      <c r="X17">
        <v>263</v>
      </c>
      <c r="Y17">
        <v>3</v>
      </c>
      <c r="Z17">
        <v>30.17548</v>
      </c>
    </row>
    <row r="18" spans="1:26" x14ac:dyDescent="0.2">
      <c r="A18">
        <v>17</v>
      </c>
      <c r="B18" t="s">
        <v>61</v>
      </c>
      <c r="C18" t="s">
        <v>62</v>
      </c>
      <c r="D18" t="s">
        <v>35</v>
      </c>
      <c r="E18">
        <v>146</v>
      </c>
      <c r="F18">
        <v>553</v>
      </c>
      <c r="G18">
        <v>74</v>
      </c>
      <c r="H18">
        <v>133</v>
      </c>
      <c r="I18">
        <v>31</v>
      </c>
      <c r="J18">
        <v>4</v>
      </c>
      <c r="K18">
        <v>14</v>
      </c>
      <c r="L18">
        <v>61</v>
      </c>
      <c r="M18">
        <v>49</v>
      </c>
      <c r="N18">
        <v>108</v>
      </c>
      <c r="O18">
        <v>10</v>
      </c>
      <c r="P18">
        <v>2</v>
      </c>
      <c r="Q18">
        <v>0.24099999999999999</v>
      </c>
      <c r="R18">
        <v>0.307</v>
      </c>
      <c r="S18">
        <v>0.38700000000000001</v>
      </c>
      <c r="T18">
        <v>0.69399999999999995</v>
      </c>
      <c r="U18">
        <v>7</v>
      </c>
      <c r="V18">
        <v>1</v>
      </c>
      <c r="W18">
        <v>6</v>
      </c>
      <c r="X18">
        <v>214</v>
      </c>
      <c r="Y18">
        <v>1</v>
      </c>
      <c r="Z18">
        <v>20.721520000000002</v>
      </c>
    </row>
    <row r="19" spans="1:26" x14ac:dyDescent="0.2">
      <c r="A19">
        <v>18</v>
      </c>
      <c r="B19" t="s">
        <v>63</v>
      </c>
      <c r="C19" t="s">
        <v>64</v>
      </c>
      <c r="D19" t="s">
        <v>27</v>
      </c>
      <c r="E19">
        <v>159</v>
      </c>
      <c r="F19">
        <v>611</v>
      </c>
      <c r="G19">
        <v>101</v>
      </c>
      <c r="H19">
        <v>191</v>
      </c>
      <c r="I19">
        <v>52</v>
      </c>
      <c r="J19">
        <v>1</v>
      </c>
      <c r="K19">
        <v>25</v>
      </c>
      <c r="L19">
        <v>109</v>
      </c>
      <c r="M19">
        <v>60</v>
      </c>
      <c r="N19">
        <v>117</v>
      </c>
      <c r="O19">
        <v>1</v>
      </c>
      <c r="P19">
        <v>1</v>
      </c>
      <c r="Q19">
        <v>0.313</v>
      </c>
      <c r="R19">
        <v>0.371</v>
      </c>
      <c r="S19">
        <v>0.52400000000000002</v>
      </c>
      <c r="T19">
        <v>0.89500000000000002</v>
      </c>
      <c r="U19">
        <v>3</v>
      </c>
      <c r="V19">
        <v>0</v>
      </c>
      <c r="W19">
        <v>11</v>
      </c>
      <c r="X19">
        <v>320</v>
      </c>
      <c r="Y19">
        <v>3</v>
      </c>
      <c r="Z19">
        <v>42.954129999999999</v>
      </c>
    </row>
    <row r="20" spans="1:26" x14ac:dyDescent="0.2">
      <c r="A20">
        <v>19</v>
      </c>
      <c r="B20" t="s">
        <v>63</v>
      </c>
      <c r="C20" t="s">
        <v>43</v>
      </c>
      <c r="D20" t="s">
        <v>30</v>
      </c>
      <c r="E20">
        <v>139</v>
      </c>
      <c r="F20">
        <v>568</v>
      </c>
      <c r="G20">
        <v>81</v>
      </c>
      <c r="H20">
        <v>171</v>
      </c>
      <c r="I20">
        <v>35</v>
      </c>
      <c r="J20">
        <v>3</v>
      </c>
      <c r="K20">
        <v>16</v>
      </c>
      <c r="L20">
        <v>73</v>
      </c>
      <c r="M20">
        <v>43</v>
      </c>
      <c r="N20">
        <v>67</v>
      </c>
      <c r="O20">
        <v>6</v>
      </c>
      <c r="P20">
        <v>2</v>
      </c>
      <c r="Q20">
        <v>0.30099999999999999</v>
      </c>
      <c r="R20">
        <v>0.35099999999999998</v>
      </c>
      <c r="S20">
        <v>0.45800000000000002</v>
      </c>
      <c r="T20">
        <v>0.80800000000000005</v>
      </c>
      <c r="U20">
        <v>3</v>
      </c>
      <c r="V20">
        <v>2</v>
      </c>
      <c r="W20">
        <v>5</v>
      </c>
      <c r="X20">
        <v>260</v>
      </c>
      <c r="Y20">
        <v>1</v>
      </c>
      <c r="Z20">
        <v>34.624699999999997</v>
      </c>
    </row>
    <row r="21" spans="1:26" x14ac:dyDescent="0.2">
      <c r="A21">
        <v>20</v>
      </c>
      <c r="B21" t="s">
        <v>65</v>
      </c>
      <c r="C21" t="s">
        <v>40</v>
      </c>
      <c r="D21" t="s">
        <v>66</v>
      </c>
      <c r="E21">
        <v>133</v>
      </c>
      <c r="F21">
        <v>471</v>
      </c>
      <c r="G21">
        <v>55</v>
      </c>
      <c r="H21">
        <v>142</v>
      </c>
      <c r="I21">
        <v>29</v>
      </c>
      <c r="J21">
        <v>4</v>
      </c>
      <c r="K21">
        <v>5</v>
      </c>
      <c r="L21">
        <v>53</v>
      </c>
      <c r="M21">
        <v>24</v>
      </c>
      <c r="N21">
        <v>108</v>
      </c>
      <c r="O21">
        <v>28</v>
      </c>
      <c r="P21">
        <v>5</v>
      </c>
      <c r="Q21">
        <v>0.30099999999999999</v>
      </c>
      <c r="R21">
        <v>0.33900000000000002</v>
      </c>
      <c r="S21">
        <v>0.41199999999999998</v>
      </c>
      <c r="T21">
        <v>0.751</v>
      </c>
      <c r="U21">
        <v>4</v>
      </c>
      <c r="V21">
        <v>0</v>
      </c>
      <c r="W21">
        <v>3</v>
      </c>
      <c r="X21">
        <v>194</v>
      </c>
      <c r="Y21">
        <v>2</v>
      </c>
      <c r="Z21">
        <v>24.00562</v>
      </c>
    </row>
    <row r="22" spans="1:26" x14ac:dyDescent="0.2">
      <c r="A22">
        <v>21</v>
      </c>
      <c r="B22" t="s">
        <v>67</v>
      </c>
      <c r="C22" t="s">
        <v>68</v>
      </c>
      <c r="D22" t="s">
        <v>41</v>
      </c>
      <c r="E22">
        <v>127</v>
      </c>
      <c r="F22">
        <v>493</v>
      </c>
      <c r="G22">
        <v>90</v>
      </c>
      <c r="H22">
        <v>134</v>
      </c>
      <c r="I22">
        <v>31</v>
      </c>
      <c r="J22">
        <v>3</v>
      </c>
      <c r="K22">
        <v>17</v>
      </c>
      <c r="L22">
        <v>58</v>
      </c>
      <c r="M22">
        <v>38</v>
      </c>
      <c r="N22">
        <v>104</v>
      </c>
      <c r="O22">
        <v>5</v>
      </c>
      <c r="P22">
        <v>3</v>
      </c>
      <c r="Q22">
        <v>0.27200000000000002</v>
      </c>
      <c r="R22">
        <v>0.32500000000000001</v>
      </c>
      <c r="S22">
        <v>0.45</v>
      </c>
      <c r="T22">
        <v>0.77600000000000002</v>
      </c>
      <c r="U22">
        <v>2</v>
      </c>
      <c r="V22">
        <v>2</v>
      </c>
      <c r="W22">
        <v>2</v>
      </c>
      <c r="X22">
        <v>222</v>
      </c>
      <c r="Y22">
        <v>2</v>
      </c>
      <c r="Z22">
        <v>37.151440000000001</v>
      </c>
    </row>
    <row r="23" spans="1:26" x14ac:dyDescent="0.2">
      <c r="A23">
        <v>22</v>
      </c>
      <c r="B23" t="s">
        <v>69</v>
      </c>
      <c r="C23" t="s">
        <v>29</v>
      </c>
      <c r="D23" t="s">
        <v>35</v>
      </c>
      <c r="E23">
        <v>157</v>
      </c>
      <c r="F23">
        <v>595</v>
      </c>
      <c r="G23">
        <v>77</v>
      </c>
      <c r="H23">
        <v>187</v>
      </c>
      <c r="I23">
        <v>37</v>
      </c>
      <c r="J23">
        <v>2</v>
      </c>
      <c r="K23">
        <v>14</v>
      </c>
      <c r="L23">
        <v>82</v>
      </c>
      <c r="M23">
        <v>61</v>
      </c>
      <c r="N23">
        <v>68</v>
      </c>
      <c r="O23">
        <v>10</v>
      </c>
      <c r="P23">
        <v>3</v>
      </c>
      <c r="Q23">
        <v>0.314</v>
      </c>
      <c r="R23">
        <v>0.38200000000000001</v>
      </c>
      <c r="S23">
        <v>0.45400000000000001</v>
      </c>
      <c r="T23">
        <v>0.83599999999999997</v>
      </c>
      <c r="U23">
        <v>6</v>
      </c>
      <c r="V23">
        <v>0</v>
      </c>
      <c r="W23">
        <v>3</v>
      </c>
      <c r="X23">
        <v>270</v>
      </c>
      <c r="Y23">
        <v>3</v>
      </c>
      <c r="Z23">
        <v>23.30761</v>
      </c>
    </row>
    <row r="24" spans="1:26" x14ac:dyDescent="0.2">
      <c r="A24">
        <v>23</v>
      </c>
      <c r="B24" t="s">
        <v>70</v>
      </c>
      <c r="C24" t="s">
        <v>32</v>
      </c>
      <c r="D24" t="s">
        <v>45</v>
      </c>
      <c r="E24">
        <v>158</v>
      </c>
      <c r="F24">
        <v>595</v>
      </c>
      <c r="G24">
        <v>99</v>
      </c>
      <c r="H24">
        <v>162</v>
      </c>
      <c r="I24">
        <v>33</v>
      </c>
      <c r="J24">
        <v>2</v>
      </c>
      <c r="K24">
        <v>8</v>
      </c>
      <c r="L24">
        <v>59</v>
      </c>
      <c r="M24">
        <v>95</v>
      </c>
      <c r="N24">
        <v>111</v>
      </c>
      <c r="O24">
        <v>5</v>
      </c>
      <c r="P24">
        <v>3</v>
      </c>
      <c r="Q24">
        <v>0.27200000000000002</v>
      </c>
      <c r="R24">
        <v>0.375</v>
      </c>
      <c r="S24">
        <v>0.375</v>
      </c>
      <c r="T24">
        <v>0.75</v>
      </c>
      <c r="U24">
        <v>8</v>
      </c>
      <c r="V24">
        <v>2</v>
      </c>
      <c r="W24">
        <v>9</v>
      </c>
      <c r="X24">
        <v>223</v>
      </c>
      <c r="Y24">
        <v>3</v>
      </c>
      <c r="Z24">
        <v>28.255839999999999</v>
      </c>
    </row>
    <row r="25" spans="1:26" x14ac:dyDescent="0.2">
      <c r="A25">
        <v>24</v>
      </c>
      <c r="B25" t="s">
        <v>71</v>
      </c>
      <c r="C25" t="s">
        <v>34</v>
      </c>
      <c r="D25" t="s">
        <v>59</v>
      </c>
      <c r="E25">
        <v>145</v>
      </c>
      <c r="F25">
        <v>507</v>
      </c>
      <c r="G25">
        <v>68</v>
      </c>
      <c r="H25">
        <v>115</v>
      </c>
      <c r="I25">
        <v>21</v>
      </c>
      <c r="J25">
        <v>1</v>
      </c>
      <c r="K25">
        <v>37</v>
      </c>
      <c r="L25">
        <v>88</v>
      </c>
      <c r="M25">
        <v>56</v>
      </c>
      <c r="N25">
        <v>182</v>
      </c>
      <c r="O25">
        <v>5</v>
      </c>
      <c r="P25">
        <v>2</v>
      </c>
      <c r="Q25">
        <v>0.22700000000000001</v>
      </c>
      <c r="R25">
        <v>0.308</v>
      </c>
      <c r="S25">
        <v>0.49099999999999999</v>
      </c>
      <c r="T25">
        <v>0.79900000000000004</v>
      </c>
      <c r="U25">
        <v>5</v>
      </c>
      <c r="V25">
        <v>0</v>
      </c>
      <c r="W25">
        <v>4</v>
      </c>
      <c r="X25">
        <v>249</v>
      </c>
      <c r="Y25">
        <v>2</v>
      </c>
      <c r="Z25">
        <v>50.015630000000002</v>
      </c>
    </row>
    <row r="26" spans="1:26" x14ac:dyDescent="0.2">
      <c r="A26">
        <v>25</v>
      </c>
      <c r="B26" t="s">
        <v>72</v>
      </c>
      <c r="C26" t="s">
        <v>64</v>
      </c>
      <c r="D26" t="s">
        <v>45</v>
      </c>
      <c r="E26">
        <v>148</v>
      </c>
      <c r="F26">
        <v>533</v>
      </c>
      <c r="G26">
        <v>50</v>
      </c>
      <c r="H26">
        <v>138</v>
      </c>
      <c r="I26">
        <v>31</v>
      </c>
      <c r="J26">
        <v>4</v>
      </c>
      <c r="K26">
        <v>11</v>
      </c>
      <c r="L26">
        <v>66</v>
      </c>
      <c r="M26">
        <v>36</v>
      </c>
      <c r="N26">
        <v>140</v>
      </c>
      <c r="O26">
        <v>2</v>
      </c>
      <c r="P26">
        <v>2</v>
      </c>
      <c r="Q26">
        <v>0.25900000000000001</v>
      </c>
      <c r="R26">
        <v>0.30599999999999999</v>
      </c>
      <c r="S26">
        <v>0.39400000000000002</v>
      </c>
      <c r="T26">
        <v>0.7</v>
      </c>
      <c r="U26">
        <v>3</v>
      </c>
      <c r="V26">
        <v>0</v>
      </c>
      <c r="W26">
        <v>7</v>
      </c>
      <c r="X26">
        <v>210</v>
      </c>
      <c r="Y26">
        <v>1</v>
      </c>
      <c r="Z26">
        <v>27.344809999999999</v>
      </c>
    </row>
    <row r="27" spans="1:26" x14ac:dyDescent="0.2">
      <c r="A27">
        <v>26</v>
      </c>
      <c r="B27" t="s">
        <v>73</v>
      </c>
      <c r="C27" t="s">
        <v>34</v>
      </c>
      <c r="D27" t="s">
        <v>74</v>
      </c>
      <c r="E27">
        <v>126</v>
      </c>
      <c r="F27">
        <v>465</v>
      </c>
      <c r="G27">
        <v>43</v>
      </c>
      <c r="H27">
        <v>103</v>
      </c>
      <c r="I27">
        <v>21</v>
      </c>
      <c r="J27">
        <v>2</v>
      </c>
      <c r="K27">
        <v>14</v>
      </c>
      <c r="L27">
        <v>56</v>
      </c>
      <c r="M27">
        <v>34</v>
      </c>
      <c r="N27">
        <v>151</v>
      </c>
      <c r="O27">
        <v>1</v>
      </c>
      <c r="P27">
        <v>0</v>
      </c>
      <c r="Q27">
        <v>0.222</v>
      </c>
      <c r="R27">
        <v>0.28599999999999998</v>
      </c>
      <c r="S27">
        <v>0.36599999999999999</v>
      </c>
      <c r="T27">
        <v>0.65100000000000002</v>
      </c>
      <c r="U27">
        <v>9</v>
      </c>
      <c r="V27">
        <v>1</v>
      </c>
      <c r="W27">
        <v>3</v>
      </c>
      <c r="X27">
        <v>170</v>
      </c>
      <c r="Y27">
        <v>2</v>
      </c>
      <c r="Z27">
        <v>30.679130000000001</v>
      </c>
    </row>
    <row r="28" spans="1:26" x14ac:dyDescent="0.2">
      <c r="A28">
        <v>27</v>
      </c>
      <c r="B28" t="s">
        <v>75</v>
      </c>
      <c r="C28" t="s">
        <v>76</v>
      </c>
      <c r="D28" t="s">
        <v>38</v>
      </c>
      <c r="E28">
        <v>134</v>
      </c>
      <c r="F28">
        <v>528</v>
      </c>
      <c r="G28">
        <v>58</v>
      </c>
      <c r="H28">
        <v>154</v>
      </c>
      <c r="I28">
        <v>33</v>
      </c>
      <c r="J28">
        <v>1</v>
      </c>
      <c r="K28">
        <v>14</v>
      </c>
      <c r="L28">
        <v>65</v>
      </c>
      <c r="M28">
        <v>35</v>
      </c>
      <c r="N28">
        <v>100</v>
      </c>
      <c r="O28">
        <v>4</v>
      </c>
      <c r="P28">
        <v>4</v>
      </c>
      <c r="Q28">
        <v>0.29199999999999998</v>
      </c>
      <c r="R28">
        <v>0.33900000000000002</v>
      </c>
      <c r="S28">
        <v>0.438</v>
      </c>
      <c r="T28">
        <v>0.77700000000000002</v>
      </c>
      <c r="U28">
        <v>4</v>
      </c>
      <c r="V28">
        <v>0</v>
      </c>
      <c r="W28">
        <v>2</v>
      </c>
      <c r="X28">
        <v>231</v>
      </c>
      <c r="Y28">
        <v>1</v>
      </c>
      <c r="Z28">
        <v>26.372160000000001</v>
      </c>
    </row>
    <row r="29" spans="1:26" x14ac:dyDescent="0.2">
      <c r="A29">
        <v>28</v>
      </c>
      <c r="B29" t="s">
        <v>77</v>
      </c>
      <c r="C29" t="s">
        <v>49</v>
      </c>
      <c r="D29" t="s">
        <v>30</v>
      </c>
      <c r="E29">
        <v>152</v>
      </c>
      <c r="F29">
        <v>600</v>
      </c>
      <c r="G29">
        <v>89</v>
      </c>
      <c r="H29">
        <v>156</v>
      </c>
      <c r="I29">
        <v>36</v>
      </c>
      <c r="J29">
        <v>6</v>
      </c>
      <c r="K29">
        <v>22</v>
      </c>
      <c r="L29">
        <v>100</v>
      </c>
      <c r="M29">
        <v>35</v>
      </c>
      <c r="N29">
        <v>128</v>
      </c>
      <c r="O29">
        <v>7</v>
      </c>
      <c r="P29">
        <v>2</v>
      </c>
      <c r="Q29">
        <v>0.26</v>
      </c>
      <c r="R29">
        <v>0.30099999999999999</v>
      </c>
      <c r="S29">
        <v>0.45</v>
      </c>
      <c r="T29">
        <v>0.751</v>
      </c>
      <c r="U29">
        <v>3</v>
      </c>
      <c r="V29">
        <v>0</v>
      </c>
      <c r="W29">
        <v>7</v>
      </c>
      <c r="X29">
        <v>270</v>
      </c>
      <c r="Y29">
        <v>3</v>
      </c>
      <c r="Z29">
        <v>31.107990000000001</v>
      </c>
    </row>
    <row r="30" spans="1:26" x14ac:dyDescent="0.2">
      <c r="A30">
        <v>29</v>
      </c>
      <c r="B30" t="s">
        <v>78</v>
      </c>
      <c r="C30" t="s">
        <v>51</v>
      </c>
      <c r="D30" t="s">
        <v>45</v>
      </c>
      <c r="E30">
        <v>142</v>
      </c>
      <c r="F30">
        <v>478</v>
      </c>
      <c r="G30">
        <v>62</v>
      </c>
      <c r="H30">
        <v>134</v>
      </c>
      <c r="I30">
        <v>29</v>
      </c>
      <c r="J30">
        <v>1</v>
      </c>
      <c r="K30">
        <v>13</v>
      </c>
      <c r="L30">
        <v>59</v>
      </c>
      <c r="M30">
        <v>39</v>
      </c>
      <c r="N30">
        <v>99</v>
      </c>
      <c r="O30">
        <v>3</v>
      </c>
      <c r="P30">
        <v>1</v>
      </c>
      <c r="Q30">
        <v>0.28000000000000003</v>
      </c>
      <c r="R30">
        <v>0.34300000000000003</v>
      </c>
      <c r="S30">
        <v>0.42699999999999999</v>
      </c>
      <c r="T30">
        <v>0.77</v>
      </c>
      <c r="U30">
        <v>8</v>
      </c>
      <c r="V30">
        <v>4</v>
      </c>
      <c r="W30">
        <v>3</v>
      </c>
      <c r="X30">
        <v>204</v>
      </c>
      <c r="Y30">
        <v>2</v>
      </c>
      <c r="Z30">
        <v>14.51121</v>
      </c>
    </row>
    <row r="31" spans="1:26" x14ac:dyDescent="0.2">
      <c r="A31">
        <v>30</v>
      </c>
      <c r="B31" t="s">
        <v>79</v>
      </c>
      <c r="C31" t="s">
        <v>37</v>
      </c>
      <c r="D31" t="s">
        <v>30</v>
      </c>
      <c r="E31">
        <v>123</v>
      </c>
      <c r="F31">
        <v>455</v>
      </c>
      <c r="G31">
        <v>58</v>
      </c>
      <c r="H31">
        <v>110</v>
      </c>
      <c r="I31">
        <v>19</v>
      </c>
      <c r="J31">
        <v>1</v>
      </c>
      <c r="K31">
        <v>13</v>
      </c>
      <c r="L31">
        <v>40</v>
      </c>
      <c r="M31">
        <v>58</v>
      </c>
      <c r="N31">
        <v>131</v>
      </c>
      <c r="O31">
        <v>3</v>
      </c>
      <c r="P31">
        <v>4</v>
      </c>
      <c r="Q31">
        <v>0.24199999999999999</v>
      </c>
      <c r="R31">
        <v>0.34</v>
      </c>
      <c r="S31">
        <v>0.374</v>
      </c>
      <c r="T31">
        <v>0.71399999999999997</v>
      </c>
      <c r="U31">
        <v>12</v>
      </c>
      <c r="V31">
        <v>0</v>
      </c>
      <c r="W31">
        <v>4</v>
      </c>
      <c r="X31">
        <v>170</v>
      </c>
      <c r="Y31">
        <v>2</v>
      </c>
      <c r="Z31">
        <v>35.221490000000003</v>
      </c>
    </row>
    <row r="32" spans="1:26" x14ac:dyDescent="0.2">
      <c r="A32">
        <v>31</v>
      </c>
      <c r="B32" t="s">
        <v>80</v>
      </c>
      <c r="C32" t="s">
        <v>57</v>
      </c>
      <c r="D32" t="s">
        <v>38</v>
      </c>
      <c r="E32">
        <v>147</v>
      </c>
      <c r="F32">
        <v>506</v>
      </c>
      <c r="G32">
        <v>48</v>
      </c>
      <c r="H32">
        <v>112</v>
      </c>
      <c r="I32">
        <v>18</v>
      </c>
      <c r="J32">
        <v>5</v>
      </c>
      <c r="K32">
        <v>4</v>
      </c>
      <c r="L32">
        <v>38</v>
      </c>
      <c r="M32">
        <v>25</v>
      </c>
      <c r="N32">
        <v>79</v>
      </c>
      <c r="O32">
        <v>7</v>
      </c>
      <c r="P32">
        <v>0</v>
      </c>
      <c r="Q32">
        <v>0.221</v>
      </c>
      <c r="R32">
        <v>0.26800000000000002</v>
      </c>
      <c r="S32">
        <v>0.3</v>
      </c>
      <c r="T32">
        <v>0.56799999999999995</v>
      </c>
      <c r="U32">
        <v>7</v>
      </c>
      <c r="V32">
        <v>5</v>
      </c>
      <c r="W32">
        <v>0</v>
      </c>
      <c r="X32">
        <v>152</v>
      </c>
      <c r="Y32">
        <v>2</v>
      </c>
      <c r="Z32">
        <v>37.528149999999997</v>
      </c>
    </row>
    <row r="33" spans="1:26" x14ac:dyDescent="0.2">
      <c r="A33">
        <v>32</v>
      </c>
      <c r="B33" t="s">
        <v>81</v>
      </c>
      <c r="C33" t="s">
        <v>49</v>
      </c>
      <c r="D33" t="s">
        <v>41</v>
      </c>
      <c r="E33">
        <v>126</v>
      </c>
      <c r="F33">
        <v>461</v>
      </c>
      <c r="G33">
        <v>41</v>
      </c>
      <c r="H33">
        <v>99</v>
      </c>
      <c r="I33">
        <v>20</v>
      </c>
      <c r="J33">
        <v>1</v>
      </c>
      <c r="K33">
        <v>8</v>
      </c>
      <c r="L33">
        <v>46</v>
      </c>
      <c r="M33">
        <v>35</v>
      </c>
      <c r="N33">
        <v>113</v>
      </c>
      <c r="O33">
        <v>2</v>
      </c>
      <c r="P33">
        <v>1</v>
      </c>
      <c r="Q33">
        <v>0.215</v>
      </c>
      <c r="R33">
        <v>0.27900000000000003</v>
      </c>
      <c r="S33">
        <v>0.315</v>
      </c>
      <c r="T33">
        <v>0.59399999999999997</v>
      </c>
      <c r="U33">
        <v>7</v>
      </c>
      <c r="V33">
        <v>0</v>
      </c>
      <c r="W33">
        <v>2</v>
      </c>
      <c r="X33">
        <v>145</v>
      </c>
      <c r="Y33">
        <v>2</v>
      </c>
      <c r="Z33">
        <v>38.098570000000002</v>
      </c>
    </row>
    <row r="34" spans="1:26" x14ac:dyDescent="0.2">
      <c r="A34">
        <v>33</v>
      </c>
      <c r="B34" t="s">
        <v>82</v>
      </c>
      <c r="C34" t="s">
        <v>22</v>
      </c>
      <c r="D34" t="s">
        <v>38</v>
      </c>
      <c r="E34">
        <v>153</v>
      </c>
      <c r="F34">
        <v>491</v>
      </c>
      <c r="G34">
        <v>54</v>
      </c>
      <c r="H34">
        <v>121</v>
      </c>
      <c r="I34">
        <v>20</v>
      </c>
      <c r="J34">
        <v>10</v>
      </c>
      <c r="K34">
        <v>10</v>
      </c>
      <c r="L34">
        <v>69</v>
      </c>
      <c r="M34">
        <v>59</v>
      </c>
      <c r="N34">
        <v>129</v>
      </c>
      <c r="O34">
        <v>5</v>
      </c>
      <c r="P34">
        <v>3</v>
      </c>
      <c r="Q34">
        <v>0.246</v>
      </c>
      <c r="R34">
        <v>0.32400000000000001</v>
      </c>
      <c r="S34">
        <v>0.38900000000000001</v>
      </c>
      <c r="T34">
        <v>0.71299999999999997</v>
      </c>
      <c r="U34">
        <v>2</v>
      </c>
      <c r="V34">
        <v>2</v>
      </c>
      <c r="W34">
        <v>10</v>
      </c>
      <c r="X34">
        <v>191</v>
      </c>
      <c r="Y34">
        <v>2</v>
      </c>
      <c r="Z34">
        <v>24.468260000000001</v>
      </c>
    </row>
    <row r="35" spans="1:26" x14ac:dyDescent="0.2">
      <c r="A35">
        <v>34</v>
      </c>
      <c r="B35" t="s">
        <v>83</v>
      </c>
      <c r="C35" t="s">
        <v>84</v>
      </c>
      <c r="D35" t="s">
        <v>30</v>
      </c>
      <c r="E35">
        <v>126</v>
      </c>
      <c r="F35">
        <v>463</v>
      </c>
      <c r="G35">
        <v>68</v>
      </c>
      <c r="H35">
        <v>114</v>
      </c>
      <c r="I35">
        <v>21</v>
      </c>
      <c r="J35">
        <v>3</v>
      </c>
      <c r="K35">
        <v>9</v>
      </c>
      <c r="L35">
        <v>47</v>
      </c>
      <c r="M35">
        <v>66</v>
      </c>
      <c r="N35">
        <v>66</v>
      </c>
      <c r="O35">
        <v>19</v>
      </c>
      <c r="P35">
        <v>5</v>
      </c>
      <c r="Q35">
        <v>0.246</v>
      </c>
      <c r="R35">
        <v>0.33600000000000002</v>
      </c>
      <c r="S35">
        <v>0.36299999999999999</v>
      </c>
      <c r="T35">
        <v>0.69899999999999995</v>
      </c>
      <c r="U35">
        <v>0</v>
      </c>
      <c r="V35">
        <v>1</v>
      </c>
      <c r="W35">
        <v>6</v>
      </c>
      <c r="X35">
        <v>168</v>
      </c>
      <c r="Y35">
        <v>2</v>
      </c>
      <c r="Z35">
        <v>25.863510000000002</v>
      </c>
    </row>
    <row r="36" spans="1:26" x14ac:dyDescent="0.2">
      <c r="A36">
        <v>35</v>
      </c>
      <c r="B36" t="s">
        <v>85</v>
      </c>
      <c r="C36" t="s">
        <v>86</v>
      </c>
      <c r="D36" t="s">
        <v>30</v>
      </c>
      <c r="E36">
        <v>159</v>
      </c>
      <c r="F36">
        <v>613</v>
      </c>
      <c r="G36">
        <v>87</v>
      </c>
      <c r="H36">
        <v>166</v>
      </c>
      <c r="I36">
        <v>32</v>
      </c>
      <c r="J36">
        <v>2</v>
      </c>
      <c r="K36">
        <v>40</v>
      </c>
      <c r="L36">
        <v>108</v>
      </c>
      <c r="M36">
        <v>55</v>
      </c>
      <c r="N36">
        <v>140</v>
      </c>
      <c r="O36">
        <v>4</v>
      </c>
      <c r="P36">
        <v>5</v>
      </c>
      <c r="Q36">
        <v>0.27100000000000002</v>
      </c>
      <c r="R36">
        <v>0.33300000000000002</v>
      </c>
      <c r="S36">
        <v>0.52500000000000002</v>
      </c>
      <c r="T36">
        <v>0.85899999999999999</v>
      </c>
      <c r="U36">
        <v>5</v>
      </c>
      <c r="V36">
        <v>0</v>
      </c>
      <c r="W36">
        <v>5</v>
      </c>
      <c r="X36">
        <v>322</v>
      </c>
      <c r="Y36">
        <v>3</v>
      </c>
      <c r="Z36">
        <v>40.946210000000001</v>
      </c>
    </row>
    <row r="37" spans="1:26" x14ac:dyDescent="0.2">
      <c r="A37">
        <v>36</v>
      </c>
      <c r="B37" t="s">
        <v>87</v>
      </c>
      <c r="C37" t="s">
        <v>53</v>
      </c>
      <c r="D37" t="s">
        <v>30</v>
      </c>
      <c r="E37">
        <v>144</v>
      </c>
      <c r="F37">
        <v>501</v>
      </c>
      <c r="G37">
        <v>70</v>
      </c>
      <c r="H37">
        <v>122</v>
      </c>
      <c r="I37">
        <v>37</v>
      </c>
      <c r="J37">
        <v>2</v>
      </c>
      <c r="K37">
        <v>22</v>
      </c>
      <c r="L37">
        <v>69</v>
      </c>
      <c r="M37">
        <v>32</v>
      </c>
      <c r="N37">
        <v>122</v>
      </c>
      <c r="O37">
        <v>4</v>
      </c>
      <c r="P37">
        <v>1</v>
      </c>
      <c r="Q37">
        <v>0.24399999999999999</v>
      </c>
      <c r="R37">
        <v>0.29899999999999999</v>
      </c>
      <c r="S37">
        <v>0.45700000000000002</v>
      </c>
      <c r="T37">
        <v>0.75600000000000001</v>
      </c>
      <c r="U37">
        <v>10</v>
      </c>
      <c r="V37">
        <v>0</v>
      </c>
      <c r="W37">
        <v>6</v>
      </c>
      <c r="X37">
        <v>229</v>
      </c>
      <c r="Y37">
        <v>2</v>
      </c>
      <c r="Z37">
        <v>29.33352</v>
      </c>
    </row>
    <row r="38" spans="1:26" x14ac:dyDescent="0.2">
      <c r="A38">
        <v>37</v>
      </c>
      <c r="B38" t="s">
        <v>88</v>
      </c>
      <c r="C38" t="s">
        <v>86</v>
      </c>
      <c r="D38" t="s">
        <v>30</v>
      </c>
      <c r="E38">
        <v>142</v>
      </c>
      <c r="F38">
        <v>477</v>
      </c>
      <c r="G38">
        <v>56</v>
      </c>
      <c r="H38">
        <v>120</v>
      </c>
      <c r="I38">
        <v>24</v>
      </c>
      <c r="J38">
        <v>8</v>
      </c>
      <c r="K38">
        <v>8</v>
      </c>
      <c r="L38">
        <v>41</v>
      </c>
      <c r="M38">
        <v>39</v>
      </c>
      <c r="N38">
        <v>119</v>
      </c>
      <c r="O38">
        <v>17</v>
      </c>
      <c r="P38">
        <v>10</v>
      </c>
      <c r="Q38">
        <v>0.252</v>
      </c>
      <c r="R38">
        <v>0.314</v>
      </c>
      <c r="S38">
        <v>0.38600000000000001</v>
      </c>
      <c r="T38">
        <v>0.7</v>
      </c>
      <c r="U38">
        <v>6</v>
      </c>
      <c r="V38">
        <v>3</v>
      </c>
      <c r="W38">
        <v>3</v>
      </c>
      <c r="X38">
        <v>184</v>
      </c>
      <c r="Y38">
        <v>2</v>
      </c>
      <c r="Z38">
        <v>18.327010000000001</v>
      </c>
    </row>
    <row r="39" spans="1:26" x14ac:dyDescent="0.2">
      <c r="A39">
        <v>38</v>
      </c>
      <c r="B39" t="s">
        <v>89</v>
      </c>
      <c r="C39" t="s">
        <v>62</v>
      </c>
      <c r="D39" t="s">
        <v>38</v>
      </c>
      <c r="E39">
        <v>154</v>
      </c>
      <c r="F39">
        <v>593</v>
      </c>
      <c r="G39">
        <v>73</v>
      </c>
      <c r="H39">
        <v>151</v>
      </c>
      <c r="I39">
        <v>26</v>
      </c>
      <c r="J39">
        <v>3</v>
      </c>
      <c r="K39">
        <v>24</v>
      </c>
      <c r="L39">
        <v>91</v>
      </c>
      <c r="M39">
        <v>46</v>
      </c>
      <c r="N39">
        <v>183</v>
      </c>
      <c r="O39">
        <v>24</v>
      </c>
      <c r="P39">
        <v>5</v>
      </c>
      <c r="Q39">
        <v>0.255</v>
      </c>
      <c r="R39">
        <v>0.313</v>
      </c>
      <c r="S39">
        <v>0.43</v>
      </c>
      <c r="T39">
        <v>0.74299999999999999</v>
      </c>
      <c r="U39">
        <v>6</v>
      </c>
      <c r="V39">
        <v>0</v>
      </c>
      <c r="W39">
        <v>3</v>
      </c>
      <c r="X39">
        <v>255</v>
      </c>
      <c r="Y39">
        <v>3</v>
      </c>
      <c r="Z39">
        <v>33.280389999999997</v>
      </c>
    </row>
    <row r="40" spans="1:26" x14ac:dyDescent="0.2">
      <c r="A40">
        <v>39</v>
      </c>
      <c r="B40" t="s">
        <v>90</v>
      </c>
      <c r="C40" t="s">
        <v>34</v>
      </c>
      <c r="D40" t="s">
        <v>45</v>
      </c>
      <c r="E40">
        <v>157</v>
      </c>
      <c r="F40">
        <v>564</v>
      </c>
      <c r="G40">
        <v>51</v>
      </c>
      <c r="H40">
        <v>121</v>
      </c>
      <c r="I40">
        <v>17</v>
      </c>
      <c r="J40">
        <v>0</v>
      </c>
      <c r="K40">
        <v>16</v>
      </c>
      <c r="L40">
        <v>57</v>
      </c>
      <c r="M40">
        <v>29</v>
      </c>
      <c r="N40">
        <v>125</v>
      </c>
      <c r="O40">
        <v>0</v>
      </c>
      <c r="P40">
        <v>1</v>
      </c>
      <c r="Q40">
        <v>0.215</v>
      </c>
      <c r="R40">
        <v>0.25600000000000001</v>
      </c>
      <c r="S40">
        <v>0.33</v>
      </c>
      <c r="T40">
        <v>0.58599999999999997</v>
      </c>
      <c r="U40">
        <v>5</v>
      </c>
      <c r="V40">
        <v>2</v>
      </c>
      <c r="W40">
        <v>7</v>
      </c>
      <c r="X40">
        <v>186</v>
      </c>
      <c r="Y40">
        <v>1</v>
      </c>
      <c r="Z40">
        <v>42.206389999999999</v>
      </c>
    </row>
    <row r="41" spans="1:26" x14ac:dyDescent="0.2">
      <c r="A41">
        <v>40</v>
      </c>
      <c r="B41" t="s">
        <v>91</v>
      </c>
      <c r="C41" t="s">
        <v>84</v>
      </c>
      <c r="D41" t="s">
        <v>45</v>
      </c>
      <c r="E41">
        <v>158</v>
      </c>
      <c r="F41">
        <v>608</v>
      </c>
      <c r="G41">
        <v>93</v>
      </c>
      <c r="H41">
        <v>155</v>
      </c>
      <c r="I41">
        <v>31</v>
      </c>
      <c r="J41">
        <v>2</v>
      </c>
      <c r="K41">
        <v>29</v>
      </c>
      <c r="L41">
        <v>98</v>
      </c>
      <c r="M41">
        <v>76</v>
      </c>
      <c r="N41">
        <v>130</v>
      </c>
      <c r="O41">
        <v>8</v>
      </c>
      <c r="P41">
        <v>0</v>
      </c>
      <c r="Q41">
        <v>0.255</v>
      </c>
      <c r="R41">
        <v>0.34200000000000003</v>
      </c>
      <c r="S41">
        <v>0.45600000000000002</v>
      </c>
      <c r="T41">
        <v>0.79800000000000004</v>
      </c>
      <c r="U41">
        <v>7</v>
      </c>
      <c r="V41">
        <v>0</v>
      </c>
      <c r="W41">
        <v>4</v>
      </c>
      <c r="X41">
        <v>277</v>
      </c>
      <c r="Y41">
        <v>3</v>
      </c>
      <c r="Z41">
        <v>31.60887</v>
      </c>
    </row>
    <row r="42" spans="1:26" x14ac:dyDescent="0.2">
      <c r="A42">
        <v>41</v>
      </c>
      <c r="B42" t="s">
        <v>92</v>
      </c>
      <c r="C42" t="s">
        <v>93</v>
      </c>
      <c r="D42" t="s">
        <v>35</v>
      </c>
      <c r="E42">
        <v>156</v>
      </c>
      <c r="F42">
        <v>598</v>
      </c>
      <c r="G42">
        <v>112</v>
      </c>
      <c r="H42">
        <v>145</v>
      </c>
      <c r="I42">
        <v>33</v>
      </c>
      <c r="J42">
        <v>1</v>
      </c>
      <c r="K42">
        <v>23</v>
      </c>
      <c r="L42">
        <v>71</v>
      </c>
      <c r="M42">
        <v>89</v>
      </c>
      <c r="N42">
        <v>129</v>
      </c>
      <c r="O42">
        <v>21</v>
      </c>
      <c r="P42">
        <v>7</v>
      </c>
      <c r="Q42">
        <v>0.24199999999999999</v>
      </c>
      <c r="R42">
        <v>0.34499999999999997</v>
      </c>
      <c r="S42">
        <v>0.41599999999999998</v>
      </c>
      <c r="T42">
        <v>0.76200000000000001</v>
      </c>
      <c r="U42">
        <v>9</v>
      </c>
      <c r="V42">
        <v>3</v>
      </c>
      <c r="W42">
        <v>8</v>
      </c>
      <c r="X42">
        <v>249</v>
      </c>
      <c r="Y42">
        <v>3</v>
      </c>
      <c r="Z42">
        <v>39.607210000000002</v>
      </c>
    </row>
    <row r="43" spans="1:26" x14ac:dyDescent="0.2">
      <c r="A43">
        <v>42</v>
      </c>
      <c r="B43" t="s">
        <v>94</v>
      </c>
      <c r="C43" t="s">
        <v>95</v>
      </c>
      <c r="D43" t="s">
        <v>27</v>
      </c>
      <c r="E43">
        <v>153</v>
      </c>
      <c r="F43">
        <v>514</v>
      </c>
      <c r="G43">
        <v>74</v>
      </c>
      <c r="H43">
        <v>130</v>
      </c>
      <c r="I43">
        <v>27</v>
      </c>
      <c r="J43">
        <v>0</v>
      </c>
      <c r="K43">
        <v>30</v>
      </c>
      <c r="L43">
        <v>92</v>
      </c>
      <c r="M43">
        <v>69</v>
      </c>
      <c r="N43">
        <v>135</v>
      </c>
      <c r="O43">
        <v>3</v>
      </c>
      <c r="P43">
        <v>2</v>
      </c>
      <c r="Q43">
        <v>0.253</v>
      </c>
      <c r="R43">
        <v>0.34899999999999998</v>
      </c>
      <c r="S43">
        <v>0.48099999999999998</v>
      </c>
      <c r="T43">
        <v>0.83</v>
      </c>
      <c r="U43">
        <v>9</v>
      </c>
      <c r="V43">
        <v>0</v>
      </c>
      <c r="W43">
        <v>4</v>
      </c>
      <c r="X43">
        <v>247</v>
      </c>
      <c r="Y43">
        <v>1</v>
      </c>
      <c r="Z43">
        <v>44.224800000000002</v>
      </c>
    </row>
    <row r="44" spans="1:26" x14ac:dyDescent="0.2">
      <c r="A44">
        <v>43</v>
      </c>
      <c r="B44" t="s">
        <v>96</v>
      </c>
      <c r="C44" t="s">
        <v>84</v>
      </c>
      <c r="D44" t="s">
        <v>27</v>
      </c>
      <c r="E44">
        <v>131</v>
      </c>
      <c r="F44">
        <v>429</v>
      </c>
      <c r="G44">
        <v>49</v>
      </c>
      <c r="H44">
        <v>94</v>
      </c>
      <c r="I44">
        <v>18</v>
      </c>
      <c r="J44">
        <v>0</v>
      </c>
      <c r="K44">
        <v>22</v>
      </c>
      <c r="L44">
        <v>64</v>
      </c>
      <c r="M44">
        <v>71</v>
      </c>
      <c r="N44">
        <v>159</v>
      </c>
      <c r="O44">
        <v>1</v>
      </c>
      <c r="P44">
        <v>1</v>
      </c>
      <c r="Q44">
        <v>0.219</v>
      </c>
      <c r="R44">
        <v>0.33700000000000002</v>
      </c>
      <c r="S44">
        <v>0.41499999999999998</v>
      </c>
      <c r="T44">
        <v>0.752</v>
      </c>
      <c r="U44">
        <v>7</v>
      </c>
      <c r="V44">
        <v>0</v>
      </c>
      <c r="W44">
        <v>4</v>
      </c>
      <c r="X44">
        <v>178</v>
      </c>
      <c r="Y44">
        <v>2</v>
      </c>
      <c r="Z44">
        <v>60.99568</v>
      </c>
    </row>
    <row r="45" spans="1:26" x14ac:dyDescent="0.2">
      <c r="A45">
        <v>44</v>
      </c>
      <c r="B45" t="s">
        <v>97</v>
      </c>
      <c r="C45" t="s">
        <v>26</v>
      </c>
      <c r="D45" t="s">
        <v>66</v>
      </c>
      <c r="E45">
        <v>123</v>
      </c>
      <c r="F45">
        <v>486</v>
      </c>
      <c r="G45">
        <v>76</v>
      </c>
      <c r="H45">
        <v>146</v>
      </c>
      <c r="I45">
        <v>26</v>
      </c>
      <c r="J45">
        <v>10</v>
      </c>
      <c r="K45">
        <v>1</v>
      </c>
      <c r="L45">
        <v>35</v>
      </c>
      <c r="M45">
        <v>43</v>
      </c>
      <c r="N45">
        <v>83</v>
      </c>
      <c r="O45">
        <v>15</v>
      </c>
      <c r="P45">
        <v>9</v>
      </c>
      <c r="Q45">
        <v>0.3</v>
      </c>
      <c r="R45">
        <v>0.36199999999999999</v>
      </c>
      <c r="S45">
        <v>0.40100000000000002</v>
      </c>
      <c r="T45">
        <v>0.76300000000000001</v>
      </c>
      <c r="U45">
        <v>5</v>
      </c>
      <c r="V45">
        <v>2</v>
      </c>
      <c r="W45">
        <v>2</v>
      </c>
      <c r="X45">
        <v>195</v>
      </c>
      <c r="Y45">
        <v>2</v>
      </c>
      <c r="Z45">
        <v>40.767949999999999</v>
      </c>
    </row>
    <row r="46" spans="1:26" x14ac:dyDescent="0.2">
      <c r="A46">
        <v>45</v>
      </c>
      <c r="B46" t="s">
        <v>98</v>
      </c>
      <c r="C46" t="s">
        <v>99</v>
      </c>
      <c r="D46" t="s">
        <v>66</v>
      </c>
      <c r="E46">
        <v>149</v>
      </c>
      <c r="F46">
        <v>575</v>
      </c>
      <c r="G46">
        <v>71</v>
      </c>
      <c r="H46">
        <v>156</v>
      </c>
      <c r="I46">
        <v>27</v>
      </c>
      <c r="J46">
        <v>5</v>
      </c>
      <c r="K46">
        <v>16</v>
      </c>
      <c r="L46">
        <v>70</v>
      </c>
      <c r="M46">
        <v>49</v>
      </c>
      <c r="N46">
        <v>93</v>
      </c>
      <c r="O46">
        <v>39</v>
      </c>
      <c r="P46">
        <v>5</v>
      </c>
      <c r="Q46">
        <v>0.27100000000000002</v>
      </c>
      <c r="R46">
        <v>0.32800000000000001</v>
      </c>
      <c r="S46">
        <v>0.41899999999999998</v>
      </c>
      <c r="T46">
        <v>0.747</v>
      </c>
      <c r="U46">
        <v>3</v>
      </c>
      <c r="V46">
        <v>0</v>
      </c>
      <c r="W46">
        <v>7</v>
      </c>
      <c r="X46">
        <v>241</v>
      </c>
      <c r="Y46">
        <v>1</v>
      </c>
      <c r="Z46">
        <v>30.710149999999999</v>
      </c>
    </row>
    <row r="47" spans="1:26" x14ac:dyDescent="0.2">
      <c r="A47">
        <v>46</v>
      </c>
      <c r="B47" t="s">
        <v>100</v>
      </c>
      <c r="C47" t="s">
        <v>43</v>
      </c>
      <c r="D47" t="s">
        <v>27</v>
      </c>
      <c r="E47">
        <v>128</v>
      </c>
      <c r="F47">
        <v>477</v>
      </c>
      <c r="G47">
        <v>75</v>
      </c>
      <c r="H47">
        <v>128</v>
      </c>
      <c r="I47">
        <v>27</v>
      </c>
      <c r="J47">
        <v>2</v>
      </c>
      <c r="K47">
        <v>34</v>
      </c>
      <c r="L47">
        <v>98</v>
      </c>
      <c r="M47">
        <v>62</v>
      </c>
      <c r="N47">
        <v>82</v>
      </c>
      <c r="O47">
        <v>2</v>
      </c>
      <c r="P47">
        <v>0</v>
      </c>
      <c r="Q47">
        <v>0.26800000000000002</v>
      </c>
      <c r="R47">
        <v>0.35399999999999998</v>
      </c>
      <c r="S47">
        <v>0.54700000000000004</v>
      </c>
      <c r="T47">
        <v>0.90100000000000002</v>
      </c>
      <c r="U47">
        <v>2</v>
      </c>
      <c r="V47">
        <v>0</v>
      </c>
      <c r="W47">
        <v>1</v>
      </c>
      <c r="X47">
        <v>261</v>
      </c>
      <c r="Y47">
        <v>2</v>
      </c>
      <c r="Z47">
        <v>50.425789999999999</v>
      </c>
    </row>
    <row r="48" spans="1:26" x14ac:dyDescent="0.2">
      <c r="A48">
        <v>47</v>
      </c>
      <c r="B48" t="s">
        <v>101</v>
      </c>
      <c r="C48" t="s">
        <v>40</v>
      </c>
      <c r="D48" t="s">
        <v>38</v>
      </c>
      <c r="E48">
        <v>162</v>
      </c>
      <c r="F48">
        <v>579</v>
      </c>
      <c r="G48">
        <v>74</v>
      </c>
      <c r="H48">
        <v>165</v>
      </c>
      <c r="I48">
        <v>34</v>
      </c>
      <c r="J48">
        <v>5</v>
      </c>
      <c r="K48">
        <v>3</v>
      </c>
      <c r="L48">
        <v>50</v>
      </c>
      <c r="M48">
        <v>23</v>
      </c>
      <c r="N48">
        <v>83</v>
      </c>
      <c r="O48">
        <v>31</v>
      </c>
      <c r="P48">
        <v>6</v>
      </c>
      <c r="Q48">
        <v>0.28499999999999998</v>
      </c>
      <c r="R48">
        <v>0.317</v>
      </c>
      <c r="S48">
        <v>0.377</v>
      </c>
      <c r="T48">
        <v>0.69399999999999995</v>
      </c>
      <c r="U48">
        <v>6</v>
      </c>
      <c r="V48">
        <v>8</v>
      </c>
      <c r="W48">
        <v>4</v>
      </c>
      <c r="X48">
        <v>218</v>
      </c>
      <c r="Y48">
        <v>3</v>
      </c>
      <c r="Z48">
        <v>43.626480000000001</v>
      </c>
    </row>
    <row r="49" spans="1:26" x14ac:dyDescent="0.2">
      <c r="A49">
        <v>48</v>
      </c>
      <c r="B49" t="s">
        <v>102</v>
      </c>
      <c r="C49" t="s">
        <v>23</v>
      </c>
      <c r="D49" t="s">
        <v>38</v>
      </c>
      <c r="E49">
        <v>137</v>
      </c>
      <c r="F49">
        <v>476</v>
      </c>
      <c r="G49">
        <v>33</v>
      </c>
      <c r="H49">
        <v>123</v>
      </c>
      <c r="I49">
        <v>18</v>
      </c>
      <c r="J49">
        <v>0</v>
      </c>
      <c r="K49">
        <v>7</v>
      </c>
      <c r="L49">
        <v>39</v>
      </c>
      <c r="M49">
        <v>43</v>
      </c>
      <c r="N49">
        <v>60</v>
      </c>
      <c r="O49">
        <v>1</v>
      </c>
      <c r="P49">
        <v>1</v>
      </c>
      <c r="Q49">
        <v>0.25800000000000001</v>
      </c>
      <c r="R49">
        <v>0.32400000000000001</v>
      </c>
      <c r="S49">
        <v>0.34</v>
      </c>
      <c r="T49">
        <v>0.66400000000000003</v>
      </c>
      <c r="U49">
        <v>4</v>
      </c>
      <c r="V49">
        <v>4</v>
      </c>
      <c r="W49">
        <v>2</v>
      </c>
      <c r="X49">
        <v>162</v>
      </c>
      <c r="Y49">
        <v>2</v>
      </c>
      <c r="Z49">
        <v>31.81427</v>
      </c>
    </row>
    <row r="50" spans="1:26" x14ac:dyDescent="0.2">
      <c r="A50">
        <v>49</v>
      </c>
      <c r="B50" t="s">
        <v>103</v>
      </c>
      <c r="C50" t="s">
        <v>34</v>
      </c>
      <c r="D50" t="s">
        <v>66</v>
      </c>
      <c r="E50">
        <v>116</v>
      </c>
      <c r="F50">
        <v>434</v>
      </c>
      <c r="G50">
        <v>61</v>
      </c>
      <c r="H50">
        <v>120</v>
      </c>
      <c r="I50">
        <v>21</v>
      </c>
      <c r="J50">
        <v>4</v>
      </c>
      <c r="K50">
        <v>8</v>
      </c>
      <c r="L50">
        <v>35</v>
      </c>
      <c r="M50">
        <v>66</v>
      </c>
      <c r="N50">
        <v>108</v>
      </c>
      <c r="O50">
        <v>11</v>
      </c>
      <c r="P50">
        <v>4</v>
      </c>
      <c r="Q50">
        <v>0.27600000000000002</v>
      </c>
      <c r="R50">
        <v>0.375</v>
      </c>
      <c r="S50">
        <v>0.39900000000000002</v>
      </c>
      <c r="T50">
        <v>0.77400000000000002</v>
      </c>
      <c r="U50">
        <v>3</v>
      </c>
      <c r="V50">
        <v>1</v>
      </c>
      <c r="W50">
        <v>1</v>
      </c>
      <c r="X50">
        <v>173</v>
      </c>
      <c r="Y50">
        <v>2</v>
      </c>
      <c r="Z50">
        <v>55.325060000000001</v>
      </c>
    </row>
    <row r="51" spans="1:26" x14ac:dyDescent="0.2">
      <c r="A51">
        <v>50</v>
      </c>
      <c r="B51" t="s">
        <v>104</v>
      </c>
      <c r="C51" t="s">
        <v>57</v>
      </c>
      <c r="D51" t="s">
        <v>45</v>
      </c>
      <c r="E51">
        <v>157</v>
      </c>
      <c r="F51">
        <v>597</v>
      </c>
      <c r="G51">
        <v>88</v>
      </c>
      <c r="H51">
        <v>163</v>
      </c>
      <c r="I51">
        <v>22</v>
      </c>
      <c r="J51">
        <v>1</v>
      </c>
      <c r="K51">
        <v>29</v>
      </c>
      <c r="L51">
        <v>80</v>
      </c>
      <c r="M51">
        <v>52</v>
      </c>
      <c r="N51">
        <v>139</v>
      </c>
      <c r="O51">
        <v>20</v>
      </c>
      <c r="P51">
        <v>8</v>
      </c>
      <c r="Q51">
        <v>0.27300000000000002</v>
      </c>
      <c r="R51">
        <v>0.33600000000000002</v>
      </c>
      <c r="S51">
        <v>0.45900000000000002</v>
      </c>
      <c r="T51">
        <v>0.79500000000000004</v>
      </c>
      <c r="U51">
        <v>7</v>
      </c>
      <c r="V51">
        <v>0</v>
      </c>
      <c r="W51">
        <v>4</v>
      </c>
      <c r="X51">
        <v>274</v>
      </c>
      <c r="Y51">
        <v>3</v>
      </c>
      <c r="Z51">
        <v>19.502929999999999</v>
      </c>
    </row>
    <row r="52" spans="1:26" x14ac:dyDescent="0.2">
      <c r="A52">
        <v>51</v>
      </c>
      <c r="B52" t="s">
        <v>105</v>
      </c>
      <c r="C52" t="s">
        <v>106</v>
      </c>
      <c r="D52" t="s">
        <v>27</v>
      </c>
      <c r="E52">
        <v>162</v>
      </c>
      <c r="F52">
        <v>607</v>
      </c>
      <c r="G52">
        <v>93</v>
      </c>
      <c r="H52">
        <v>175</v>
      </c>
      <c r="I52">
        <v>43</v>
      </c>
      <c r="J52">
        <v>4</v>
      </c>
      <c r="K52">
        <v>18</v>
      </c>
      <c r="L52">
        <v>78</v>
      </c>
      <c r="M52">
        <v>90</v>
      </c>
      <c r="N52">
        <v>145</v>
      </c>
      <c r="O52">
        <v>3</v>
      </c>
      <c r="P52">
        <v>4</v>
      </c>
      <c r="Q52">
        <v>0.28799999999999998</v>
      </c>
      <c r="R52">
        <v>0.38600000000000001</v>
      </c>
      <c r="S52">
        <v>0.46100000000000002</v>
      </c>
      <c r="T52">
        <v>0.84699999999999998</v>
      </c>
      <c r="U52">
        <v>8</v>
      </c>
      <c r="V52">
        <v>0</v>
      </c>
      <c r="W52">
        <v>3</v>
      </c>
      <c r="X52">
        <v>280</v>
      </c>
      <c r="Y52">
        <v>3</v>
      </c>
      <c r="Z52">
        <v>11.091670000000001</v>
      </c>
    </row>
    <row r="53" spans="1:26" x14ac:dyDescent="0.2">
      <c r="A53">
        <v>52</v>
      </c>
      <c r="B53" t="s">
        <v>107</v>
      </c>
      <c r="C53" t="s">
        <v>68</v>
      </c>
      <c r="D53" t="s">
        <v>45</v>
      </c>
      <c r="E53">
        <v>134</v>
      </c>
      <c r="F53">
        <v>462</v>
      </c>
      <c r="G53">
        <v>53</v>
      </c>
      <c r="H53">
        <v>120</v>
      </c>
      <c r="I53">
        <v>25</v>
      </c>
      <c r="J53">
        <v>1</v>
      </c>
      <c r="K53">
        <v>10</v>
      </c>
      <c r="L53">
        <v>55</v>
      </c>
      <c r="M53">
        <v>38</v>
      </c>
      <c r="N53">
        <v>124</v>
      </c>
      <c r="O53">
        <v>1</v>
      </c>
      <c r="P53">
        <v>3</v>
      </c>
      <c r="Q53">
        <v>0.26</v>
      </c>
      <c r="R53">
        <v>0.32100000000000001</v>
      </c>
      <c r="S53">
        <v>0.38300000000000001</v>
      </c>
      <c r="T53">
        <v>0.70399999999999996</v>
      </c>
      <c r="U53">
        <v>6</v>
      </c>
      <c r="V53">
        <v>0</v>
      </c>
      <c r="W53">
        <v>5</v>
      </c>
      <c r="X53">
        <v>177</v>
      </c>
      <c r="Y53">
        <v>2</v>
      </c>
      <c r="Z53">
        <v>19.923369999999998</v>
      </c>
    </row>
    <row r="54" spans="1:26" x14ac:dyDescent="0.2">
      <c r="A54">
        <v>53</v>
      </c>
      <c r="B54" t="s">
        <v>108</v>
      </c>
      <c r="C54" t="s">
        <v>99</v>
      </c>
      <c r="D54" t="s">
        <v>30</v>
      </c>
      <c r="E54">
        <v>148</v>
      </c>
      <c r="F54">
        <v>555</v>
      </c>
      <c r="G54">
        <v>87</v>
      </c>
      <c r="H54">
        <v>142</v>
      </c>
      <c r="I54">
        <v>25</v>
      </c>
      <c r="J54">
        <v>8</v>
      </c>
      <c r="K54">
        <v>17</v>
      </c>
      <c r="L54">
        <v>58</v>
      </c>
      <c r="M54">
        <v>56</v>
      </c>
      <c r="N54">
        <v>134</v>
      </c>
      <c r="O54">
        <v>21</v>
      </c>
      <c r="P54">
        <v>5</v>
      </c>
      <c r="Q54">
        <v>0.25600000000000001</v>
      </c>
      <c r="R54">
        <v>0.32700000000000001</v>
      </c>
      <c r="S54">
        <v>0.42199999999999999</v>
      </c>
      <c r="T54">
        <v>0.749</v>
      </c>
      <c r="U54">
        <v>6</v>
      </c>
      <c r="V54">
        <v>13</v>
      </c>
      <c r="W54">
        <v>6</v>
      </c>
      <c r="X54">
        <v>234</v>
      </c>
      <c r="Y54">
        <v>1</v>
      </c>
      <c r="Z54">
        <v>24.458290000000002</v>
      </c>
    </row>
    <row r="55" spans="1:26" x14ac:dyDescent="0.2">
      <c r="A55">
        <v>54</v>
      </c>
      <c r="B55" t="s">
        <v>109</v>
      </c>
      <c r="C55" t="s">
        <v>26</v>
      </c>
      <c r="D55" t="s">
        <v>45</v>
      </c>
      <c r="E55">
        <v>130</v>
      </c>
      <c r="F55">
        <v>464</v>
      </c>
      <c r="G55">
        <v>50</v>
      </c>
      <c r="H55">
        <v>131</v>
      </c>
      <c r="I55">
        <v>31</v>
      </c>
      <c r="J55">
        <v>5</v>
      </c>
      <c r="K55">
        <v>7</v>
      </c>
      <c r="L55">
        <v>57</v>
      </c>
      <c r="M55">
        <v>36</v>
      </c>
      <c r="N55">
        <v>78</v>
      </c>
      <c r="O55">
        <v>0</v>
      </c>
      <c r="P55">
        <v>4</v>
      </c>
      <c r="Q55">
        <v>0.28199999999999997</v>
      </c>
      <c r="R55">
        <v>0.33600000000000002</v>
      </c>
      <c r="S55">
        <v>0.41599999999999998</v>
      </c>
      <c r="T55">
        <v>0.752</v>
      </c>
      <c r="U55">
        <v>3</v>
      </c>
      <c r="V55">
        <v>0</v>
      </c>
      <c r="W55">
        <v>3</v>
      </c>
      <c r="X55">
        <v>193</v>
      </c>
      <c r="Y55">
        <v>2</v>
      </c>
      <c r="Z55">
        <v>22.106950000000001</v>
      </c>
    </row>
    <row r="56" spans="1:26" x14ac:dyDescent="0.2">
      <c r="A56">
        <v>55</v>
      </c>
      <c r="B56" t="s">
        <v>110</v>
      </c>
      <c r="C56" t="s">
        <v>51</v>
      </c>
      <c r="D56" t="s">
        <v>74</v>
      </c>
      <c r="E56">
        <v>135</v>
      </c>
      <c r="F56">
        <v>485</v>
      </c>
      <c r="G56">
        <v>61</v>
      </c>
      <c r="H56">
        <v>135</v>
      </c>
      <c r="I56">
        <v>25</v>
      </c>
      <c r="J56">
        <v>3</v>
      </c>
      <c r="K56">
        <v>21</v>
      </c>
      <c r="L56">
        <v>74</v>
      </c>
      <c r="M56">
        <v>24</v>
      </c>
      <c r="N56">
        <v>120</v>
      </c>
      <c r="O56">
        <v>0</v>
      </c>
      <c r="P56">
        <v>0</v>
      </c>
      <c r="Q56">
        <v>0.27800000000000002</v>
      </c>
      <c r="R56">
        <v>0.313</v>
      </c>
      <c r="S56">
        <v>0.47199999999999998</v>
      </c>
      <c r="T56">
        <v>0.78500000000000003</v>
      </c>
      <c r="U56">
        <v>3</v>
      </c>
      <c r="V56">
        <v>0</v>
      </c>
      <c r="W56">
        <v>6</v>
      </c>
      <c r="X56">
        <v>229</v>
      </c>
      <c r="Y56">
        <v>2</v>
      </c>
      <c r="Z56">
        <v>23.646809999999999</v>
      </c>
    </row>
    <row r="57" spans="1:26" x14ac:dyDescent="0.2">
      <c r="A57">
        <v>56</v>
      </c>
      <c r="B57" t="s">
        <v>111</v>
      </c>
      <c r="C57" t="s">
        <v>53</v>
      </c>
      <c r="D57" t="s">
        <v>66</v>
      </c>
      <c r="E57">
        <v>148</v>
      </c>
      <c r="F57">
        <v>574</v>
      </c>
      <c r="G57">
        <v>95</v>
      </c>
      <c r="H57">
        <v>163</v>
      </c>
      <c r="I57">
        <v>34</v>
      </c>
      <c r="J57">
        <v>4</v>
      </c>
      <c r="K57">
        <v>23</v>
      </c>
      <c r="L57">
        <v>73</v>
      </c>
      <c r="M57">
        <v>47</v>
      </c>
      <c r="N57">
        <v>141</v>
      </c>
      <c r="O57">
        <v>34</v>
      </c>
      <c r="P57">
        <v>12</v>
      </c>
      <c r="Q57">
        <v>0.28399999999999997</v>
      </c>
      <c r="R57">
        <v>0.35599999999999998</v>
      </c>
      <c r="S57">
        <v>0.47699999999999998</v>
      </c>
      <c r="T57">
        <v>0.83299999999999996</v>
      </c>
      <c r="U57">
        <v>19</v>
      </c>
      <c r="V57">
        <v>1</v>
      </c>
      <c r="W57">
        <v>3</v>
      </c>
      <c r="X57">
        <v>274</v>
      </c>
      <c r="Y57">
        <v>3</v>
      </c>
      <c r="Z57">
        <v>37.907139999999998</v>
      </c>
    </row>
    <row r="58" spans="1:26" x14ac:dyDescent="0.2">
      <c r="A58">
        <v>57</v>
      </c>
      <c r="B58" t="s">
        <v>112</v>
      </c>
      <c r="C58" t="s">
        <v>113</v>
      </c>
      <c r="D58" t="s">
        <v>27</v>
      </c>
      <c r="E58">
        <v>159</v>
      </c>
      <c r="F58">
        <v>591</v>
      </c>
      <c r="G58">
        <v>83</v>
      </c>
      <c r="H58">
        <v>163</v>
      </c>
      <c r="I58">
        <v>41</v>
      </c>
      <c r="J58">
        <v>0</v>
      </c>
      <c r="K58">
        <v>27</v>
      </c>
      <c r="L58">
        <v>116</v>
      </c>
      <c r="M58">
        <v>56</v>
      </c>
      <c r="N58">
        <v>112</v>
      </c>
      <c r="O58">
        <v>1</v>
      </c>
      <c r="P58">
        <v>1</v>
      </c>
      <c r="Q58">
        <v>0.27600000000000002</v>
      </c>
      <c r="R58">
        <v>0.33500000000000002</v>
      </c>
      <c r="S58">
        <v>0.48199999999999998</v>
      </c>
      <c r="T58">
        <v>0.81699999999999995</v>
      </c>
      <c r="U58">
        <v>2</v>
      </c>
      <c r="V58">
        <v>0</v>
      </c>
      <c r="W58">
        <v>11</v>
      </c>
      <c r="X58">
        <v>285</v>
      </c>
      <c r="Y58">
        <v>3</v>
      </c>
      <c r="Z58">
        <v>46.34442</v>
      </c>
    </row>
    <row r="59" spans="1:26" x14ac:dyDescent="0.2">
      <c r="A59">
        <v>58</v>
      </c>
      <c r="B59" t="s">
        <v>114</v>
      </c>
      <c r="C59" t="s">
        <v>40</v>
      </c>
      <c r="D59" t="s">
        <v>30</v>
      </c>
      <c r="E59">
        <v>156</v>
      </c>
      <c r="F59">
        <v>563</v>
      </c>
      <c r="G59">
        <v>87</v>
      </c>
      <c r="H59">
        <v>150</v>
      </c>
      <c r="I59">
        <v>34</v>
      </c>
      <c r="J59">
        <v>1</v>
      </c>
      <c r="K59">
        <v>19</v>
      </c>
      <c r="L59">
        <v>74</v>
      </c>
      <c r="M59">
        <v>65</v>
      </c>
      <c r="N59">
        <v>126</v>
      </c>
      <c r="O59">
        <v>12</v>
      </c>
      <c r="P59">
        <v>3</v>
      </c>
      <c r="Q59">
        <v>0.26600000000000001</v>
      </c>
      <c r="R59">
        <v>0.35099999999999998</v>
      </c>
      <c r="S59">
        <v>0.432</v>
      </c>
      <c r="T59">
        <v>0.78300000000000003</v>
      </c>
      <c r="U59">
        <v>11</v>
      </c>
      <c r="V59">
        <v>0</v>
      </c>
      <c r="W59">
        <v>4</v>
      </c>
      <c r="X59">
        <v>243</v>
      </c>
      <c r="Y59">
        <v>1</v>
      </c>
      <c r="Z59">
        <v>26.33493</v>
      </c>
    </row>
    <row r="60" spans="1:26" x14ac:dyDescent="0.2">
      <c r="A60">
        <v>59</v>
      </c>
      <c r="B60" t="s">
        <v>115</v>
      </c>
      <c r="C60" t="s">
        <v>113</v>
      </c>
      <c r="D60" t="s">
        <v>35</v>
      </c>
      <c r="E60">
        <v>148</v>
      </c>
      <c r="F60">
        <v>609</v>
      </c>
      <c r="G60">
        <v>92</v>
      </c>
      <c r="H60">
        <v>176</v>
      </c>
      <c r="I60">
        <v>24</v>
      </c>
      <c r="J60">
        <v>12</v>
      </c>
      <c r="K60">
        <v>2</v>
      </c>
      <c r="L60">
        <v>34</v>
      </c>
      <c r="M60">
        <v>31</v>
      </c>
      <c r="N60">
        <v>107</v>
      </c>
      <c r="O60">
        <v>64</v>
      </c>
      <c r="P60">
        <v>19</v>
      </c>
      <c r="Q60">
        <v>0.28899999999999998</v>
      </c>
      <c r="R60">
        <v>0.32600000000000001</v>
      </c>
      <c r="S60">
        <v>0.378</v>
      </c>
      <c r="T60">
        <v>0.70399999999999996</v>
      </c>
      <c r="U60">
        <v>4</v>
      </c>
      <c r="V60">
        <v>3</v>
      </c>
      <c r="W60">
        <v>3</v>
      </c>
      <c r="X60">
        <v>230</v>
      </c>
      <c r="Y60">
        <v>3</v>
      </c>
      <c r="Z60">
        <v>45.213320000000003</v>
      </c>
    </row>
    <row r="61" spans="1:26" x14ac:dyDescent="0.2">
      <c r="A61">
        <v>60</v>
      </c>
      <c r="B61" t="s">
        <v>116</v>
      </c>
      <c r="C61" t="s">
        <v>95</v>
      </c>
      <c r="D61" t="s">
        <v>41</v>
      </c>
      <c r="E61">
        <v>155</v>
      </c>
      <c r="F61">
        <v>564</v>
      </c>
      <c r="G61">
        <v>73</v>
      </c>
      <c r="H61">
        <v>128</v>
      </c>
      <c r="I61">
        <v>27</v>
      </c>
      <c r="J61">
        <v>2</v>
      </c>
      <c r="K61">
        <v>20</v>
      </c>
      <c r="L61">
        <v>66</v>
      </c>
      <c r="M61">
        <v>79</v>
      </c>
      <c r="N61">
        <v>141</v>
      </c>
      <c r="O61">
        <v>8</v>
      </c>
      <c r="P61">
        <v>2</v>
      </c>
      <c r="Q61">
        <v>0.22700000000000001</v>
      </c>
      <c r="R61">
        <v>0.32600000000000001</v>
      </c>
      <c r="S61">
        <v>0.38800000000000001</v>
      </c>
      <c r="T61">
        <v>0.71399999999999997</v>
      </c>
      <c r="U61">
        <v>6</v>
      </c>
      <c r="V61">
        <v>0</v>
      </c>
      <c r="W61">
        <v>5</v>
      </c>
      <c r="X61">
        <v>219</v>
      </c>
      <c r="Y61">
        <v>1</v>
      </c>
      <c r="Z61">
        <v>29.534189999999999</v>
      </c>
    </row>
    <row r="62" spans="1:26" x14ac:dyDescent="0.2">
      <c r="A62">
        <v>61</v>
      </c>
      <c r="B62" t="s">
        <v>117</v>
      </c>
      <c r="C62" t="s">
        <v>57</v>
      </c>
      <c r="D62" t="s">
        <v>66</v>
      </c>
      <c r="E62">
        <v>152</v>
      </c>
      <c r="F62">
        <v>563</v>
      </c>
      <c r="G62">
        <v>72</v>
      </c>
      <c r="H62">
        <v>141</v>
      </c>
      <c r="I62">
        <v>25</v>
      </c>
      <c r="J62">
        <v>8</v>
      </c>
      <c r="K62">
        <v>6</v>
      </c>
      <c r="L62">
        <v>48</v>
      </c>
      <c r="M62">
        <v>34</v>
      </c>
      <c r="N62">
        <v>117</v>
      </c>
      <c r="O62">
        <v>56</v>
      </c>
      <c r="P62">
        <v>23</v>
      </c>
      <c r="Q62">
        <v>0.25</v>
      </c>
      <c r="R62">
        <v>0.29199999999999998</v>
      </c>
      <c r="S62">
        <v>0.35499999999999998</v>
      </c>
      <c r="T62">
        <v>0.64800000000000002</v>
      </c>
      <c r="U62">
        <v>1</v>
      </c>
      <c r="V62">
        <v>9</v>
      </c>
      <c r="W62">
        <v>4</v>
      </c>
      <c r="X62">
        <v>200</v>
      </c>
      <c r="Y62">
        <v>1</v>
      </c>
      <c r="Z62">
        <v>32.940330000000003</v>
      </c>
    </row>
    <row r="63" spans="1:26" x14ac:dyDescent="0.2">
      <c r="A63">
        <v>62</v>
      </c>
      <c r="B63" t="s">
        <v>118</v>
      </c>
      <c r="C63" t="s">
        <v>86</v>
      </c>
      <c r="D63" t="s">
        <v>38</v>
      </c>
      <c r="E63">
        <v>141</v>
      </c>
      <c r="F63">
        <v>529</v>
      </c>
      <c r="G63">
        <v>56</v>
      </c>
      <c r="H63">
        <v>142</v>
      </c>
      <c r="I63">
        <v>28</v>
      </c>
      <c r="J63">
        <v>0</v>
      </c>
      <c r="K63">
        <v>9</v>
      </c>
      <c r="L63">
        <v>52</v>
      </c>
      <c r="M63">
        <v>29</v>
      </c>
      <c r="N63">
        <v>104</v>
      </c>
      <c r="O63">
        <v>0</v>
      </c>
      <c r="P63">
        <v>0</v>
      </c>
      <c r="Q63">
        <v>0.26800000000000002</v>
      </c>
      <c r="R63">
        <v>0.309</v>
      </c>
      <c r="S63">
        <v>0.372</v>
      </c>
      <c r="T63">
        <v>0.68200000000000005</v>
      </c>
      <c r="U63">
        <v>4</v>
      </c>
      <c r="V63">
        <v>3</v>
      </c>
      <c r="W63">
        <v>4</v>
      </c>
      <c r="X63">
        <v>197</v>
      </c>
      <c r="Y63">
        <v>1</v>
      </c>
      <c r="Z63">
        <v>31.58494</v>
      </c>
    </row>
    <row r="64" spans="1:26" x14ac:dyDescent="0.2">
      <c r="A64">
        <v>63</v>
      </c>
      <c r="B64" t="s">
        <v>119</v>
      </c>
      <c r="C64" t="s">
        <v>120</v>
      </c>
      <c r="D64" t="s">
        <v>45</v>
      </c>
      <c r="E64">
        <v>143</v>
      </c>
      <c r="F64">
        <v>520</v>
      </c>
      <c r="G64">
        <v>77</v>
      </c>
      <c r="H64">
        <v>164</v>
      </c>
      <c r="I64">
        <v>38</v>
      </c>
      <c r="J64">
        <v>7</v>
      </c>
      <c r="K64">
        <v>13</v>
      </c>
      <c r="L64">
        <v>52</v>
      </c>
      <c r="M64">
        <v>22</v>
      </c>
      <c r="N64">
        <v>81</v>
      </c>
      <c r="O64">
        <v>18</v>
      </c>
      <c r="P64">
        <v>7</v>
      </c>
      <c r="Q64">
        <v>0.315</v>
      </c>
      <c r="R64">
        <v>0.34699999999999998</v>
      </c>
      <c r="S64">
        <v>0.49</v>
      </c>
      <c r="T64">
        <v>0.83699999999999997</v>
      </c>
      <c r="U64">
        <v>4</v>
      </c>
      <c r="V64">
        <v>2</v>
      </c>
      <c r="W64">
        <v>2</v>
      </c>
      <c r="X64">
        <v>255</v>
      </c>
      <c r="Y64">
        <v>1</v>
      </c>
      <c r="Z64">
        <v>36.827309999999997</v>
      </c>
    </row>
    <row r="65" spans="1:26" x14ac:dyDescent="0.2">
      <c r="A65">
        <v>64</v>
      </c>
      <c r="B65" t="s">
        <v>121</v>
      </c>
      <c r="C65" t="s">
        <v>99</v>
      </c>
      <c r="D65" t="s">
        <v>45</v>
      </c>
      <c r="E65">
        <v>135</v>
      </c>
      <c r="F65">
        <v>470</v>
      </c>
      <c r="G65">
        <v>55</v>
      </c>
      <c r="H65">
        <v>114</v>
      </c>
      <c r="I65">
        <v>20</v>
      </c>
      <c r="J65">
        <v>1</v>
      </c>
      <c r="K65">
        <v>13</v>
      </c>
      <c r="L65">
        <v>49</v>
      </c>
      <c r="M65">
        <v>51</v>
      </c>
      <c r="N65">
        <v>122</v>
      </c>
      <c r="O65">
        <v>7</v>
      </c>
      <c r="P65">
        <v>3</v>
      </c>
      <c r="Q65">
        <v>0.24299999999999999</v>
      </c>
      <c r="R65">
        <v>0.32800000000000001</v>
      </c>
      <c r="S65">
        <v>0.372</v>
      </c>
      <c r="T65">
        <v>0.7</v>
      </c>
      <c r="U65">
        <v>9</v>
      </c>
      <c r="V65">
        <v>0</v>
      </c>
      <c r="W65">
        <v>1</v>
      </c>
      <c r="X65">
        <v>175</v>
      </c>
      <c r="Y65">
        <v>2</v>
      </c>
      <c r="Z65">
        <v>15.89385</v>
      </c>
    </row>
    <row r="66" spans="1:26" x14ac:dyDescent="0.2">
      <c r="A66">
        <v>65</v>
      </c>
      <c r="B66" t="s">
        <v>122</v>
      </c>
      <c r="C66" t="s">
        <v>123</v>
      </c>
      <c r="D66" t="s">
        <v>38</v>
      </c>
      <c r="E66">
        <v>146</v>
      </c>
      <c r="F66">
        <v>536</v>
      </c>
      <c r="G66">
        <v>53</v>
      </c>
      <c r="H66">
        <v>148</v>
      </c>
      <c r="I66">
        <v>20</v>
      </c>
      <c r="J66">
        <v>10</v>
      </c>
      <c r="K66">
        <v>1</v>
      </c>
      <c r="L66">
        <v>34</v>
      </c>
      <c r="M66">
        <v>26</v>
      </c>
      <c r="N66">
        <v>86</v>
      </c>
      <c r="O66">
        <v>7</v>
      </c>
      <c r="P66">
        <v>5</v>
      </c>
      <c r="Q66">
        <v>0.27600000000000002</v>
      </c>
      <c r="R66">
        <v>0.308</v>
      </c>
      <c r="S66">
        <v>0.35599999999999998</v>
      </c>
      <c r="T66">
        <v>0.66400000000000003</v>
      </c>
      <c r="U66">
        <v>1</v>
      </c>
      <c r="V66">
        <v>4</v>
      </c>
      <c r="W66">
        <v>6</v>
      </c>
      <c r="X66">
        <v>191</v>
      </c>
      <c r="Y66">
        <v>1</v>
      </c>
      <c r="Z66">
        <v>45.510599999999997</v>
      </c>
    </row>
    <row r="67" spans="1:26" x14ac:dyDescent="0.2">
      <c r="A67">
        <v>66</v>
      </c>
      <c r="B67" t="s">
        <v>124</v>
      </c>
      <c r="C67" t="s">
        <v>106</v>
      </c>
      <c r="D67" t="s">
        <v>41</v>
      </c>
      <c r="E67">
        <v>149</v>
      </c>
      <c r="F67">
        <v>573</v>
      </c>
      <c r="G67">
        <v>74</v>
      </c>
      <c r="H67">
        <v>155</v>
      </c>
      <c r="I67">
        <v>26</v>
      </c>
      <c r="J67">
        <v>3</v>
      </c>
      <c r="K67">
        <v>11</v>
      </c>
      <c r="L67">
        <v>58</v>
      </c>
      <c r="M67">
        <v>67</v>
      </c>
      <c r="N67">
        <v>98</v>
      </c>
      <c r="O67">
        <v>20</v>
      </c>
      <c r="P67">
        <v>4</v>
      </c>
      <c r="Q67">
        <v>0.27100000000000002</v>
      </c>
      <c r="R67">
        <v>0.35099999999999998</v>
      </c>
      <c r="S67">
        <v>0.38400000000000001</v>
      </c>
      <c r="T67">
        <v>0.73499999999999999</v>
      </c>
      <c r="U67">
        <v>6</v>
      </c>
      <c r="V67">
        <v>0</v>
      </c>
      <c r="W67">
        <v>3</v>
      </c>
      <c r="X67">
        <v>220</v>
      </c>
      <c r="Y67">
        <v>1</v>
      </c>
      <c r="Z67">
        <v>32.417720000000003</v>
      </c>
    </row>
    <row r="68" spans="1:26" x14ac:dyDescent="0.2">
      <c r="A68">
        <v>67</v>
      </c>
      <c r="B68" t="s">
        <v>125</v>
      </c>
      <c r="C68" t="s">
        <v>126</v>
      </c>
      <c r="D68" t="s">
        <v>35</v>
      </c>
      <c r="E68">
        <v>133</v>
      </c>
      <c r="F68">
        <v>501</v>
      </c>
      <c r="G68">
        <v>52</v>
      </c>
      <c r="H68">
        <v>122</v>
      </c>
      <c r="I68">
        <v>26</v>
      </c>
      <c r="J68">
        <v>3</v>
      </c>
      <c r="K68">
        <v>10</v>
      </c>
      <c r="L68">
        <v>60</v>
      </c>
      <c r="M68">
        <v>28</v>
      </c>
      <c r="N68">
        <v>92</v>
      </c>
      <c r="O68">
        <v>4</v>
      </c>
      <c r="P68">
        <v>3</v>
      </c>
      <c r="Q68">
        <v>0.24399999999999999</v>
      </c>
      <c r="R68">
        <v>0.28699999999999998</v>
      </c>
      <c r="S68">
        <v>0.36699999999999999</v>
      </c>
      <c r="T68">
        <v>0.65400000000000003</v>
      </c>
      <c r="U68">
        <v>5</v>
      </c>
      <c r="V68">
        <v>0</v>
      </c>
      <c r="W68">
        <v>7</v>
      </c>
      <c r="X68">
        <v>184</v>
      </c>
      <c r="Y68">
        <v>2</v>
      </c>
      <c r="Z68">
        <v>21.776319999999998</v>
      </c>
    </row>
    <row r="69" spans="1:26" x14ac:dyDescent="0.2">
      <c r="A69">
        <v>68</v>
      </c>
      <c r="B69" t="s">
        <v>127</v>
      </c>
      <c r="C69" t="s">
        <v>32</v>
      </c>
      <c r="D69" t="s">
        <v>30</v>
      </c>
      <c r="E69">
        <v>156</v>
      </c>
      <c r="F69">
        <v>574</v>
      </c>
      <c r="G69">
        <v>83</v>
      </c>
      <c r="H69">
        <v>156</v>
      </c>
      <c r="I69">
        <v>37</v>
      </c>
      <c r="J69">
        <v>0</v>
      </c>
      <c r="K69">
        <v>20</v>
      </c>
      <c r="L69">
        <v>90</v>
      </c>
      <c r="M69">
        <v>74</v>
      </c>
      <c r="N69">
        <v>100</v>
      </c>
      <c r="O69">
        <v>4</v>
      </c>
      <c r="P69">
        <v>1</v>
      </c>
      <c r="Q69">
        <v>0.27200000000000002</v>
      </c>
      <c r="R69">
        <v>0.37</v>
      </c>
      <c r="S69">
        <v>0.441</v>
      </c>
      <c r="T69">
        <v>0.81100000000000005</v>
      </c>
      <c r="U69">
        <v>17</v>
      </c>
      <c r="V69">
        <v>0</v>
      </c>
      <c r="W69">
        <v>2</v>
      </c>
      <c r="X69">
        <v>253</v>
      </c>
      <c r="Y69">
        <v>1</v>
      </c>
      <c r="Z69">
        <v>38.442079999999997</v>
      </c>
    </row>
    <row r="70" spans="1:26" x14ac:dyDescent="0.2">
      <c r="A70">
        <v>69</v>
      </c>
      <c r="B70" t="s">
        <v>128</v>
      </c>
      <c r="C70" t="s">
        <v>40</v>
      </c>
      <c r="D70" t="s">
        <v>27</v>
      </c>
      <c r="E70">
        <v>131</v>
      </c>
      <c r="F70">
        <v>503</v>
      </c>
      <c r="G70">
        <v>54</v>
      </c>
      <c r="H70">
        <v>136</v>
      </c>
      <c r="I70">
        <v>35</v>
      </c>
      <c r="J70">
        <v>1</v>
      </c>
      <c r="K70">
        <v>9</v>
      </c>
      <c r="L70">
        <v>58</v>
      </c>
      <c r="M70">
        <v>35</v>
      </c>
      <c r="N70">
        <v>93</v>
      </c>
      <c r="O70">
        <v>4</v>
      </c>
      <c r="P70">
        <v>2</v>
      </c>
      <c r="Q70">
        <v>0.27</v>
      </c>
      <c r="R70">
        <v>0.318</v>
      </c>
      <c r="S70">
        <v>0.39800000000000002</v>
      </c>
      <c r="T70">
        <v>0.71599999999999997</v>
      </c>
      <c r="U70">
        <v>3</v>
      </c>
      <c r="V70">
        <v>0</v>
      </c>
      <c r="W70">
        <v>6</v>
      </c>
      <c r="X70">
        <v>200</v>
      </c>
      <c r="Y70">
        <v>2</v>
      </c>
      <c r="Z70">
        <v>27.17107</v>
      </c>
    </row>
    <row r="71" spans="1:26" x14ac:dyDescent="0.2">
      <c r="A71">
        <v>70</v>
      </c>
      <c r="B71" t="s">
        <v>129</v>
      </c>
      <c r="C71" t="s">
        <v>55</v>
      </c>
      <c r="D71" t="s">
        <v>27</v>
      </c>
      <c r="E71">
        <v>153</v>
      </c>
      <c r="F71">
        <v>569</v>
      </c>
      <c r="G71">
        <v>65</v>
      </c>
      <c r="H71">
        <v>127</v>
      </c>
      <c r="I71">
        <v>18</v>
      </c>
      <c r="J71">
        <v>1</v>
      </c>
      <c r="K71">
        <v>23</v>
      </c>
      <c r="L71">
        <v>95</v>
      </c>
      <c r="M71">
        <v>67</v>
      </c>
      <c r="N71">
        <v>190</v>
      </c>
      <c r="O71">
        <v>0</v>
      </c>
      <c r="P71">
        <v>0</v>
      </c>
      <c r="Q71">
        <v>0.223</v>
      </c>
      <c r="R71">
        <v>0.31</v>
      </c>
      <c r="S71">
        <v>0.38</v>
      </c>
      <c r="T71">
        <v>0.69</v>
      </c>
      <c r="U71">
        <v>7</v>
      </c>
      <c r="V71">
        <v>0</v>
      </c>
      <c r="W71">
        <v>5</v>
      </c>
      <c r="X71">
        <v>216</v>
      </c>
      <c r="Y71">
        <v>1</v>
      </c>
      <c r="Z71">
        <v>40.718620000000001</v>
      </c>
    </row>
    <row r="72" spans="1:26" x14ac:dyDescent="0.2">
      <c r="A72">
        <v>71</v>
      </c>
      <c r="B72" t="s">
        <v>130</v>
      </c>
      <c r="C72" t="s">
        <v>64</v>
      </c>
      <c r="D72" t="s">
        <v>41</v>
      </c>
      <c r="E72">
        <v>142</v>
      </c>
      <c r="F72">
        <v>549</v>
      </c>
      <c r="G72">
        <v>71</v>
      </c>
      <c r="H72">
        <v>157</v>
      </c>
      <c r="I72">
        <v>33</v>
      </c>
      <c r="J72">
        <v>2</v>
      </c>
      <c r="K72">
        <v>17</v>
      </c>
      <c r="L72">
        <v>83</v>
      </c>
      <c r="M72">
        <v>23</v>
      </c>
      <c r="N72">
        <v>89</v>
      </c>
      <c r="O72">
        <v>4</v>
      </c>
      <c r="P72">
        <v>3</v>
      </c>
      <c r="Q72">
        <v>0.28599999999999998</v>
      </c>
      <c r="R72">
        <v>0.31900000000000001</v>
      </c>
      <c r="S72">
        <v>0.44600000000000001</v>
      </c>
      <c r="T72">
        <v>0.76500000000000001</v>
      </c>
      <c r="U72">
        <v>7</v>
      </c>
      <c r="V72">
        <v>0</v>
      </c>
      <c r="W72">
        <v>7</v>
      </c>
      <c r="X72">
        <v>245</v>
      </c>
      <c r="Y72">
        <v>1</v>
      </c>
      <c r="Z72">
        <v>15.53027</v>
      </c>
    </row>
    <row r="73" spans="1:26" x14ac:dyDescent="0.2">
      <c r="A73">
        <v>72</v>
      </c>
      <c r="B73" t="s">
        <v>131</v>
      </c>
      <c r="C73" t="s">
        <v>40</v>
      </c>
      <c r="D73" t="s">
        <v>35</v>
      </c>
      <c r="E73">
        <v>135</v>
      </c>
      <c r="F73">
        <v>528</v>
      </c>
      <c r="G73">
        <v>50</v>
      </c>
      <c r="H73">
        <v>133</v>
      </c>
      <c r="I73">
        <v>21</v>
      </c>
      <c r="J73">
        <v>3</v>
      </c>
      <c r="K73">
        <v>6</v>
      </c>
      <c r="L73">
        <v>66</v>
      </c>
      <c r="M73">
        <v>33</v>
      </c>
      <c r="N73">
        <v>68</v>
      </c>
      <c r="O73">
        <v>9</v>
      </c>
      <c r="P73">
        <v>3</v>
      </c>
      <c r="Q73">
        <v>0.252</v>
      </c>
      <c r="R73">
        <v>0.29499999999999998</v>
      </c>
      <c r="S73">
        <v>0.33700000000000002</v>
      </c>
      <c r="T73">
        <v>0.63200000000000001</v>
      </c>
      <c r="U73">
        <v>2</v>
      </c>
      <c r="V73">
        <v>5</v>
      </c>
      <c r="W73">
        <v>7</v>
      </c>
      <c r="X73">
        <v>178</v>
      </c>
      <c r="Y73">
        <v>1</v>
      </c>
      <c r="Z73">
        <v>35.283380000000001</v>
      </c>
    </row>
    <row r="74" spans="1:26" x14ac:dyDescent="0.2">
      <c r="A74">
        <v>73</v>
      </c>
      <c r="B74" t="s">
        <v>132</v>
      </c>
      <c r="C74" t="s">
        <v>29</v>
      </c>
      <c r="D74" t="s">
        <v>66</v>
      </c>
      <c r="E74">
        <v>154</v>
      </c>
      <c r="F74">
        <v>597</v>
      </c>
      <c r="G74">
        <v>71</v>
      </c>
      <c r="H74">
        <v>153</v>
      </c>
      <c r="I74">
        <v>30</v>
      </c>
      <c r="J74">
        <v>6</v>
      </c>
      <c r="K74">
        <v>4</v>
      </c>
      <c r="L74">
        <v>47</v>
      </c>
      <c r="M74">
        <v>47</v>
      </c>
      <c r="N74">
        <v>144</v>
      </c>
      <c r="O74">
        <v>20</v>
      </c>
      <c r="P74">
        <v>6</v>
      </c>
      <c r="Q74">
        <v>0.25600000000000001</v>
      </c>
      <c r="R74">
        <v>0.308</v>
      </c>
      <c r="S74">
        <v>0.34699999999999998</v>
      </c>
      <c r="T74">
        <v>0.65500000000000003</v>
      </c>
      <c r="U74">
        <v>2</v>
      </c>
      <c r="V74">
        <v>1</v>
      </c>
      <c r="W74">
        <v>9</v>
      </c>
      <c r="X74">
        <v>207</v>
      </c>
      <c r="Y74">
        <v>3</v>
      </c>
      <c r="Z74">
        <v>40.543640000000003</v>
      </c>
    </row>
    <row r="75" spans="1:26" x14ac:dyDescent="0.2">
      <c r="A75">
        <v>74</v>
      </c>
      <c r="B75" t="s">
        <v>133</v>
      </c>
      <c r="C75" t="s">
        <v>23</v>
      </c>
      <c r="D75" t="s">
        <v>66</v>
      </c>
      <c r="E75">
        <v>123</v>
      </c>
      <c r="F75">
        <v>479</v>
      </c>
      <c r="G75">
        <v>64</v>
      </c>
      <c r="H75">
        <v>117</v>
      </c>
      <c r="I75">
        <v>30</v>
      </c>
      <c r="J75">
        <v>2</v>
      </c>
      <c r="K75">
        <v>10</v>
      </c>
      <c r="L75">
        <v>36</v>
      </c>
      <c r="M75">
        <v>47</v>
      </c>
      <c r="N75">
        <v>108</v>
      </c>
      <c r="O75">
        <v>15</v>
      </c>
      <c r="P75">
        <v>6</v>
      </c>
      <c r="Q75">
        <v>0.24399999999999999</v>
      </c>
      <c r="R75">
        <v>0.31900000000000001</v>
      </c>
      <c r="S75">
        <v>0.378</v>
      </c>
      <c r="T75">
        <v>0.69699999999999995</v>
      </c>
      <c r="U75">
        <v>6</v>
      </c>
      <c r="V75">
        <v>9</v>
      </c>
      <c r="W75">
        <v>1</v>
      </c>
      <c r="X75">
        <v>181</v>
      </c>
      <c r="Y75">
        <v>2</v>
      </c>
      <c r="Z75">
        <v>25.429010000000002</v>
      </c>
    </row>
    <row r="76" spans="1:26" x14ac:dyDescent="0.2">
      <c r="A76">
        <v>75</v>
      </c>
      <c r="B76" t="s">
        <v>134</v>
      </c>
      <c r="C76" t="s">
        <v>106</v>
      </c>
      <c r="D76" t="s">
        <v>45</v>
      </c>
      <c r="E76">
        <v>153</v>
      </c>
      <c r="F76">
        <v>582</v>
      </c>
      <c r="G76">
        <v>43</v>
      </c>
      <c r="H76">
        <v>153</v>
      </c>
      <c r="I76">
        <v>27</v>
      </c>
      <c r="J76">
        <v>0</v>
      </c>
      <c r="K76">
        <v>10</v>
      </c>
      <c r="L76">
        <v>58</v>
      </c>
      <c r="M76">
        <v>23</v>
      </c>
      <c r="N76">
        <v>159</v>
      </c>
      <c r="O76">
        <v>6</v>
      </c>
      <c r="P76">
        <v>0</v>
      </c>
      <c r="Q76">
        <v>0.26300000000000001</v>
      </c>
      <c r="R76">
        <v>0.29199999999999998</v>
      </c>
      <c r="S76">
        <v>0.36099999999999999</v>
      </c>
      <c r="T76">
        <v>0.65300000000000002</v>
      </c>
      <c r="U76">
        <v>2</v>
      </c>
      <c r="V76">
        <v>2</v>
      </c>
      <c r="W76">
        <v>2</v>
      </c>
      <c r="X76">
        <v>210</v>
      </c>
      <c r="Y76">
        <v>1</v>
      </c>
      <c r="Z76">
        <v>48.780479999999997</v>
      </c>
    </row>
    <row r="77" spans="1:26" x14ac:dyDescent="0.2">
      <c r="A77">
        <v>76</v>
      </c>
      <c r="B77" t="s">
        <v>135</v>
      </c>
      <c r="C77" t="s">
        <v>86</v>
      </c>
      <c r="D77" t="s">
        <v>66</v>
      </c>
      <c r="E77">
        <v>159</v>
      </c>
      <c r="F77">
        <v>644</v>
      </c>
      <c r="G77">
        <v>88</v>
      </c>
      <c r="H77">
        <v>181</v>
      </c>
      <c r="I77">
        <v>30</v>
      </c>
      <c r="J77">
        <v>2</v>
      </c>
      <c r="K77">
        <v>29</v>
      </c>
      <c r="L77">
        <v>96</v>
      </c>
      <c r="M77">
        <v>19</v>
      </c>
      <c r="N77">
        <v>133</v>
      </c>
      <c r="O77">
        <v>7</v>
      </c>
      <c r="P77">
        <v>1</v>
      </c>
      <c r="Q77">
        <v>0.28100000000000003</v>
      </c>
      <c r="R77">
        <v>0.311</v>
      </c>
      <c r="S77">
        <v>0.46899999999999997</v>
      </c>
      <c r="T77">
        <v>0.78</v>
      </c>
      <c r="U77">
        <v>12</v>
      </c>
      <c r="V77">
        <v>0</v>
      </c>
      <c r="W77">
        <v>7</v>
      </c>
      <c r="X77">
        <v>302</v>
      </c>
      <c r="Y77">
        <v>3</v>
      </c>
      <c r="Z77">
        <v>44.32694</v>
      </c>
    </row>
    <row r="78" spans="1:26" x14ac:dyDescent="0.2">
      <c r="A78">
        <v>77</v>
      </c>
      <c r="B78" t="s">
        <v>136</v>
      </c>
      <c r="C78" t="s">
        <v>123</v>
      </c>
      <c r="D78" t="s">
        <v>27</v>
      </c>
      <c r="E78">
        <v>146</v>
      </c>
      <c r="F78">
        <v>496</v>
      </c>
      <c r="G78">
        <v>59</v>
      </c>
      <c r="H78">
        <v>122</v>
      </c>
      <c r="I78">
        <v>33</v>
      </c>
      <c r="J78">
        <v>2</v>
      </c>
      <c r="K78">
        <v>15</v>
      </c>
      <c r="L78">
        <v>53</v>
      </c>
      <c r="M78">
        <v>46</v>
      </c>
      <c r="N78">
        <v>116</v>
      </c>
      <c r="O78">
        <v>0</v>
      </c>
      <c r="P78">
        <v>1</v>
      </c>
      <c r="Q78">
        <v>0.246</v>
      </c>
      <c r="R78">
        <v>0.309</v>
      </c>
      <c r="S78">
        <v>0.41099999999999998</v>
      </c>
      <c r="T78">
        <v>0.72</v>
      </c>
      <c r="U78">
        <v>1</v>
      </c>
      <c r="V78">
        <v>0</v>
      </c>
      <c r="W78">
        <v>4</v>
      </c>
      <c r="X78">
        <v>204</v>
      </c>
      <c r="Y78">
        <v>2</v>
      </c>
      <c r="Z78">
        <v>19.122109999999999</v>
      </c>
    </row>
    <row r="79" spans="1:26" x14ac:dyDescent="0.2">
      <c r="A79">
        <v>78</v>
      </c>
      <c r="B79" t="s">
        <v>137</v>
      </c>
      <c r="C79" t="s">
        <v>113</v>
      </c>
      <c r="D79" t="s">
        <v>30</v>
      </c>
      <c r="E79">
        <v>150</v>
      </c>
      <c r="F79">
        <v>541</v>
      </c>
      <c r="G79">
        <v>77</v>
      </c>
      <c r="H79">
        <v>155</v>
      </c>
      <c r="I79">
        <v>38</v>
      </c>
      <c r="J79">
        <v>3</v>
      </c>
      <c r="K79">
        <v>25</v>
      </c>
      <c r="L79">
        <v>89</v>
      </c>
      <c r="M79">
        <v>52</v>
      </c>
      <c r="N79">
        <v>145</v>
      </c>
      <c r="O79">
        <v>8</v>
      </c>
      <c r="P79">
        <v>5</v>
      </c>
      <c r="Q79">
        <v>0.28699999999999998</v>
      </c>
      <c r="R79">
        <v>0.34599999999999997</v>
      </c>
      <c r="S79">
        <v>0.50600000000000001</v>
      </c>
      <c r="T79">
        <v>0.85199999999999998</v>
      </c>
      <c r="U79">
        <v>0</v>
      </c>
      <c r="V79">
        <v>0</v>
      </c>
      <c r="W79">
        <v>6</v>
      </c>
      <c r="X79">
        <v>274</v>
      </c>
      <c r="Y79">
        <v>1</v>
      </c>
      <c r="Z79">
        <v>22.003129999999999</v>
      </c>
    </row>
    <row r="80" spans="1:26" x14ac:dyDescent="0.2">
      <c r="A80">
        <v>79</v>
      </c>
      <c r="B80" t="s">
        <v>138</v>
      </c>
      <c r="C80" t="s">
        <v>68</v>
      </c>
      <c r="D80" t="s">
        <v>35</v>
      </c>
      <c r="E80">
        <v>157</v>
      </c>
      <c r="F80">
        <v>617</v>
      </c>
      <c r="G80">
        <v>85</v>
      </c>
      <c r="H80">
        <v>181</v>
      </c>
      <c r="I80">
        <v>33</v>
      </c>
      <c r="J80">
        <v>5</v>
      </c>
      <c r="K80">
        <v>7</v>
      </c>
      <c r="L80">
        <v>75</v>
      </c>
      <c r="M80">
        <v>48</v>
      </c>
      <c r="N80">
        <v>110</v>
      </c>
      <c r="O80">
        <v>14</v>
      </c>
      <c r="P80">
        <v>5</v>
      </c>
      <c r="Q80">
        <v>0.29299999999999998</v>
      </c>
      <c r="R80">
        <v>0.34699999999999998</v>
      </c>
      <c r="S80">
        <v>0.39700000000000002</v>
      </c>
      <c r="T80">
        <v>0.74399999999999999</v>
      </c>
      <c r="U80">
        <v>4</v>
      </c>
      <c r="V80">
        <v>3</v>
      </c>
      <c r="W80">
        <v>2</v>
      </c>
      <c r="X80">
        <v>245</v>
      </c>
      <c r="Y80">
        <v>3</v>
      </c>
      <c r="Z80">
        <v>16.2563</v>
      </c>
    </row>
    <row r="81" spans="1:26" x14ac:dyDescent="0.2">
      <c r="A81">
        <v>80</v>
      </c>
      <c r="B81" t="s">
        <v>139</v>
      </c>
      <c r="C81" t="s">
        <v>64</v>
      </c>
      <c r="D81" t="s">
        <v>35</v>
      </c>
      <c r="E81">
        <v>161</v>
      </c>
      <c r="F81">
        <v>684</v>
      </c>
      <c r="G81">
        <v>100</v>
      </c>
      <c r="H81">
        <v>188</v>
      </c>
      <c r="I81">
        <v>40</v>
      </c>
      <c r="J81">
        <v>4</v>
      </c>
      <c r="K81">
        <v>17</v>
      </c>
      <c r="L81">
        <v>92</v>
      </c>
      <c r="M81">
        <v>29</v>
      </c>
      <c r="N81">
        <v>79</v>
      </c>
      <c r="O81">
        <v>15</v>
      </c>
      <c r="P81">
        <v>4</v>
      </c>
      <c r="Q81">
        <v>0.27500000000000002</v>
      </c>
      <c r="R81">
        <v>0.307</v>
      </c>
      <c r="S81">
        <v>0.42</v>
      </c>
      <c r="T81">
        <v>0.72699999999999998</v>
      </c>
      <c r="U81">
        <v>5</v>
      </c>
      <c r="V81">
        <v>3</v>
      </c>
      <c r="W81">
        <v>5</v>
      </c>
      <c r="X81">
        <v>287</v>
      </c>
      <c r="Y81">
        <v>3</v>
      </c>
      <c r="Z81">
        <v>80.801320000000004</v>
      </c>
    </row>
    <row r="82" spans="1:26" x14ac:dyDescent="0.2">
      <c r="A82">
        <v>81</v>
      </c>
      <c r="B82" t="s">
        <v>140</v>
      </c>
      <c r="C82" t="s">
        <v>51</v>
      </c>
      <c r="D82" t="s">
        <v>35</v>
      </c>
      <c r="E82">
        <v>129</v>
      </c>
      <c r="F82">
        <v>500</v>
      </c>
      <c r="G82">
        <v>61</v>
      </c>
      <c r="H82">
        <v>120</v>
      </c>
      <c r="I82">
        <v>25</v>
      </c>
      <c r="J82">
        <v>1</v>
      </c>
      <c r="K82">
        <v>6</v>
      </c>
      <c r="L82">
        <v>41</v>
      </c>
      <c r="M82">
        <v>50</v>
      </c>
      <c r="N82">
        <v>100</v>
      </c>
      <c r="O82">
        <v>22</v>
      </c>
      <c r="P82">
        <v>3</v>
      </c>
      <c r="Q82">
        <v>0.24</v>
      </c>
      <c r="R82">
        <v>0.31</v>
      </c>
      <c r="S82">
        <v>0.33</v>
      </c>
      <c r="T82">
        <v>0.64</v>
      </c>
      <c r="U82">
        <v>2</v>
      </c>
      <c r="V82">
        <v>1</v>
      </c>
      <c r="W82">
        <v>2</v>
      </c>
      <c r="X82">
        <v>165</v>
      </c>
      <c r="Y82">
        <v>2</v>
      </c>
      <c r="Z82">
        <v>26.67388</v>
      </c>
    </row>
    <row r="83" spans="1:26" x14ac:dyDescent="0.2">
      <c r="A83">
        <v>82</v>
      </c>
      <c r="B83" t="s">
        <v>141</v>
      </c>
      <c r="C83" t="s">
        <v>62</v>
      </c>
      <c r="D83" t="s">
        <v>27</v>
      </c>
      <c r="E83">
        <v>140</v>
      </c>
      <c r="F83">
        <v>494</v>
      </c>
      <c r="G83">
        <v>73</v>
      </c>
      <c r="H83">
        <v>128</v>
      </c>
      <c r="I83">
        <v>19</v>
      </c>
      <c r="J83">
        <v>0</v>
      </c>
      <c r="K83">
        <v>26</v>
      </c>
      <c r="L83">
        <v>92</v>
      </c>
      <c r="M83">
        <v>82</v>
      </c>
      <c r="N83">
        <v>108</v>
      </c>
      <c r="O83">
        <v>3</v>
      </c>
      <c r="P83">
        <v>0</v>
      </c>
      <c r="Q83">
        <v>0.25900000000000001</v>
      </c>
      <c r="R83">
        <v>0.36199999999999999</v>
      </c>
      <c r="S83">
        <v>0.45500000000000002</v>
      </c>
      <c r="T83">
        <v>0.81699999999999995</v>
      </c>
      <c r="U83">
        <v>2</v>
      </c>
      <c r="V83">
        <v>0</v>
      </c>
      <c r="W83">
        <v>8</v>
      </c>
      <c r="X83">
        <v>225</v>
      </c>
      <c r="Y83">
        <v>2</v>
      </c>
      <c r="Z83">
        <v>43.27966</v>
      </c>
    </row>
    <row r="84" spans="1:26" x14ac:dyDescent="0.2">
      <c r="A84">
        <v>83</v>
      </c>
      <c r="B84" t="s">
        <v>142</v>
      </c>
      <c r="C84" t="s">
        <v>47</v>
      </c>
      <c r="D84" t="s">
        <v>35</v>
      </c>
      <c r="E84">
        <v>149</v>
      </c>
      <c r="F84">
        <v>494</v>
      </c>
      <c r="G84">
        <v>59</v>
      </c>
      <c r="H84">
        <v>132</v>
      </c>
      <c r="I84">
        <v>15</v>
      </c>
      <c r="J84">
        <v>5</v>
      </c>
      <c r="K84">
        <v>5</v>
      </c>
      <c r="L84">
        <v>42</v>
      </c>
      <c r="M84">
        <v>33</v>
      </c>
      <c r="N84">
        <v>97</v>
      </c>
      <c r="O84">
        <v>10</v>
      </c>
      <c r="P84">
        <v>10</v>
      </c>
      <c r="Q84">
        <v>0.26700000000000002</v>
      </c>
      <c r="R84">
        <v>0.315</v>
      </c>
      <c r="S84">
        <v>0.34799999999999998</v>
      </c>
      <c r="T84">
        <v>0.66300000000000003</v>
      </c>
      <c r="U84">
        <v>2</v>
      </c>
      <c r="V84">
        <v>7</v>
      </c>
      <c r="W84">
        <v>2</v>
      </c>
      <c r="X84">
        <v>172</v>
      </c>
      <c r="Y84">
        <v>2</v>
      </c>
      <c r="Z84">
        <v>27.0733</v>
      </c>
    </row>
    <row r="85" spans="1:26" x14ac:dyDescent="0.2">
      <c r="A85">
        <v>84</v>
      </c>
      <c r="B85" t="s">
        <v>143</v>
      </c>
      <c r="C85" t="s">
        <v>23</v>
      </c>
      <c r="D85" t="s">
        <v>27</v>
      </c>
      <c r="E85">
        <v>155</v>
      </c>
      <c r="F85">
        <v>600</v>
      </c>
      <c r="G85">
        <v>59</v>
      </c>
      <c r="H85">
        <v>174</v>
      </c>
      <c r="I85">
        <v>27</v>
      </c>
      <c r="J85">
        <v>0</v>
      </c>
      <c r="K85">
        <v>9</v>
      </c>
      <c r="L85">
        <v>69</v>
      </c>
      <c r="M85">
        <v>41</v>
      </c>
      <c r="N85">
        <v>80</v>
      </c>
      <c r="O85">
        <v>4</v>
      </c>
      <c r="P85">
        <v>0</v>
      </c>
      <c r="Q85">
        <v>0.28999999999999998</v>
      </c>
      <c r="R85">
        <v>0.33600000000000002</v>
      </c>
      <c r="S85">
        <v>0.38</v>
      </c>
      <c r="T85">
        <v>0.71599999999999997</v>
      </c>
      <c r="U85">
        <v>4</v>
      </c>
      <c r="V85">
        <v>0</v>
      </c>
      <c r="W85">
        <v>6</v>
      </c>
      <c r="X85">
        <v>228</v>
      </c>
      <c r="Y85">
        <v>3</v>
      </c>
      <c r="Z85">
        <v>29.578759999999999</v>
      </c>
    </row>
    <row r="86" spans="1:26" x14ac:dyDescent="0.2">
      <c r="A86">
        <v>85</v>
      </c>
      <c r="B86" t="s">
        <v>144</v>
      </c>
      <c r="C86" t="s">
        <v>23</v>
      </c>
      <c r="D86" t="s">
        <v>45</v>
      </c>
      <c r="E86">
        <v>162</v>
      </c>
      <c r="F86">
        <v>624</v>
      </c>
      <c r="G86">
        <v>83</v>
      </c>
      <c r="H86">
        <v>158</v>
      </c>
      <c r="I86">
        <v>26</v>
      </c>
      <c r="J86">
        <v>1</v>
      </c>
      <c r="K86">
        <v>22</v>
      </c>
      <c r="L86">
        <v>91</v>
      </c>
      <c r="M86">
        <v>57</v>
      </c>
      <c r="N86">
        <v>133</v>
      </c>
      <c r="O86">
        <v>5</v>
      </c>
      <c r="P86">
        <v>0</v>
      </c>
      <c r="Q86">
        <v>0.253</v>
      </c>
      <c r="R86">
        <v>0.32</v>
      </c>
      <c r="S86">
        <v>0.40400000000000003</v>
      </c>
      <c r="T86">
        <v>0.72399999999999998</v>
      </c>
      <c r="U86">
        <v>9</v>
      </c>
      <c r="V86">
        <v>1</v>
      </c>
      <c r="W86">
        <v>9</v>
      </c>
      <c r="X86">
        <v>252</v>
      </c>
      <c r="Y86">
        <v>3</v>
      </c>
      <c r="Z86">
        <v>27.411490000000001</v>
      </c>
    </row>
    <row r="87" spans="1:26" x14ac:dyDescent="0.2">
      <c r="A87">
        <v>86</v>
      </c>
      <c r="B87" t="s">
        <v>145</v>
      </c>
      <c r="C87" t="s">
        <v>84</v>
      </c>
      <c r="D87" t="s">
        <v>38</v>
      </c>
      <c r="E87">
        <v>136</v>
      </c>
      <c r="F87">
        <v>502</v>
      </c>
      <c r="G87">
        <v>59</v>
      </c>
      <c r="H87">
        <v>125</v>
      </c>
      <c r="I87">
        <v>29</v>
      </c>
      <c r="J87">
        <v>3</v>
      </c>
      <c r="K87">
        <v>6</v>
      </c>
      <c r="L87">
        <v>50</v>
      </c>
      <c r="M87">
        <v>51</v>
      </c>
      <c r="N87">
        <v>79</v>
      </c>
      <c r="O87">
        <v>0</v>
      </c>
      <c r="P87">
        <v>0</v>
      </c>
      <c r="Q87">
        <v>0.249</v>
      </c>
      <c r="R87">
        <v>0.32100000000000001</v>
      </c>
      <c r="S87">
        <v>0.35499999999999998</v>
      </c>
      <c r="T87">
        <v>0.67600000000000005</v>
      </c>
      <c r="U87">
        <v>5</v>
      </c>
      <c r="V87">
        <v>2</v>
      </c>
      <c r="W87">
        <v>6</v>
      </c>
      <c r="X87">
        <v>178</v>
      </c>
      <c r="Y87">
        <v>2</v>
      </c>
      <c r="Z87">
        <v>23.433869999999999</v>
      </c>
    </row>
    <row r="88" spans="1:26" x14ac:dyDescent="0.2">
      <c r="A88">
        <v>87</v>
      </c>
      <c r="B88" t="s">
        <v>146</v>
      </c>
      <c r="C88" t="s">
        <v>53</v>
      </c>
      <c r="D88" t="s">
        <v>74</v>
      </c>
      <c r="E88">
        <v>153</v>
      </c>
      <c r="F88">
        <v>585</v>
      </c>
      <c r="G88">
        <v>73</v>
      </c>
      <c r="H88">
        <v>176</v>
      </c>
      <c r="I88">
        <v>53</v>
      </c>
      <c r="J88">
        <v>2</v>
      </c>
      <c r="K88">
        <v>13</v>
      </c>
      <c r="L88">
        <v>69</v>
      </c>
      <c r="M88">
        <v>66</v>
      </c>
      <c r="N88">
        <v>71</v>
      </c>
      <c r="O88">
        <v>4</v>
      </c>
      <c r="P88">
        <v>4</v>
      </c>
      <c r="Q88">
        <v>0.30099999999999999</v>
      </c>
      <c r="R88">
        <v>0.373</v>
      </c>
      <c r="S88">
        <v>0.46500000000000002</v>
      </c>
      <c r="T88">
        <v>0.83699999999999997</v>
      </c>
      <c r="U88">
        <v>2</v>
      </c>
      <c r="V88">
        <v>0</v>
      </c>
      <c r="W88">
        <v>2</v>
      </c>
      <c r="X88">
        <v>272</v>
      </c>
      <c r="Y88">
        <v>3</v>
      </c>
      <c r="Z88">
        <v>27.876909999999999</v>
      </c>
    </row>
    <row r="89" spans="1:26" x14ac:dyDescent="0.2">
      <c r="A89">
        <v>88</v>
      </c>
      <c r="B89" t="s">
        <v>147</v>
      </c>
      <c r="C89" t="s">
        <v>86</v>
      </c>
      <c r="D89" t="s">
        <v>41</v>
      </c>
      <c r="E89">
        <v>155</v>
      </c>
      <c r="F89">
        <v>642</v>
      </c>
      <c r="G89">
        <v>81</v>
      </c>
      <c r="H89">
        <v>177</v>
      </c>
      <c r="I89">
        <v>27</v>
      </c>
      <c r="J89">
        <v>1</v>
      </c>
      <c r="K89">
        <v>14</v>
      </c>
      <c r="L89">
        <v>50</v>
      </c>
      <c r="M89">
        <v>62</v>
      </c>
      <c r="N89">
        <v>84</v>
      </c>
      <c r="O89">
        <v>4</v>
      </c>
      <c r="P89">
        <v>2</v>
      </c>
      <c r="Q89">
        <v>0.27600000000000002</v>
      </c>
      <c r="R89">
        <v>0.34200000000000003</v>
      </c>
      <c r="S89">
        <v>0.38600000000000001</v>
      </c>
      <c r="T89">
        <v>0.72899999999999998</v>
      </c>
      <c r="U89">
        <v>4</v>
      </c>
      <c r="V89">
        <v>0</v>
      </c>
      <c r="W89">
        <v>2</v>
      </c>
      <c r="X89">
        <v>248</v>
      </c>
      <c r="Y89">
        <v>3</v>
      </c>
      <c r="Z89">
        <v>42.873040000000003</v>
      </c>
    </row>
    <row r="90" spans="1:26" x14ac:dyDescent="0.2">
      <c r="A90">
        <v>89</v>
      </c>
      <c r="B90" t="s">
        <v>148</v>
      </c>
      <c r="C90" t="s">
        <v>120</v>
      </c>
      <c r="D90" t="s">
        <v>30</v>
      </c>
      <c r="E90">
        <v>135</v>
      </c>
      <c r="F90">
        <v>495</v>
      </c>
      <c r="G90">
        <v>73</v>
      </c>
      <c r="H90">
        <v>144</v>
      </c>
      <c r="I90">
        <v>29</v>
      </c>
      <c r="J90">
        <v>6</v>
      </c>
      <c r="K90">
        <v>13</v>
      </c>
      <c r="L90">
        <v>56</v>
      </c>
      <c r="M90">
        <v>33</v>
      </c>
      <c r="N90">
        <v>131</v>
      </c>
      <c r="O90">
        <v>30</v>
      </c>
      <c r="P90">
        <v>11</v>
      </c>
      <c r="Q90">
        <v>0.29099999999999998</v>
      </c>
      <c r="R90">
        <v>0.35599999999999998</v>
      </c>
      <c r="S90">
        <v>0.45300000000000001</v>
      </c>
      <c r="T90">
        <v>0.80800000000000005</v>
      </c>
      <c r="U90">
        <v>17</v>
      </c>
      <c r="V90">
        <v>0</v>
      </c>
      <c r="W90">
        <v>0</v>
      </c>
      <c r="X90">
        <v>224</v>
      </c>
      <c r="Y90">
        <v>2</v>
      </c>
      <c r="Z90">
        <v>29.88767</v>
      </c>
    </row>
    <row r="91" spans="1:26" x14ac:dyDescent="0.2">
      <c r="A91">
        <v>90</v>
      </c>
      <c r="B91" t="s">
        <v>149</v>
      </c>
      <c r="C91" t="s">
        <v>37</v>
      </c>
      <c r="D91" t="s">
        <v>66</v>
      </c>
      <c r="E91">
        <v>155</v>
      </c>
      <c r="F91">
        <v>533</v>
      </c>
      <c r="G91">
        <v>68</v>
      </c>
      <c r="H91">
        <v>146</v>
      </c>
      <c r="I91">
        <v>13</v>
      </c>
      <c r="J91">
        <v>7</v>
      </c>
      <c r="K91">
        <v>7</v>
      </c>
      <c r="L91">
        <v>40</v>
      </c>
      <c r="M91">
        <v>39</v>
      </c>
      <c r="N91">
        <v>114</v>
      </c>
      <c r="O91">
        <v>31</v>
      </c>
      <c r="P91">
        <v>12</v>
      </c>
      <c r="Q91">
        <v>0.27400000000000002</v>
      </c>
      <c r="R91">
        <v>0.32500000000000001</v>
      </c>
      <c r="S91">
        <v>0.36399999999999999</v>
      </c>
      <c r="T91">
        <v>0.68899999999999995</v>
      </c>
      <c r="U91">
        <v>2</v>
      </c>
      <c r="V91">
        <v>7</v>
      </c>
      <c r="W91">
        <v>2</v>
      </c>
      <c r="X91">
        <v>194</v>
      </c>
      <c r="Y91">
        <v>1</v>
      </c>
      <c r="Z91">
        <v>36.71031</v>
      </c>
    </row>
    <row r="92" spans="1:26" x14ac:dyDescent="0.2">
      <c r="A92">
        <v>91</v>
      </c>
      <c r="B92" t="s">
        <v>150</v>
      </c>
      <c r="C92" t="s">
        <v>64</v>
      </c>
      <c r="D92" t="s">
        <v>59</v>
      </c>
      <c r="E92">
        <v>151</v>
      </c>
      <c r="F92">
        <v>561</v>
      </c>
      <c r="G92">
        <v>87</v>
      </c>
      <c r="H92">
        <v>188</v>
      </c>
      <c r="I92">
        <v>33</v>
      </c>
      <c r="J92">
        <v>0</v>
      </c>
      <c r="K92">
        <v>32</v>
      </c>
      <c r="L92">
        <v>103</v>
      </c>
      <c r="M92">
        <v>70</v>
      </c>
      <c r="N92">
        <v>42</v>
      </c>
      <c r="O92">
        <v>3</v>
      </c>
      <c r="P92">
        <v>2</v>
      </c>
      <c r="Q92">
        <v>0.33500000000000002</v>
      </c>
      <c r="R92">
        <v>0.40899999999999997</v>
      </c>
      <c r="S92">
        <v>0.56499999999999995</v>
      </c>
      <c r="T92">
        <v>0.97399999999999998</v>
      </c>
      <c r="U92">
        <v>4</v>
      </c>
      <c r="V92">
        <v>0</v>
      </c>
      <c r="W92">
        <v>6</v>
      </c>
      <c r="X92">
        <v>317</v>
      </c>
      <c r="Y92">
        <v>1</v>
      </c>
      <c r="Z92">
        <v>57.595109999999998</v>
      </c>
    </row>
    <row r="93" spans="1:26" x14ac:dyDescent="0.2">
      <c r="A93">
        <v>92</v>
      </c>
      <c r="B93" t="s">
        <v>151</v>
      </c>
      <c r="C93" t="s">
        <v>93</v>
      </c>
      <c r="D93" t="s">
        <v>27</v>
      </c>
      <c r="E93">
        <v>120</v>
      </c>
      <c r="F93">
        <v>455</v>
      </c>
      <c r="G93">
        <v>60</v>
      </c>
      <c r="H93">
        <v>126</v>
      </c>
      <c r="I93">
        <v>27</v>
      </c>
      <c r="J93">
        <v>2</v>
      </c>
      <c r="K93">
        <v>4</v>
      </c>
      <c r="L93">
        <v>55</v>
      </c>
      <c r="M93">
        <v>60</v>
      </c>
      <c r="N93">
        <v>96</v>
      </c>
      <c r="O93">
        <v>3</v>
      </c>
      <c r="P93">
        <v>0</v>
      </c>
      <c r="Q93">
        <v>0.27700000000000002</v>
      </c>
      <c r="R93">
        <v>0.36099999999999999</v>
      </c>
      <c r="S93">
        <v>0.371</v>
      </c>
      <c r="T93">
        <v>0.73199999999999998</v>
      </c>
      <c r="U93">
        <v>1</v>
      </c>
      <c r="V93">
        <v>0</v>
      </c>
      <c r="W93">
        <v>2</v>
      </c>
      <c r="X93">
        <v>169</v>
      </c>
      <c r="Y93">
        <v>2</v>
      </c>
      <c r="Z93">
        <v>31.517469999999999</v>
      </c>
    </row>
    <row r="94" spans="1:26" x14ac:dyDescent="0.2">
      <c r="A94">
        <v>93</v>
      </c>
      <c r="B94" t="s">
        <v>152</v>
      </c>
      <c r="C94" t="s">
        <v>99</v>
      </c>
      <c r="D94" t="s">
        <v>74</v>
      </c>
      <c r="E94">
        <v>140</v>
      </c>
      <c r="F94">
        <v>495</v>
      </c>
      <c r="G94">
        <v>57</v>
      </c>
      <c r="H94">
        <v>115</v>
      </c>
      <c r="I94">
        <v>15</v>
      </c>
      <c r="J94">
        <v>1</v>
      </c>
      <c r="K94">
        <v>23</v>
      </c>
      <c r="L94">
        <v>75</v>
      </c>
      <c r="M94">
        <v>32</v>
      </c>
      <c r="N94">
        <v>77</v>
      </c>
      <c r="O94">
        <v>0</v>
      </c>
      <c r="P94">
        <v>0</v>
      </c>
      <c r="Q94">
        <v>0.23200000000000001</v>
      </c>
      <c r="R94">
        <v>0.28599999999999998</v>
      </c>
      <c r="S94">
        <v>0.40600000000000003</v>
      </c>
      <c r="T94">
        <v>0.69199999999999995</v>
      </c>
      <c r="U94">
        <v>7</v>
      </c>
      <c r="V94">
        <v>0</v>
      </c>
      <c r="W94">
        <v>4</v>
      </c>
      <c r="X94">
        <v>201</v>
      </c>
      <c r="Y94">
        <v>2</v>
      </c>
      <c r="Z94">
        <v>26.866710000000001</v>
      </c>
    </row>
    <row r="95" spans="1:26" x14ac:dyDescent="0.2">
      <c r="A95">
        <v>94</v>
      </c>
      <c r="B95" t="s">
        <v>153</v>
      </c>
      <c r="C95" t="s">
        <v>120</v>
      </c>
      <c r="D95" t="s">
        <v>66</v>
      </c>
      <c r="E95">
        <v>146</v>
      </c>
      <c r="F95">
        <v>548</v>
      </c>
      <c r="G95">
        <v>89</v>
      </c>
      <c r="H95">
        <v>172</v>
      </c>
      <c r="I95">
        <v>38</v>
      </c>
      <c r="J95">
        <v>6</v>
      </c>
      <c r="K95">
        <v>25</v>
      </c>
      <c r="L95">
        <v>83</v>
      </c>
      <c r="M95">
        <v>84</v>
      </c>
      <c r="N95">
        <v>115</v>
      </c>
      <c r="O95">
        <v>18</v>
      </c>
      <c r="P95">
        <v>3</v>
      </c>
      <c r="Q95">
        <v>0.314</v>
      </c>
      <c r="R95">
        <v>0.41</v>
      </c>
      <c r="S95">
        <v>0.54200000000000004</v>
      </c>
      <c r="T95">
        <v>0.95199999999999996</v>
      </c>
      <c r="U95">
        <v>10</v>
      </c>
      <c r="V95">
        <v>0</v>
      </c>
      <c r="W95">
        <v>6</v>
      </c>
      <c r="X95">
        <v>297</v>
      </c>
      <c r="Y95">
        <v>1</v>
      </c>
      <c r="Z95">
        <v>33.278700000000001</v>
      </c>
    </row>
    <row r="96" spans="1:26" x14ac:dyDescent="0.2">
      <c r="A96">
        <v>95</v>
      </c>
      <c r="B96" t="s">
        <v>154</v>
      </c>
      <c r="C96" t="s">
        <v>123</v>
      </c>
      <c r="D96" t="s">
        <v>45</v>
      </c>
      <c r="E96">
        <v>160</v>
      </c>
      <c r="F96">
        <v>616</v>
      </c>
      <c r="G96">
        <v>56</v>
      </c>
      <c r="H96">
        <v>177</v>
      </c>
      <c r="I96">
        <v>29</v>
      </c>
      <c r="J96">
        <v>1</v>
      </c>
      <c r="K96">
        <v>4</v>
      </c>
      <c r="L96">
        <v>76</v>
      </c>
      <c r="M96">
        <v>67</v>
      </c>
      <c r="N96">
        <v>102</v>
      </c>
      <c r="O96">
        <v>4</v>
      </c>
      <c r="P96">
        <v>2</v>
      </c>
      <c r="Q96">
        <v>0.28699999999999998</v>
      </c>
      <c r="R96">
        <v>0.35499999999999998</v>
      </c>
      <c r="S96">
        <v>0.35699999999999998</v>
      </c>
      <c r="T96">
        <v>0.71199999999999997</v>
      </c>
      <c r="U96">
        <v>1</v>
      </c>
      <c r="V96">
        <v>0</v>
      </c>
      <c r="W96">
        <v>7</v>
      </c>
      <c r="X96">
        <v>220</v>
      </c>
      <c r="Y96">
        <v>3</v>
      </c>
      <c r="Z96">
        <v>33.785600000000002</v>
      </c>
    </row>
    <row r="97" spans="1:26" x14ac:dyDescent="0.2">
      <c r="A97">
        <v>96</v>
      </c>
      <c r="B97" t="s">
        <v>155</v>
      </c>
      <c r="C97" t="s">
        <v>120</v>
      </c>
      <c r="D97" t="s">
        <v>38</v>
      </c>
      <c r="E97">
        <v>149</v>
      </c>
      <c r="F97">
        <v>506</v>
      </c>
      <c r="G97">
        <v>56</v>
      </c>
      <c r="H97">
        <v>129</v>
      </c>
      <c r="I97">
        <v>27</v>
      </c>
      <c r="J97">
        <v>2</v>
      </c>
      <c r="K97">
        <v>12</v>
      </c>
      <c r="L97">
        <v>55</v>
      </c>
      <c r="M97">
        <v>35</v>
      </c>
      <c r="N97">
        <v>89</v>
      </c>
      <c r="O97">
        <v>4</v>
      </c>
      <c r="P97">
        <v>1</v>
      </c>
      <c r="Q97">
        <v>0.255</v>
      </c>
      <c r="R97">
        <v>0.30499999999999999</v>
      </c>
      <c r="S97">
        <v>0.38700000000000001</v>
      </c>
      <c r="T97">
        <v>0.69299999999999995</v>
      </c>
      <c r="U97">
        <v>4</v>
      </c>
      <c r="V97">
        <v>5</v>
      </c>
      <c r="W97">
        <v>5</v>
      </c>
      <c r="X97">
        <v>196</v>
      </c>
      <c r="Y97">
        <v>2</v>
      </c>
      <c r="Z97">
        <v>29.659669999999998</v>
      </c>
    </row>
    <row r="98" spans="1:26" x14ac:dyDescent="0.2">
      <c r="A98">
        <v>97</v>
      </c>
      <c r="B98" t="s">
        <v>156</v>
      </c>
      <c r="C98" t="s">
        <v>126</v>
      </c>
      <c r="D98" t="s">
        <v>74</v>
      </c>
      <c r="E98">
        <v>136</v>
      </c>
      <c r="F98">
        <v>489</v>
      </c>
      <c r="G98">
        <v>40</v>
      </c>
      <c r="H98">
        <v>119</v>
      </c>
      <c r="I98">
        <v>23</v>
      </c>
      <c r="J98">
        <v>0</v>
      </c>
      <c r="K98">
        <v>13</v>
      </c>
      <c r="L98">
        <v>72</v>
      </c>
      <c r="M98">
        <v>56</v>
      </c>
      <c r="N98">
        <v>97</v>
      </c>
      <c r="O98">
        <v>0</v>
      </c>
      <c r="P98">
        <v>4</v>
      </c>
      <c r="Q98">
        <v>0.24299999999999999</v>
      </c>
      <c r="R98">
        <v>0.32900000000000001</v>
      </c>
      <c r="S98">
        <v>0.37</v>
      </c>
      <c r="T98">
        <v>0.69899999999999995</v>
      </c>
      <c r="U98">
        <v>9</v>
      </c>
      <c r="V98">
        <v>0</v>
      </c>
      <c r="W98">
        <v>6</v>
      </c>
      <c r="X98">
        <v>181</v>
      </c>
      <c r="Y98">
        <v>2</v>
      </c>
      <c r="Z98">
        <v>25.525950000000002</v>
      </c>
    </row>
    <row r="99" spans="1:26" x14ac:dyDescent="0.2">
      <c r="A99">
        <v>98</v>
      </c>
      <c r="B99" t="s">
        <v>157</v>
      </c>
      <c r="C99" t="s">
        <v>47</v>
      </c>
      <c r="D99" t="s">
        <v>27</v>
      </c>
      <c r="E99">
        <v>135</v>
      </c>
      <c r="F99">
        <v>502</v>
      </c>
      <c r="G99">
        <v>62</v>
      </c>
      <c r="H99">
        <v>160</v>
      </c>
      <c r="I99">
        <v>32</v>
      </c>
      <c r="J99">
        <v>3</v>
      </c>
      <c r="K99">
        <v>17</v>
      </c>
      <c r="L99">
        <v>82</v>
      </c>
      <c r="M99">
        <v>34</v>
      </c>
      <c r="N99">
        <v>60</v>
      </c>
      <c r="O99">
        <v>0</v>
      </c>
      <c r="P99">
        <v>3</v>
      </c>
      <c r="Q99">
        <v>0.31900000000000001</v>
      </c>
      <c r="R99">
        <v>0.36399999999999999</v>
      </c>
      <c r="S99">
        <v>0.496</v>
      </c>
      <c r="T99">
        <v>0.86</v>
      </c>
      <c r="U99">
        <v>6</v>
      </c>
      <c r="V99">
        <v>0</v>
      </c>
      <c r="W99">
        <v>8</v>
      </c>
      <c r="X99">
        <v>249</v>
      </c>
      <c r="Y99">
        <v>1</v>
      </c>
      <c r="Z99">
        <v>48.327179999999998</v>
      </c>
    </row>
    <row r="100" spans="1:26" x14ac:dyDescent="0.2">
      <c r="A100">
        <v>99</v>
      </c>
      <c r="B100" t="s">
        <v>158</v>
      </c>
      <c r="C100" t="s">
        <v>84</v>
      </c>
      <c r="D100" t="s">
        <v>27</v>
      </c>
      <c r="E100">
        <v>147</v>
      </c>
      <c r="F100">
        <v>500</v>
      </c>
      <c r="G100">
        <v>70</v>
      </c>
      <c r="H100">
        <v>117</v>
      </c>
      <c r="I100">
        <v>23</v>
      </c>
      <c r="J100">
        <v>2</v>
      </c>
      <c r="K100">
        <v>25</v>
      </c>
      <c r="L100">
        <v>81</v>
      </c>
      <c r="M100">
        <v>67</v>
      </c>
      <c r="N100">
        <v>153</v>
      </c>
      <c r="O100">
        <v>1</v>
      </c>
      <c r="P100">
        <v>0</v>
      </c>
      <c r="Q100">
        <v>0.23400000000000001</v>
      </c>
      <c r="R100">
        <v>0.33400000000000002</v>
      </c>
      <c r="S100">
        <v>0.438</v>
      </c>
      <c r="T100">
        <v>0.77200000000000002</v>
      </c>
      <c r="U100">
        <v>10</v>
      </c>
      <c r="V100">
        <v>0</v>
      </c>
      <c r="W100">
        <v>3</v>
      </c>
      <c r="X100">
        <v>219</v>
      </c>
      <c r="Y100">
        <v>2</v>
      </c>
      <c r="Z100">
        <v>37.612470000000002</v>
      </c>
    </row>
    <row r="101" spans="1:26" x14ac:dyDescent="0.2">
      <c r="A101">
        <v>100</v>
      </c>
      <c r="B101" t="s">
        <v>159</v>
      </c>
      <c r="C101" t="s">
        <v>95</v>
      </c>
      <c r="D101" t="s">
        <v>35</v>
      </c>
      <c r="E101">
        <v>143</v>
      </c>
      <c r="F101">
        <v>596</v>
      </c>
      <c r="G101">
        <v>79</v>
      </c>
      <c r="H101">
        <v>172</v>
      </c>
      <c r="I101">
        <v>37</v>
      </c>
      <c r="J101">
        <v>2</v>
      </c>
      <c r="K101">
        <v>9</v>
      </c>
      <c r="L101">
        <v>57</v>
      </c>
      <c r="M101">
        <v>39</v>
      </c>
      <c r="N101">
        <v>86</v>
      </c>
      <c r="O101">
        <v>13</v>
      </c>
      <c r="P101">
        <v>5</v>
      </c>
      <c r="Q101">
        <v>0.28899999999999998</v>
      </c>
      <c r="R101">
        <v>0.33200000000000002</v>
      </c>
      <c r="S101">
        <v>0.40300000000000002</v>
      </c>
      <c r="T101">
        <v>0.73399999999999999</v>
      </c>
      <c r="U101">
        <v>2</v>
      </c>
      <c r="V101">
        <v>0</v>
      </c>
      <c r="W101">
        <v>5</v>
      </c>
      <c r="X101">
        <v>240</v>
      </c>
      <c r="Y101">
        <v>3</v>
      </c>
      <c r="Z101">
        <v>27.24905</v>
      </c>
    </row>
    <row r="102" spans="1:26" x14ac:dyDescent="0.2">
      <c r="A102">
        <v>101</v>
      </c>
      <c r="B102" t="s">
        <v>160</v>
      </c>
      <c r="C102" t="s">
        <v>43</v>
      </c>
      <c r="D102" t="s">
        <v>74</v>
      </c>
      <c r="E102">
        <v>139</v>
      </c>
      <c r="F102">
        <v>481</v>
      </c>
      <c r="G102">
        <v>40</v>
      </c>
      <c r="H102">
        <v>132</v>
      </c>
      <c r="I102">
        <v>22</v>
      </c>
      <c r="J102">
        <v>0</v>
      </c>
      <c r="K102">
        <v>12</v>
      </c>
      <c r="L102">
        <v>69</v>
      </c>
      <c r="M102">
        <v>32</v>
      </c>
      <c r="N102">
        <v>76</v>
      </c>
      <c r="O102">
        <v>3</v>
      </c>
      <c r="P102">
        <v>0</v>
      </c>
      <c r="Q102">
        <v>0.27400000000000002</v>
      </c>
      <c r="R102">
        <v>0.317</v>
      </c>
      <c r="S102">
        <v>0.39500000000000002</v>
      </c>
      <c r="T102">
        <v>0.71199999999999997</v>
      </c>
      <c r="U102">
        <v>1</v>
      </c>
      <c r="V102">
        <v>0</v>
      </c>
      <c r="W102">
        <v>6</v>
      </c>
      <c r="X102">
        <v>190</v>
      </c>
      <c r="Y102">
        <v>2</v>
      </c>
      <c r="Z102">
        <v>24.489519999999999</v>
      </c>
    </row>
    <row r="103" spans="1:26" x14ac:dyDescent="0.2">
      <c r="A103">
        <v>102</v>
      </c>
      <c r="B103" t="s">
        <v>161</v>
      </c>
      <c r="C103" t="s">
        <v>49</v>
      </c>
      <c r="D103" t="s">
        <v>59</v>
      </c>
      <c r="E103">
        <v>142</v>
      </c>
      <c r="F103">
        <v>518</v>
      </c>
      <c r="G103">
        <v>59</v>
      </c>
      <c r="H103">
        <v>136</v>
      </c>
      <c r="I103">
        <v>27</v>
      </c>
      <c r="J103">
        <v>0</v>
      </c>
      <c r="K103">
        <v>35</v>
      </c>
      <c r="L103">
        <v>104</v>
      </c>
      <c r="M103">
        <v>75</v>
      </c>
      <c r="N103">
        <v>95</v>
      </c>
      <c r="O103">
        <v>0</v>
      </c>
      <c r="P103">
        <v>0</v>
      </c>
      <c r="Q103">
        <v>0.26300000000000001</v>
      </c>
      <c r="R103">
        <v>0.35499999999999998</v>
      </c>
      <c r="S103">
        <v>0.51700000000000002</v>
      </c>
      <c r="T103">
        <v>0.873</v>
      </c>
      <c r="U103">
        <v>3</v>
      </c>
      <c r="V103">
        <v>0</v>
      </c>
      <c r="W103">
        <v>6</v>
      </c>
      <c r="X103">
        <v>268</v>
      </c>
      <c r="Y103">
        <v>1</v>
      </c>
      <c r="Z103">
        <v>49.041069999999998</v>
      </c>
    </row>
    <row r="104" spans="1:26" x14ac:dyDescent="0.2">
      <c r="A104">
        <v>103</v>
      </c>
      <c r="B104" t="s">
        <v>162</v>
      </c>
      <c r="C104" t="s">
        <v>123</v>
      </c>
      <c r="D104" t="s">
        <v>66</v>
      </c>
      <c r="E104">
        <v>153</v>
      </c>
      <c r="F104">
        <v>565</v>
      </c>
      <c r="G104">
        <v>72</v>
      </c>
      <c r="H104">
        <v>152</v>
      </c>
      <c r="I104">
        <v>26</v>
      </c>
      <c r="J104">
        <v>5</v>
      </c>
      <c r="K104">
        <v>23</v>
      </c>
      <c r="L104">
        <v>85</v>
      </c>
      <c r="M104">
        <v>41</v>
      </c>
      <c r="N104">
        <v>164</v>
      </c>
      <c r="O104">
        <v>3</v>
      </c>
      <c r="P104">
        <v>1</v>
      </c>
      <c r="Q104">
        <v>0.26900000000000002</v>
      </c>
      <c r="R104">
        <v>0.317</v>
      </c>
      <c r="S104">
        <v>0.45500000000000002</v>
      </c>
      <c r="T104">
        <v>0.77200000000000002</v>
      </c>
      <c r="U104">
        <v>1</v>
      </c>
      <c r="V104">
        <v>0</v>
      </c>
      <c r="W104">
        <v>5</v>
      </c>
      <c r="X104">
        <v>257</v>
      </c>
      <c r="Y104">
        <v>1</v>
      </c>
      <c r="Z104">
        <v>25.53209</v>
      </c>
    </row>
    <row r="105" spans="1:26" x14ac:dyDescent="0.2">
      <c r="A105">
        <v>104</v>
      </c>
      <c r="B105" t="s">
        <v>163</v>
      </c>
      <c r="C105" t="s">
        <v>53</v>
      </c>
      <c r="D105" t="s">
        <v>41</v>
      </c>
      <c r="E105">
        <v>150</v>
      </c>
      <c r="F105">
        <v>529</v>
      </c>
      <c r="G105">
        <v>64</v>
      </c>
      <c r="H105">
        <v>138</v>
      </c>
      <c r="I105">
        <v>22</v>
      </c>
      <c r="J105">
        <v>4</v>
      </c>
      <c r="K105">
        <v>9</v>
      </c>
      <c r="L105">
        <v>40</v>
      </c>
      <c r="M105">
        <v>32</v>
      </c>
      <c r="N105">
        <v>100</v>
      </c>
      <c r="O105">
        <v>9</v>
      </c>
      <c r="P105">
        <v>7</v>
      </c>
      <c r="Q105">
        <v>0.26100000000000001</v>
      </c>
      <c r="R105">
        <v>0.308</v>
      </c>
      <c r="S105">
        <v>0.36899999999999999</v>
      </c>
      <c r="T105">
        <v>0.67700000000000005</v>
      </c>
      <c r="U105">
        <v>5</v>
      </c>
      <c r="V105">
        <v>6</v>
      </c>
      <c r="W105">
        <v>2</v>
      </c>
      <c r="X105">
        <v>195</v>
      </c>
      <c r="Y105">
        <v>1</v>
      </c>
      <c r="Z105">
        <v>38.693339999999999</v>
      </c>
    </row>
    <row r="106" spans="1:26" x14ac:dyDescent="0.2">
      <c r="A106">
        <v>105</v>
      </c>
      <c r="B106" t="s">
        <v>164</v>
      </c>
      <c r="C106" t="s">
        <v>49</v>
      </c>
      <c r="D106" t="s">
        <v>35</v>
      </c>
      <c r="E106">
        <v>135</v>
      </c>
      <c r="F106">
        <v>551</v>
      </c>
      <c r="G106">
        <v>72</v>
      </c>
      <c r="H106">
        <v>153</v>
      </c>
      <c r="I106">
        <v>33</v>
      </c>
      <c r="J106">
        <v>0</v>
      </c>
      <c r="K106">
        <v>7</v>
      </c>
      <c r="L106">
        <v>53</v>
      </c>
      <c r="M106">
        <v>51</v>
      </c>
      <c r="N106">
        <v>75</v>
      </c>
      <c r="O106">
        <v>6</v>
      </c>
      <c r="P106">
        <v>6</v>
      </c>
      <c r="Q106">
        <v>0.27800000000000002</v>
      </c>
      <c r="R106">
        <v>0.33700000000000002</v>
      </c>
      <c r="S106">
        <v>0.376</v>
      </c>
      <c r="T106">
        <v>0.71199999999999997</v>
      </c>
      <c r="U106">
        <v>1</v>
      </c>
      <c r="V106">
        <v>0</v>
      </c>
      <c r="W106">
        <v>6</v>
      </c>
      <c r="X106">
        <v>207</v>
      </c>
      <c r="Y106">
        <v>1</v>
      </c>
      <c r="Z106">
        <v>25.347090000000001</v>
      </c>
    </row>
    <row r="107" spans="1:26" x14ac:dyDescent="0.2">
      <c r="A107">
        <v>106</v>
      </c>
      <c r="B107" t="s">
        <v>165</v>
      </c>
      <c r="C107" t="s">
        <v>22</v>
      </c>
      <c r="D107" t="s">
        <v>41</v>
      </c>
      <c r="E107">
        <v>162</v>
      </c>
      <c r="F107">
        <v>650</v>
      </c>
      <c r="G107">
        <v>106</v>
      </c>
      <c r="H107">
        <v>180</v>
      </c>
      <c r="I107">
        <v>29</v>
      </c>
      <c r="J107">
        <v>10</v>
      </c>
      <c r="K107">
        <v>20</v>
      </c>
      <c r="L107">
        <v>74</v>
      </c>
      <c r="M107">
        <v>52</v>
      </c>
      <c r="N107">
        <v>130</v>
      </c>
      <c r="O107">
        <v>13</v>
      </c>
      <c r="P107">
        <v>6</v>
      </c>
      <c r="Q107">
        <v>0.27700000000000002</v>
      </c>
      <c r="R107">
        <v>0.33200000000000002</v>
      </c>
      <c r="S107">
        <v>0.44500000000000001</v>
      </c>
      <c r="T107">
        <v>0.77700000000000002</v>
      </c>
      <c r="U107">
        <v>3</v>
      </c>
      <c r="V107">
        <v>0</v>
      </c>
      <c r="W107">
        <v>3</v>
      </c>
      <c r="X107">
        <v>289</v>
      </c>
      <c r="Y107">
        <v>3</v>
      </c>
      <c r="Z107">
        <v>47.876600000000003</v>
      </c>
    </row>
    <row r="108" spans="1:26" x14ac:dyDescent="0.2">
      <c r="A108">
        <v>107</v>
      </c>
      <c r="B108" t="s">
        <v>166</v>
      </c>
      <c r="C108" t="s">
        <v>32</v>
      </c>
      <c r="D108" t="s">
        <v>38</v>
      </c>
      <c r="E108">
        <v>157</v>
      </c>
      <c r="F108">
        <v>560</v>
      </c>
      <c r="G108">
        <v>61</v>
      </c>
      <c r="H108">
        <v>147</v>
      </c>
      <c r="I108">
        <v>38</v>
      </c>
      <c r="J108">
        <v>0</v>
      </c>
      <c r="K108">
        <v>21</v>
      </c>
      <c r="L108">
        <v>75</v>
      </c>
      <c r="M108">
        <v>58</v>
      </c>
      <c r="N108">
        <v>112</v>
      </c>
      <c r="O108">
        <v>3</v>
      </c>
      <c r="P108">
        <v>2</v>
      </c>
      <c r="Q108">
        <v>0.26300000000000001</v>
      </c>
      <c r="R108">
        <v>0.33600000000000002</v>
      </c>
      <c r="S108">
        <v>0.443</v>
      </c>
      <c r="T108">
        <v>0.77900000000000003</v>
      </c>
      <c r="U108">
        <v>6</v>
      </c>
      <c r="V108">
        <v>0</v>
      </c>
      <c r="W108">
        <v>4</v>
      </c>
      <c r="X108">
        <v>248</v>
      </c>
      <c r="Y108">
        <v>1</v>
      </c>
      <c r="Z108">
        <v>20.791419999999999</v>
      </c>
    </row>
    <row r="109" spans="1:26" x14ac:dyDescent="0.2">
      <c r="A109">
        <v>108</v>
      </c>
      <c r="B109" t="s">
        <v>167</v>
      </c>
      <c r="C109" t="s">
        <v>40</v>
      </c>
      <c r="D109" t="s">
        <v>74</v>
      </c>
      <c r="E109">
        <v>150</v>
      </c>
      <c r="F109">
        <v>578</v>
      </c>
      <c r="G109">
        <v>57</v>
      </c>
      <c r="H109">
        <v>150</v>
      </c>
      <c r="I109">
        <v>28</v>
      </c>
      <c r="J109">
        <v>2</v>
      </c>
      <c r="K109">
        <v>17</v>
      </c>
      <c r="L109">
        <v>70</v>
      </c>
      <c r="M109">
        <v>22</v>
      </c>
      <c r="N109">
        <v>85</v>
      </c>
      <c r="O109">
        <v>1</v>
      </c>
      <c r="P109">
        <v>0</v>
      </c>
      <c r="Q109">
        <v>0.26</v>
      </c>
      <c r="R109">
        <v>0.28899999999999998</v>
      </c>
      <c r="S109">
        <v>0.40300000000000002</v>
      </c>
      <c r="T109">
        <v>0.69199999999999995</v>
      </c>
      <c r="U109">
        <v>3</v>
      </c>
      <c r="V109">
        <v>0</v>
      </c>
      <c r="W109">
        <v>3</v>
      </c>
      <c r="X109">
        <v>233</v>
      </c>
      <c r="Y109">
        <v>1</v>
      </c>
      <c r="Z109">
        <v>35.344709999999999</v>
      </c>
    </row>
    <row r="110" spans="1:26" x14ac:dyDescent="0.2">
      <c r="A110">
        <v>109</v>
      </c>
      <c r="B110" t="s">
        <v>168</v>
      </c>
      <c r="C110" t="s">
        <v>93</v>
      </c>
      <c r="D110" t="s">
        <v>45</v>
      </c>
      <c r="E110">
        <v>136</v>
      </c>
      <c r="F110">
        <v>520</v>
      </c>
      <c r="G110">
        <v>69</v>
      </c>
      <c r="H110">
        <v>134</v>
      </c>
      <c r="I110">
        <v>40</v>
      </c>
      <c r="J110">
        <v>2</v>
      </c>
      <c r="K110">
        <v>14</v>
      </c>
      <c r="L110">
        <v>80</v>
      </c>
      <c r="M110">
        <v>53</v>
      </c>
      <c r="N110">
        <v>109</v>
      </c>
      <c r="O110">
        <v>2</v>
      </c>
      <c r="P110">
        <v>1</v>
      </c>
      <c r="Q110">
        <v>0.25800000000000001</v>
      </c>
      <c r="R110">
        <v>0.32800000000000001</v>
      </c>
      <c r="S110">
        <v>0.42299999999999999</v>
      </c>
      <c r="T110">
        <v>0.751</v>
      </c>
      <c r="U110">
        <v>4</v>
      </c>
      <c r="V110">
        <v>0</v>
      </c>
      <c r="W110">
        <v>5</v>
      </c>
      <c r="X110">
        <v>220</v>
      </c>
      <c r="Y110">
        <v>1</v>
      </c>
      <c r="Z110">
        <v>32.405169999999998</v>
      </c>
    </row>
    <row r="111" spans="1:26" x14ac:dyDescent="0.2">
      <c r="A111">
        <v>110</v>
      </c>
      <c r="B111" t="s">
        <v>169</v>
      </c>
      <c r="C111" t="s">
        <v>22</v>
      </c>
      <c r="D111" t="s">
        <v>74</v>
      </c>
      <c r="E111">
        <v>147</v>
      </c>
      <c r="F111">
        <v>547</v>
      </c>
      <c r="G111">
        <v>72</v>
      </c>
      <c r="H111">
        <v>170</v>
      </c>
      <c r="I111">
        <v>28</v>
      </c>
      <c r="J111">
        <v>2</v>
      </c>
      <c r="K111">
        <v>22</v>
      </c>
      <c r="L111">
        <v>89</v>
      </c>
      <c r="M111">
        <v>47</v>
      </c>
      <c r="N111">
        <v>69</v>
      </c>
      <c r="O111">
        <v>0</v>
      </c>
      <c r="P111">
        <v>1</v>
      </c>
      <c r="Q111">
        <v>0.311</v>
      </c>
      <c r="R111">
        <v>0.36399999999999999</v>
      </c>
      <c r="S111">
        <v>0.49</v>
      </c>
      <c r="T111">
        <v>0.85399999999999998</v>
      </c>
      <c r="U111">
        <v>3</v>
      </c>
      <c r="V111">
        <v>0</v>
      </c>
      <c r="W111">
        <v>8</v>
      </c>
      <c r="X111">
        <v>268</v>
      </c>
      <c r="Y111">
        <v>1</v>
      </c>
      <c r="Z111">
        <v>28.316040000000001</v>
      </c>
    </row>
    <row r="112" spans="1:26" x14ac:dyDescent="0.2">
      <c r="A112">
        <v>111</v>
      </c>
      <c r="B112" t="s">
        <v>170</v>
      </c>
      <c r="C112" t="s">
        <v>99</v>
      </c>
      <c r="D112" t="s">
        <v>45</v>
      </c>
      <c r="E112">
        <v>143</v>
      </c>
      <c r="F112">
        <v>536</v>
      </c>
      <c r="G112">
        <v>62</v>
      </c>
      <c r="H112">
        <v>151</v>
      </c>
      <c r="I112">
        <v>26</v>
      </c>
      <c r="J112">
        <v>4</v>
      </c>
      <c r="K112">
        <v>12</v>
      </c>
      <c r="L112">
        <v>58</v>
      </c>
      <c r="M112">
        <v>26</v>
      </c>
      <c r="N112">
        <v>80</v>
      </c>
      <c r="O112">
        <v>3</v>
      </c>
      <c r="P112">
        <v>1</v>
      </c>
      <c r="Q112">
        <v>0.28199999999999997</v>
      </c>
      <c r="R112">
        <v>0.32100000000000001</v>
      </c>
      <c r="S112">
        <v>0.41199999999999998</v>
      </c>
      <c r="T112">
        <v>0.73299999999999998</v>
      </c>
      <c r="U112">
        <v>7</v>
      </c>
      <c r="V112">
        <v>0</v>
      </c>
      <c r="W112">
        <v>4</v>
      </c>
      <c r="X112">
        <v>221</v>
      </c>
      <c r="Y112">
        <v>1</v>
      </c>
      <c r="Z112">
        <v>19.758949999999999</v>
      </c>
    </row>
    <row r="113" spans="1:26" x14ac:dyDescent="0.2">
      <c r="A113">
        <v>112</v>
      </c>
      <c r="B113" t="s">
        <v>171</v>
      </c>
      <c r="C113" t="s">
        <v>113</v>
      </c>
      <c r="D113" t="s">
        <v>41</v>
      </c>
      <c r="E113">
        <v>148</v>
      </c>
      <c r="F113">
        <v>558</v>
      </c>
      <c r="G113">
        <v>92</v>
      </c>
      <c r="H113">
        <v>165</v>
      </c>
      <c r="I113">
        <v>37</v>
      </c>
      <c r="J113">
        <v>9</v>
      </c>
      <c r="K113">
        <v>16</v>
      </c>
      <c r="L113">
        <v>69</v>
      </c>
      <c r="M113">
        <v>67</v>
      </c>
      <c r="N113">
        <v>124</v>
      </c>
      <c r="O113">
        <v>11</v>
      </c>
      <c r="P113">
        <v>7</v>
      </c>
      <c r="Q113">
        <v>0.29599999999999999</v>
      </c>
      <c r="R113">
        <v>0.38200000000000001</v>
      </c>
      <c r="S113">
        <v>0.48</v>
      </c>
      <c r="T113">
        <v>0.86299999999999999</v>
      </c>
      <c r="U113">
        <v>12</v>
      </c>
      <c r="V113">
        <v>2</v>
      </c>
      <c r="W113">
        <v>1</v>
      </c>
      <c r="X113">
        <v>268</v>
      </c>
      <c r="Y113">
        <v>1</v>
      </c>
      <c r="Z113">
        <v>30.395579999999999</v>
      </c>
    </row>
    <row r="114" spans="1:26" x14ac:dyDescent="0.2">
      <c r="A114">
        <v>113</v>
      </c>
      <c r="B114" t="s">
        <v>172</v>
      </c>
      <c r="C114" t="s">
        <v>68</v>
      </c>
      <c r="D114" t="s">
        <v>27</v>
      </c>
      <c r="E114">
        <v>159</v>
      </c>
      <c r="F114">
        <v>633</v>
      </c>
      <c r="G114">
        <v>89</v>
      </c>
      <c r="H114">
        <v>172</v>
      </c>
      <c r="I114">
        <v>37</v>
      </c>
      <c r="J114">
        <v>1</v>
      </c>
      <c r="K114">
        <v>28</v>
      </c>
      <c r="L114">
        <v>105</v>
      </c>
      <c r="M114">
        <v>48</v>
      </c>
      <c r="N114">
        <v>71</v>
      </c>
      <c r="O114">
        <v>5</v>
      </c>
      <c r="P114">
        <v>1</v>
      </c>
      <c r="Q114">
        <v>0.27200000000000002</v>
      </c>
      <c r="R114">
        <v>0.32400000000000001</v>
      </c>
      <c r="S114">
        <v>0.46600000000000003</v>
      </c>
      <c r="T114">
        <v>0.79</v>
      </c>
      <c r="U114">
        <v>5</v>
      </c>
      <c r="V114">
        <v>0</v>
      </c>
      <c r="W114">
        <v>9</v>
      </c>
      <c r="X114">
        <v>295</v>
      </c>
      <c r="Y114">
        <v>3</v>
      </c>
      <c r="Z114">
        <v>40.551969999999997</v>
      </c>
    </row>
    <row r="115" spans="1:26" x14ac:dyDescent="0.2">
      <c r="A115">
        <v>114</v>
      </c>
      <c r="B115" t="s">
        <v>173</v>
      </c>
      <c r="C115" t="s">
        <v>53</v>
      </c>
      <c r="D115" t="s">
        <v>45</v>
      </c>
      <c r="E115">
        <v>133</v>
      </c>
      <c r="F115">
        <v>494</v>
      </c>
      <c r="G115">
        <v>47</v>
      </c>
      <c r="H115">
        <v>141</v>
      </c>
      <c r="I115">
        <v>23</v>
      </c>
      <c r="J115">
        <v>1</v>
      </c>
      <c r="K115">
        <v>15</v>
      </c>
      <c r="L115">
        <v>66</v>
      </c>
      <c r="M115">
        <v>21</v>
      </c>
      <c r="N115">
        <v>75</v>
      </c>
      <c r="O115">
        <v>3</v>
      </c>
      <c r="P115">
        <v>0</v>
      </c>
      <c r="Q115">
        <v>0.28499999999999998</v>
      </c>
      <c r="R115">
        <v>0.33</v>
      </c>
      <c r="S115">
        <v>0.42699999999999999</v>
      </c>
      <c r="T115">
        <v>0.75700000000000001</v>
      </c>
      <c r="U115">
        <v>13</v>
      </c>
      <c r="V115">
        <v>0</v>
      </c>
      <c r="W115">
        <v>3</v>
      </c>
      <c r="X115">
        <v>211</v>
      </c>
      <c r="Y115">
        <v>2</v>
      </c>
      <c r="Z115">
        <v>27.491070000000001</v>
      </c>
    </row>
    <row r="116" spans="1:26" x14ac:dyDescent="0.2">
      <c r="A116">
        <v>115</v>
      </c>
      <c r="B116" t="s">
        <v>173</v>
      </c>
      <c r="C116" t="s">
        <v>26</v>
      </c>
      <c r="D116" t="s">
        <v>38</v>
      </c>
      <c r="E116">
        <v>158</v>
      </c>
      <c r="F116">
        <v>622</v>
      </c>
      <c r="G116">
        <v>82</v>
      </c>
      <c r="H116">
        <v>170</v>
      </c>
      <c r="I116">
        <v>35</v>
      </c>
      <c r="J116">
        <v>2</v>
      </c>
      <c r="K116">
        <v>15</v>
      </c>
      <c r="L116">
        <v>74</v>
      </c>
      <c r="M116">
        <v>24</v>
      </c>
      <c r="N116">
        <v>81</v>
      </c>
      <c r="O116">
        <v>21</v>
      </c>
      <c r="P116">
        <v>4</v>
      </c>
      <c r="Q116">
        <v>0.27300000000000002</v>
      </c>
      <c r="R116">
        <v>0.30499999999999999</v>
      </c>
      <c r="S116">
        <v>0.40799999999999997</v>
      </c>
      <c r="T116">
        <v>0.71299999999999997</v>
      </c>
      <c r="U116">
        <v>6</v>
      </c>
      <c r="V116">
        <v>1</v>
      </c>
      <c r="W116">
        <v>4</v>
      </c>
      <c r="X116">
        <v>254</v>
      </c>
      <c r="Y116">
        <v>3</v>
      </c>
      <c r="Z116">
        <v>14.63205</v>
      </c>
    </row>
    <row r="117" spans="1:26" x14ac:dyDescent="0.2">
      <c r="A117">
        <v>116</v>
      </c>
      <c r="B117" t="s">
        <v>174</v>
      </c>
      <c r="C117" t="s">
        <v>113</v>
      </c>
      <c r="D117" t="s">
        <v>38</v>
      </c>
      <c r="E117">
        <v>128</v>
      </c>
      <c r="F117">
        <v>449</v>
      </c>
      <c r="G117">
        <v>64</v>
      </c>
      <c r="H117">
        <v>127</v>
      </c>
      <c r="I117">
        <v>35</v>
      </c>
      <c r="J117">
        <v>0</v>
      </c>
      <c r="K117">
        <v>13</v>
      </c>
      <c r="L117">
        <v>71</v>
      </c>
      <c r="M117">
        <v>56</v>
      </c>
      <c r="N117">
        <v>84</v>
      </c>
      <c r="O117">
        <v>14</v>
      </c>
      <c r="P117">
        <v>5</v>
      </c>
      <c r="Q117">
        <v>0.28299999999999997</v>
      </c>
      <c r="R117">
        <v>0.36899999999999999</v>
      </c>
      <c r="S117">
        <v>0.44800000000000001</v>
      </c>
      <c r="T117">
        <v>0.81699999999999995</v>
      </c>
      <c r="U117">
        <v>6</v>
      </c>
      <c r="V117">
        <v>0</v>
      </c>
      <c r="W117">
        <v>1</v>
      </c>
      <c r="X117">
        <v>201</v>
      </c>
      <c r="Y117">
        <v>2</v>
      </c>
      <c r="Z117">
        <v>36.376249999999999</v>
      </c>
    </row>
    <row r="118" spans="1:26" x14ac:dyDescent="0.2">
      <c r="A118">
        <v>117</v>
      </c>
      <c r="B118" t="s">
        <v>175</v>
      </c>
      <c r="C118" t="s">
        <v>62</v>
      </c>
      <c r="D118" t="s">
        <v>45</v>
      </c>
      <c r="E118">
        <v>153</v>
      </c>
      <c r="F118">
        <v>613</v>
      </c>
      <c r="G118">
        <v>111</v>
      </c>
      <c r="H118">
        <v>176</v>
      </c>
      <c r="I118">
        <v>39</v>
      </c>
      <c r="J118">
        <v>6</v>
      </c>
      <c r="K118">
        <v>21</v>
      </c>
      <c r="L118">
        <v>83</v>
      </c>
      <c r="M118">
        <v>58</v>
      </c>
      <c r="N118">
        <v>104</v>
      </c>
      <c r="O118">
        <v>17</v>
      </c>
      <c r="P118">
        <v>3</v>
      </c>
      <c r="Q118">
        <v>0.28699999999999998</v>
      </c>
      <c r="R118">
        <v>0.35099999999999998</v>
      </c>
      <c r="S118">
        <v>0.47299999999999998</v>
      </c>
      <c r="T118">
        <v>0.82399999999999995</v>
      </c>
      <c r="U118">
        <v>5</v>
      </c>
      <c r="V118">
        <v>2</v>
      </c>
      <c r="W118">
        <v>5</v>
      </c>
      <c r="X118">
        <v>290</v>
      </c>
      <c r="Y118">
        <v>3</v>
      </c>
      <c r="Z118">
        <v>27.89264</v>
      </c>
    </row>
    <row r="119" spans="1:26" x14ac:dyDescent="0.2">
      <c r="A119">
        <v>118</v>
      </c>
      <c r="B119" t="s">
        <v>176</v>
      </c>
      <c r="C119" t="s">
        <v>55</v>
      </c>
      <c r="D119" t="s">
        <v>66</v>
      </c>
      <c r="E119">
        <v>151</v>
      </c>
      <c r="F119">
        <v>601</v>
      </c>
      <c r="G119">
        <v>71</v>
      </c>
      <c r="H119">
        <v>184</v>
      </c>
      <c r="I119">
        <v>13</v>
      </c>
      <c r="J119">
        <v>7</v>
      </c>
      <c r="K119">
        <v>2</v>
      </c>
      <c r="L119">
        <v>28</v>
      </c>
      <c r="M119">
        <v>13</v>
      </c>
      <c r="N119">
        <v>49</v>
      </c>
      <c r="O119">
        <v>49</v>
      </c>
      <c r="P119">
        <v>8</v>
      </c>
      <c r="Q119">
        <v>0.30599999999999999</v>
      </c>
      <c r="R119">
        <v>0.32500000000000001</v>
      </c>
      <c r="S119">
        <v>0.36099999999999999</v>
      </c>
      <c r="T119">
        <v>0.68600000000000005</v>
      </c>
      <c r="U119">
        <v>4</v>
      </c>
      <c r="V119">
        <v>7</v>
      </c>
      <c r="W119">
        <v>1</v>
      </c>
      <c r="X119">
        <v>217</v>
      </c>
      <c r="Y119">
        <v>3</v>
      </c>
      <c r="Z119">
        <v>53.816339999999997</v>
      </c>
    </row>
    <row r="120" spans="1:26" x14ac:dyDescent="0.2">
      <c r="A120">
        <v>119</v>
      </c>
      <c r="B120" t="s">
        <v>177</v>
      </c>
      <c r="C120" t="s">
        <v>43</v>
      </c>
      <c r="D120" t="s">
        <v>38</v>
      </c>
      <c r="E120">
        <v>143</v>
      </c>
      <c r="F120">
        <v>610</v>
      </c>
      <c r="G120">
        <v>94</v>
      </c>
      <c r="H120">
        <v>175</v>
      </c>
      <c r="I120">
        <v>33</v>
      </c>
      <c r="J120">
        <v>4</v>
      </c>
      <c r="K120">
        <v>9</v>
      </c>
      <c r="L120">
        <v>51</v>
      </c>
      <c r="M120">
        <v>38</v>
      </c>
      <c r="N120">
        <v>73</v>
      </c>
      <c r="O120">
        <v>30</v>
      </c>
      <c r="P120">
        <v>2</v>
      </c>
      <c r="Q120">
        <v>0.28699999999999998</v>
      </c>
      <c r="R120">
        <v>0.32800000000000001</v>
      </c>
      <c r="S120">
        <v>0.39800000000000002</v>
      </c>
      <c r="T120">
        <v>0.72599999999999998</v>
      </c>
      <c r="U120">
        <v>1</v>
      </c>
      <c r="V120">
        <v>2</v>
      </c>
      <c r="W120">
        <v>4</v>
      </c>
      <c r="X120">
        <v>243</v>
      </c>
      <c r="Y120">
        <v>3</v>
      </c>
      <c r="Z120">
        <v>29.906749999999999</v>
      </c>
    </row>
    <row r="121" spans="1:26" x14ac:dyDescent="0.2">
      <c r="A121">
        <v>120</v>
      </c>
      <c r="B121" t="s">
        <v>178</v>
      </c>
      <c r="C121" t="s">
        <v>76</v>
      </c>
      <c r="D121" t="s">
        <v>27</v>
      </c>
      <c r="E121">
        <v>140</v>
      </c>
      <c r="F121">
        <v>524</v>
      </c>
      <c r="G121">
        <v>89</v>
      </c>
      <c r="H121">
        <v>150</v>
      </c>
      <c r="I121">
        <v>28</v>
      </c>
      <c r="J121">
        <v>1</v>
      </c>
      <c r="K121">
        <v>32</v>
      </c>
      <c r="L121">
        <v>78</v>
      </c>
      <c r="M121">
        <v>73</v>
      </c>
      <c r="N121">
        <v>116</v>
      </c>
      <c r="O121">
        <v>5</v>
      </c>
      <c r="P121">
        <v>4</v>
      </c>
      <c r="Q121">
        <v>0.28599999999999998</v>
      </c>
      <c r="R121">
        <v>0.38600000000000001</v>
      </c>
      <c r="S121">
        <v>0.52700000000000002</v>
      </c>
      <c r="T121">
        <v>0.91300000000000003</v>
      </c>
      <c r="U121">
        <v>15</v>
      </c>
      <c r="V121">
        <v>0</v>
      </c>
      <c r="W121">
        <v>4</v>
      </c>
      <c r="X121">
        <v>276</v>
      </c>
      <c r="Y121">
        <v>1</v>
      </c>
      <c r="Z121">
        <v>33.229790000000001</v>
      </c>
    </row>
    <row r="122" spans="1:26" x14ac:dyDescent="0.2">
      <c r="A122">
        <v>121</v>
      </c>
      <c r="B122" t="s">
        <v>179</v>
      </c>
      <c r="C122" t="s">
        <v>55</v>
      </c>
      <c r="D122" t="s">
        <v>38</v>
      </c>
      <c r="E122">
        <v>138</v>
      </c>
      <c r="F122">
        <v>538</v>
      </c>
      <c r="G122">
        <v>78</v>
      </c>
      <c r="H122">
        <v>131</v>
      </c>
      <c r="I122">
        <v>22</v>
      </c>
      <c r="J122">
        <v>4</v>
      </c>
      <c r="K122">
        <v>17</v>
      </c>
      <c r="L122">
        <v>55</v>
      </c>
      <c r="M122">
        <v>64</v>
      </c>
      <c r="N122">
        <v>100</v>
      </c>
      <c r="O122">
        <v>28</v>
      </c>
      <c r="P122">
        <v>6</v>
      </c>
      <c r="Q122">
        <v>0.24299999999999999</v>
      </c>
      <c r="R122">
        <v>0.32300000000000001</v>
      </c>
      <c r="S122">
        <v>0.39400000000000002</v>
      </c>
      <c r="T122">
        <v>0.71699999999999997</v>
      </c>
      <c r="U122">
        <v>1</v>
      </c>
      <c r="V122">
        <v>3</v>
      </c>
      <c r="W122">
        <v>3</v>
      </c>
      <c r="X122">
        <v>212</v>
      </c>
      <c r="Y122">
        <v>1</v>
      </c>
      <c r="Z122">
        <v>27.542470000000002</v>
      </c>
    </row>
    <row r="123" spans="1:26" x14ac:dyDescent="0.2">
      <c r="A123">
        <v>122</v>
      </c>
      <c r="B123" t="s">
        <v>180</v>
      </c>
      <c r="C123" t="s">
        <v>22</v>
      </c>
      <c r="D123" t="s">
        <v>45</v>
      </c>
      <c r="E123">
        <v>157</v>
      </c>
      <c r="F123">
        <v>588</v>
      </c>
      <c r="G123">
        <v>68</v>
      </c>
      <c r="H123">
        <v>164</v>
      </c>
      <c r="I123">
        <v>26</v>
      </c>
      <c r="J123">
        <v>3</v>
      </c>
      <c r="K123">
        <v>16</v>
      </c>
      <c r="L123">
        <v>73</v>
      </c>
      <c r="M123">
        <v>39</v>
      </c>
      <c r="N123">
        <v>85</v>
      </c>
      <c r="O123">
        <v>0</v>
      </c>
      <c r="P123">
        <v>0</v>
      </c>
      <c r="Q123">
        <v>0.27900000000000003</v>
      </c>
      <c r="R123">
        <v>0.32400000000000001</v>
      </c>
      <c r="S123">
        <v>0.41499999999999998</v>
      </c>
      <c r="T123">
        <v>0.73899999999999999</v>
      </c>
      <c r="U123">
        <v>4</v>
      </c>
      <c r="V123">
        <v>0</v>
      </c>
      <c r="W123">
        <v>7</v>
      </c>
      <c r="X123">
        <v>244</v>
      </c>
      <c r="Y123">
        <v>3</v>
      </c>
      <c r="Z123">
        <v>27.92801</v>
      </c>
    </row>
    <row r="124" spans="1:26" x14ac:dyDescent="0.2">
      <c r="A124">
        <v>123</v>
      </c>
      <c r="B124" t="s">
        <v>181</v>
      </c>
      <c r="C124" t="s">
        <v>51</v>
      </c>
      <c r="D124" t="s">
        <v>27</v>
      </c>
      <c r="E124">
        <v>152</v>
      </c>
      <c r="F124">
        <v>541</v>
      </c>
      <c r="G124">
        <v>68</v>
      </c>
      <c r="H124">
        <v>125</v>
      </c>
      <c r="I124">
        <v>25</v>
      </c>
      <c r="J124">
        <v>0</v>
      </c>
      <c r="K124">
        <v>27</v>
      </c>
      <c r="L124">
        <v>85</v>
      </c>
      <c r="M124">
        <v>113</v>
      </c>
      <c r="N124">
        <v>124</v>
      </c>
      <c r="O124">
        <v>5</v>
      </c>
      <c r="P124">
        <v>2</v>
      </c>
      <c r="Q124">
        <v>0.23100000000000001</v>
      </c>
      <c r="R124">
        <v>0.36499999999999999</v>
      </c>
      <c r="S124">
        <v>0.42699999999999999</v>
      </c>
      <c r="T124">
        <v>0.79200000000000004</v>
      </c>
      <c r="U124">
        <v>3</v>
      </c>
      <c r="V124">
        <v>0</v>
      </c>
      <c r="W124">
        <v>3</v>
      </c>
      <c r="X124">
        <v>231</v>
      </c>
      <c r="Y124">
        <v>1</v>
      </c>
      <c r="Z124">
        <v>29.452919999999999</v>
      </c>
    </row>
    <row r="125" spans="1:26" x14ac:dyDescent="0.2">
      <c r="A125">
        <v>124</v>
      </c>
      <c r="B125" t="s">
        <v>182</v>
      </c>
      <c r="C125" t="s">
        <v>29</v>
      </c>
      <c r="D125" t="s">
        <v>45</v>
      </c>
      <c r="E125">
        <v>159</v>
      </c>
      <c r="F125">
        <v>590</v>
      </c>
      <c r="G125">
        <v>71</v>
      </c>
      <c r="H125">
        <v>158</v>
      </c>
      <c r="I125">
        <v>27</v>
      </c>
      <c r="J125">
        <v>4</v>
      </c>
      <c r="K125">
        <v>25</v>
      </c>
      <c r="L125">
        <v>96</v>
      </c>
      <c r="M125">
        <v>52</v>
      </c>
      <c r="N125">
        <v>118</v>
      </c>
      <c r="O125">
        <v>7</v>
      </c>
      <c r="P125">
        <v>5</v>
      </c>
      <c r="Q125">
        <v>0.26800000000000002</v>
      </c>
      <c r="R125">
        <v>0.33400000000000002</v>
      </c>
      <c r="S125">
        <v>0.45400000000000001</v>
      </c>
      <c r="T125">
        <v>0.78800000000000003</v>
      </c>
      <c r="U125">
        <v>8</v>
      </c>
      <c r="V125">
        <v>1</v>
      </c>
      <c r="W125">
        <v>3</v>
      </c>
      <c r="X125">
        <v>268</v>
      </c>
      <c r="Y125">
        <v>3</v>
      </c>
      <c r="Z125">
        <v>35.108170000000001</v>
      </c>
    </row>
    <row r="126" spans="1:26" x14ac:dyDescent="0.2">
      <c r="A126">
        <v>125</v>
      </c>
      <c r="B126" t="s">
        <v>183</v>
      </c>
      <c r="C126" t="s">
        <v>53</v>
      </c>
      <c r="D126" t="s">
        <v>38</v>
      </c>
      <c r="E126">
        <v>146</v>
      </c>
      <c r="F126">
        <v>513</v>
      </c>
      <c r="G126">
        <v>61</v>
      </c>
      <c r="H126">
        <v>126</v>
      </c>
      <c r="I126">
        <v>14</v>
      </c>
      <c r="J126">
        <v>6</v>
      </c>
      <c r="K126">
        <v>5</v>
      </c>
      <c r="L126">
        <v>31</v>
      </c>
      <c r="M126">
        <v>28</v>
      </c>
      <c r="N126">
        <v>70</v>
      </c>
      <c r="O126">
        <v>20</v>
      </c>
      <c r="P126">
        <v>9</v>
      </c>
      <c r="Q126">
        <v>0.246</v>
      </c>
      <c r="R126">
        <v>0.28899999999999998</v>
      </c>
      <c r="S126">
        <v>0.32600000000000001</v>
      </c>
      <c r="T126">
        <v>0.61399999999999999</v>
      </c>
      <c r="U126">
        <v>4</v>
      </c>
      <c r="V126">
        <v>10</v>
      </c>
      <c r="W126">
        <v>2</v>
      </c>
      <c r="X126">
        <v>167</v>
      </c>
      <c r="Y126">
        <v>2</v>
      </c>
      <c r="Z126">
        <v>43.498150000000003</v>
      </c>
    </row>
    <row r="127" spans="1:26" x14ac:dyDescent="0.2">
      <c r="A127">
        <v>126</v>
      </c>
      <c r="B127" t="s">
        <v>184</v>
      </c>
      <c r="C127" t="s">
        <v>106</v>
      </c>
      <c r="D127" t="s">
        <v>38</v>
      </c>
      <c r="E127">
        <v>146</v>
      </c>
      <c r="F127">
        <v>540</v>
      </c>
      <c r="G127">
        <v>44</v>
      </c>
      <c r="H127">
        <v>132</v>
      </c>
      <c r="I127">
        <v>18</v>
      </c>
      <c r="J127">
        <v>4</v>
      </c>
      <c r="K127">
        <v>7</v>
      </c>
      <c r="L127">
        <v>46</v>
      </c>
      <c r="M127">
        <v>32</v>
      </c>
      <c r="N127">
        <v>60</v>
      </c>
      <c r="O127">
        <v>4</v>
      </c>
      <c r="P127">
        <v>5</v>
      </c>
      <c r="Q127">
        <v>0.24399999999999999</v>
      </c>
      <c r="R127">
        <v>0.28599999999999998</v>
      </c>
      <c r="S127">
        <v>0.33100000000000002</v>
      </c>
      <c r="T127">
        <v>0.61699999999999999</v>
      </c>
      <c r="U127">
        <v>0</v>
      </c>
      <c r="V127">
        <v>2</v>
      </c>
      <c r="W127">
        <v>2</v>
      </c>
      <c r="X127">
        <v>179</v>
      </c>
      <c r="Y127">
        <v>1</v>
      </c>
      <c r="Z127">
        <v>41.78736</v>
      </c>
    </row>
    <row r="128" spans="1:26" x14ac:dyDescent="0.2">
      <c r="A128">
        <v>127</v>
      </c>
      <c r="B128" t="s">
        <v>185</v>
      </c>
      <c r="C128" t="s">
        <v>186</v>
      </c>
      <c r="D128" t="s">
        <v>30</v>
      </c>
      <c r="E128">
        <v>136</v>
      </c>
      <c r="F128">
        <v>443</v>
      </c>
      <c r="G128">
        <v>55</v>
      </c>
      <c r="H128">
        <v>118</v>
      </c>
      <c r="I128">
        <v>31</v>
      </c>
      <c r="J128">
        <v>5</v>
      </c>
      <c r="K128">
        <v>12</v>
      </c>
      <c r="L128">
        <v>48</v>
      </c>
      <c r="M128">
        <v>69</v>
      </c>
      <c r="N128">
        <v>87</v>
      </c>
      <c r="O128">
        <v>1</v>
      </c>
      <c r="P128">
        <v>1</v>
      </c>
      <c r="Q128">
        <v>0.26600000000000001</v>
      </c>
      <c r="R128">
        <v>0.36699999999999999</v>
      </c>
      <c r="S128">
        <v>0.44</v>
      </c>
      <c r="T128">
        <v>0.80700000000000005</v>
      </c>
      <c r="U128">
        <v>4</v>
      </c>
      <c r="V128">
        <v>0</v>
      </c>
      <c r="W128">
        <v>4</v>
      </c>
      <c r="X128">
        <v>195</v>
      </c>
      <c r="Y128">
        <v>2</v>
      </c>
      <c r="Z128">
        <v>39.113199999999999</v>
      </c>
    </row>
    <row r="129" spans="1:26" x14ac:dyDescent="0.2">
      <c r="A129">
        <v>128</v>
      </c>
      <c r="B129" t="s">
        <v>187</v>
      </c>
      <c r="C129" t="s">
        <v>186</v>
      </c>
      <c r="D129" t="s">
        <v>45</v>
      </c>
      <c r="E129">
        <v>131</v>
      </c>
      <c r="F129">
        <v>469</v>
      </c>
      <c r="G129">
        <v>56</v>
      </c>
      <c r="H129">
        <v>122</v>
      </c>
      <c r="I129">
        <v>19</v>
      </c>
      <c r="J129">
        <v>1</v>
      </c>
      <c r="K129">
        <v>10</v>
      </c>
      <c r="L129">
        <v>48</v>
      </c>
      <c r="M129">
        <v>53</v>
      </c>
      <c r="N129">
        <v>58</v>
      </c>
      <c r="O129">
        <v>0</v>
      </c>
      <c r="P129">
        <v>1</v>
      </c>
      <c r="Q129">
        <v>0.26</v>
      </c>
      <c r="R129">
        <v>0.33600000000000002</v>
      </c>
      <c r="S129">
        <v>0.36899999999999999</v>
      </c>
      <c r="T129">
        <v>0.70499999999999996</v>
      </c>
      <c r="U129">
        <v>4</v>
      </c>
      <c r="V129">
        <v>3</v>
      </c>
      <c r="W129">
        <v>6</v>
      </c>
      <c r="X129">
        <v>173</v>
      </c>
      <c r="Y129">
        <v>2</v>
      </c>
      <c r="Z129">
        <v>15.62581</v>
      </c>
    </row>
    <row r="130" spans="1:26" x14ac:dyDescent="0.2">
      <c r="A130">
        <v>129</v>
      </c>
      <c r="B130" t="s">
        <v>188</v>
      </c>
      <c r="C130" t="s">
        <v>62</v>
      </c>
      <c r="D130" t="s">
        <v>66</v>
      </c>
      <c r="E130">
        <v>147</v>
      </c>
      <c r="F130">
        <v>610</v>
      </c>
      <c r="G130">
        <v>94</v>
      </c>
      <c r="H130">
        <v>184</v>
      </c>
      <c r="I130">
        <v>39</v>
      </c>
      <c r="J130">
        <v>8</v>
      </c>
      <c r="K130">
        <v>5</v>
      </c>
      <c r="L130">
        <v>37</v>
      </c>
      <c r="M130">
        <v>50</v>
      </c>
      <c r="N130">
        <v>65</v>
      </c>
      <c r="O130">
        <v>31</v>
      </c>
      <c r="P130">
        <v>7</v>
      </c>
      <c r="Q130">
        <v>0.30199999999999999</v>
      </c>
      <c r="R130">
        <v>0.35499999999999998</v>
      </c>
      <c r="S130">
        <v>0.41599999999999998</v>
      </c>
      <c r="T130">
        <v>0.77100000000000002</v>
      </c>
      <c r="U130">
        <v>2</v>
      </c>
      <c r="V130">
        <v>3</v>
      </c>
      <c r="W130">
        <v>3</v>
      </c>
      <c r="X130">
        <v>254</v>
      </c>
      <c r="Y130">
        <v>3</v>
      </c>
      <c r="Z130">
        <v>43.714689999999997</v>
      </c>
    </row>
    <row r="131" spans="1:26" x14ac:dyDescent="0.2">
      <c r="A131">
        <v>130</v>
      </c>
      <c r="B131" t="s">
        <v>189</v>
      </c>
      <c r="C131" t="s">
        <v>123</v>
      </c>
      <c r="D131" t="s">
        <v>41</v>
      </c>
      <c r="E131">
        <v>145</v>
      </c>
      <c r="F131">
        <v>539</v>
      </c>
      <c r="G131">
        <v>89</v>
      </c>
      <c r="H131">
        <v>155</v>
      </c>
      <c r="I131">
        <v>31</v>
      </c>
      <c r="J131">
        <v>1</v>
      </c>
      <c r="K131">
        <v>37</v>
      </c>
      <c r="L131">
        <v>105</v>
      </c>
      <c r="M131">
        <v>94</v>
      </c>
      <c r="N131">
        <v>170</v>
      </c>
      <c r="O131">
        <v>13</v>
      </c>
      <c r="P131">
        <v>1</v>
      </c>
      <c r="Q131">
        <v>0.28799999999999998</v>
      </c>
      <c r="R131">
        <v>0.39500000000000002</v>
      </c>
      <c r="S131">
        <v>0.55500000000000005</v>
      </c>
      <c r="T131">
        <v>0.95</v>
      </c>
      <c r="U131">
        <v>3</v>
      </c>
      <c r="V131">
        <v>0</v>
      </c>
      <c r="W131">
        <v>2</v>
      </c>
      <c r="X131">
        <v>299</v>
      </c>
      <c r="Y131">
        <v>1</v>
      </c>
      <c r="Z131">
        <v>44.005780000000001</v>
      </c>
    </row>
    <row r="132" spans="1:26" x14ac:dyDescent="0.2">
      <c r="A132">
        <v>131</v>
      </c>
      <c r="B132" t="s">
        <v>190</v>
      </c>
      <c r="C132" t="s">
        <v>93</v>
      </c>
      <c r="D132" t="s">
        <v>74</v>
      </c>
      <c r="E132">
        <v>131</v>
      </c>
      <c r="F132">
        <v>452</v>
      </c>
      <c r="G132">
        <v>37</v>
      </c>
      <c r="H132">
        <v>130</v>
      </c>
      <c r="I132">
        <v>34</v>
      </c>
      <c r="J132">
        <v>0</v>
      </c>
      <c r="K132">
        <v>3</v>
      </c>
      <c r="L132">
        <v>61</v>
      </c>
      <c r="M132">
        <v>34</v>
      </c>
      <c r="N132">
        <v>46</v>
      </c>
      <c r="O132">
        <v>0</v>
      </c>
      <c r="P132">
        <v>1</v>
      </c>
      <c r="Q132">
        <v>0.28799999999999998</v>
      </c>
      <c r="R132">
        <v>0.34499999999999997</v>
      </c>
      <c r="S132">
        <v>0.38300000000000001</v>
      </c>
      <c r="T132">
        <v>0.72699999999999998</v>
      </c>
      <c r="U132">
        <v>9</v>
      </c>
      <c r="V132">
        <v>1</v>
      </c>
      <c r="W132">
        <v>7</v>
      </c>
      <c r="X132">
        <v>173</v>
      </c>
      <c r="Y132">
        <v>2</v>
      </c>
      <c r="Z132">
        <v>38.409759999999999</v>
      </c>
    </row>
    <row r="133" spans="1:26" x14ac:dyDescent="0.2">
      <c r="A133">
        <v>132</v>
      </c>
      <c r="B133" t="s">
        <v>191</v>
      </c>
      <c r="C133" t="s">
        <v>99</v>
      </c>
      <c r="D133" t="s">
        <v>27</v>
      </c>
      <c r="E133">
        <v>123</v>
      </c>
      <c r="F133">
        <v>440</v>
      </c>
      <c r="G133">
        <v>56</v>
      </c>
      <c r="H133">
        <v>95</v>
      </c>
      <c r="I133">
        <v>14</v>
      </c>
      <c r="J133">
        <v>0</v>
      </c>
      <c r="K133">
        <v>22</v>
      </c>
      <c r="L133">
        <v>62</v>
      </c>
      <c r="M133">
        <v>58</v>
      </c>
      <c r="N133">
        <v>109</v>
      </c>
      <c r="O133">
        <v>1</v>
      </c>
      <c r="P133">
        <v>1</v>
      </c>
      <c r="Q133">
        <v>0.216</v>
      </c>
      <c r="R133">
        <v>0.313</v>
      </c>
      <c r="S133">
        <v>0.39800000000000002</v>
      </c>
      <c r="T133">
        <v>0.71099999999999997</v>
      </c>
      <c r="U133">
        <v>6</v>
      </c>
      <c r="V133">
        <v>0</v>
      </c>
      <c r="W133">
        <v>4</v>
      </c>
      <c r="X133">
        <v>175</v>
      </c>
      <c r="Y133">
        <v>2</v>
      </c>
      <c r="Z133">
        <v>51.70129</v>
      </c>
    </row>
    <row r="134" spans="1:26" x14ac:dyDescent="0.2">
      <c r="A134">
        <v>133</v>
      </c>
      <c r="B134" t="s">
        <v>192</v>
      </c>
      <c r="C134" t="s">
        <v>68</v>
      </c>
      <c r="D134" t="s">
        <v>66</v>
      </c>
      <c r="E134">
        <v>157</v>
      </c>
      <c r="F134">
        <v>602</v>
      </c>
      <c r="G134">
        <v>115</v>
      </c>
      <c r="H134">
        <v>173</v>
      </c>
      <c r="I134">
        <v>39</v>
      </c>
      <c r="J134">
        <v>9</v>
      </c>
      <c r="K134">
        <v>36</v>
      </c>
      <c r="L134">
        <v>111</v>
      </c>
      <c r="M134">
        <v>83</v>
      </c>
      <c r="N134">
        <v>184</v>
      </c>
      <c r="O134">
        <v>16</v>
      </c>
      <c r="P134">
        <v>2</v>
      </c>
      <c r="Q134">
        <v>0.28699999999999998</v>
      </c>
      <c r="R134">
        <v>0.377</v>
      </c>
      <c r="S134">
        <v>0.56100000000000005</v>
      </c>
      <c r="T134">
        <v>0.93899999999999995</v>
      </c>
      <c r="U134">
        <v>10</v>
      </c>
      <c r="V134">
        <v>0</v>
      </c>
      <c r="W134">
        <v>10</v>
      </c>
      <c r="X134">
        <v>338</v>
      </c>
      <c r="Y134">
        <v>3</v>
      </c>
      <c r="Z134">
        <v>50.599730000000001</v>
      </c>
    </row>
    <row r="135" spans="1:26" x14ac:dyDescent="0.2">
      <c r="A135">
        <v>134</v>
      </c>
      <c r="B135" t="s">
        <v>193</v>
      </c>
      <c r="C135" t="s">
        <v>106</v>
      </c>
      <c r="D135" t="s">
        <v>30</v>
      </c>
      <c r="E135">
        <v>154</v>
      </c>
      <c r="F135">
        <v>566</v>
      </c>
      <c r="G135">
        <v>77</v>
      </c>
      <c r="H135">
        <v>153</v>
      </c>
      <c r="I135">
        <v>34</v>
      </c>
      <c r="J135">
        <v>2</v>
      </c>
      <c r="K135">
        <v>29</v>
      </c>
      <c r="L135">
        <v>102</v>
      </c>
      <c r="M135">
        <v>60</v>
      </c>
      <c r="N135">
        <v>171</v>
      </c>
      <c r="O135">
        <v>8</v>
      </c>
      <c r="P135">
        <v>4</v>
      </c>
      <c r="Q135">
        <v>0.27</v>
      </c>
      <c r="R135">
        <v>0.34200000000000003</v>
      </c>
      <c r="S135">
        <v>0.49099999999999999</v>
      </c>
      <c r="T135">
        <v>0.83299999999999996</v>
      </c>
      <c r="U135">
        <v>6</v>
      </c>
      <c r="V135">
        <v>0</v>
      </c>
      <c r="W135">
        <v>8</v>
      </c>
      <c r="X135">
        <v>278</v>
      </c>
      <c r="Y135">
        <v>1</v>
      </c>
      <c r="Z135">
        <v>40.06673</v>
      </c>
    </row>
    <row r="136" spans="1:26" x14ac:dyDescent="0.2">
      <c r="A136">
        <v>135</v>
      </c>
      <c r="B136" t="s">
        <v>194</v>
      </c>
      <c r="C136" t="s">
        <v>106</v>
      </c>
      <c r="D136" t="s">
        <v>66</v>
      </c>
      <c r="E136">
        <v>141</v>
      </c>
      <c r="F136">
        <v>519</v>
      </c>
      <c r="G136">
        <v>67</v>
      </c>
      <c r="H136">
        <v>108</v>
      </c>
      <c r="I136">
        <v>19</v>
      </c>
      <c r="J136">
        <v>5</v>
      </c>
      <c r="K136">
        <v>12</v>
      </c>
      <c r="L136">
        <v>35</v>
      </c>
      <c r="M136">
        <v>57</v>
      </c>
      <c r="N136">
        <v>173</v>
      </c>
      <c r="O136">
        <v>20</v>
      </c>
      <c r="P136">
        <v>7</v>
      </c>
      <c r="Q136">
        <v>0.20799999999999999</v>
      </c>
      <c r="R136">
        <v>0.28699999999999998</v>
      </c>
      <c r="S136">
        <v>0.33300000000000002</v>
      </c>
      <c r="T136">
        <v>0.62</v>
      </c>
      <c r="U136">
        <v>1</v>
      </c>
      <c r="V136">
        <v>3</v>
      </c>
      <c r="W136">
        <v>2</v>
      </c>
      <c r="X136">
        <v>173</v>
      </c>
      <c r="Y136">
        <v>2</v>
      </c>
      <c r="Z136">
        <v>47.330889999999997</v>
      </c>
    </row>
    <row r="137" spans="1:26" x14ac:dyDescent="0.2">
      <c r="A137">
        <v>136</v>
      </c>
      <c r="B137" t="s">
        <v>195</v>
      </c>
      <c r="C137" t="s">
        <v>55</v>
      </c>
      <c r="D137" t="s">
        <v>35</v>
      </c>
      <c r="E137">
        <v>155</v>
      </c>
      <c r="F137">
        <v>589</v>
      </c>
      <c r="G137">
        <v>74</v>
      </c>
      <c r="H137">
        <v>159</v>
      </c>
      <c r="I137">
        <v>36</v>
      </c>
      <c r="J137">
        <v>6</v>
      </c>
      <c r="K137">
        <v>11</v>
      </c>
      <c r="L137">
        <v>78</v>
      </c>
      <c r="M137">
        <v>53</v>
      </c>
      <c r="N137">
        <v>85</v>
      </c>
      <c r="O137">
        <v>10</v>
      </c>
      <c r="P137">
        <v>1</v>
      </c>
      <c r="Q137">
        <v>0.27</v>
      </c>
      <c r="R137">
        <v>0.33900000000000002</v>
      </c>
      <c r="S137">
        <v>0.40699999999999997</v>
      </c>
      <c r="T137">
        <v>0.746</v>
      </c>
      <c r="U137">
        <v>13</v>
      </c>
      <c r="V137">
        <v>0</v>
      </c>
      <c r="W137">
        <v>9</v>
      </c>
      <c r="X137">
        <v>240</v>
      </c>
      <c r="Y137">
        <v>3</v>
      </c>
      <c r="Z137">
        <v>26.416429999999998</v>
      </c>
    </row>
    <row r="138" spans="1:26" x14ac:dyDescent="0.2">
      <c r="A138">
        <v>137</v>
      </c>
      <c r="B138" t="s">
        <v>196</v>
      </c>
      <c r="C138" t="s">
        <v>76</v>
      </c>
      <c r="D138" t="s">
        <v>45</v>
      </c>
      <c r="E138">
        <v>149</v>
      </c>
      <c r="F138">
        <v>478</v>
      </c>
      <c r="G138">
        <v>68</v>
      </c>
      <c r="H138">
        <v>119</v>
      </c>
      <c r="I138">
        <v>33</v>
      </c>
      <c r="J138">
        <v>4</v>
      </c>
      <c r="K138">
        <v>16</v>
      </c>
      <c r="L138">
        <v>51</v>
      </c>
      <c r="M138">
        <v>65</v>
      </c>
      <c r="N138">
        <v>113</v>
      </c>
      <c r="O138">
        <v>1</v>
      </c>
      <c r="P138">
        <v>2</v>
      </c>
      <c r="Q138">
        <v>0.249</v>
      </c>
      <c r="R138">
        <v>0.34100000000000003</v>
      </c>
      <c r="S138">
        <v>0.435</v>
      </c>
      <c r="T138">
        <v>0.77600000000000002</v>
      </c>
      <c r="U138">
        <v>2</v>
      </c>
      <c r="V138">
        <v>1</v>
      </c>
      <c r="W138">
        <v>1</v>
      </c>
      <c r="X138">
        <v>208</v>
      </c>
      <c r="Y138">
        <v>2</v>
      </c>
      <c r="Z138">
        <v>18.468489999999999</v>
      </c>
    </row>
    <row r="139" spans="1:26" x14ac:dyDescent="0.2">
      <c r="A139">
        <v>138</v>
      </c>
      <c r="B139" t="s">
        <v>197</v>
      </c>
      <c r="C139" t="s">
        <v>26</v>
      </c>
      <c r="D139" t="s">
        <v>41</v>
      </c>
      <c r="E139">
        <v>145</v>
      </c>
      <c r="F139">
        <v>523</v>
      </c>
      <c r="G139">
        <v>65</v>
      </c>
      <c r="H139">
        <v>121</v>
      </c>
      <c r="I139">
        <v>22</v>
      </c>
      <c r="J139">
        <v>3</v>
      </c>
      <c r="K139">
        <v>21</v>
      </c>
      <c r="L139">
        <v>58</v>
      </c>
      <c r="M139">
        <v>32</v>
      </c>
      <c r="N139">
        <v>122</v>
      </c>
      <c r="O139">
        <v>0</v>
      </c>
      <c r="P139">
        <v>1</v>
      </c>
      <c r="Q139">
        <v>0.23100000000000001</v>
      </c>
      <c r="R139">
        <v>0.28100000000000003</v>
      </c>
      <c r="S139">
        <v>0.40500000000000003</v>
      </c>
      <c r="T139">
        <v>0.68600000000000005</v>
      </c>
      <c r="U139">
        <v>5</v>
      </c>
      <c r="V139">
        <v>0</v>
      </c>
      <c r="W139">
        <v>3</v>
      </c>
      <c r="X139">
        <v>212</v>
      </c>
      <c r="Y139">
        <v>1</v>
      </c>
      <c r="Z139">
        <v>38.361069999999998</v>
      </c>
    </row>
    <row r="140" spans="1:26" x14ac:dyDescent="0.2">
      <c r="A140">
        <v>139</v>
      </c>
      <c r="B140" t="s">
        <v>198</v>
      </c>
      <c r="C140" t="s">
        <v>120</v>
      </c>
      <c r="D140" t="s">
        <v>35</v>
      </c>
      <c r="E140">
        <v>137</v>
      </c>
      <c r="F140">
        <v>512</v>
      </c>
      <c r="G140">
        <v>74</v>
      </c>
      <c r="H140">
        <v>139</v>
      </c>
      <c r="I140">
        <v>25</v>
      </c>
      <c r="J140">
        <v>3</v>
      </c>
      <c r="K140">
        <v>23</v>
      </c>
      <c r="L140">
        <v>76</v>
      </c>
      <c r="M140">
        <v>45</v>
      </c>
      <c r="N140">
        <v>88</v>
      </c>
      <c r="O140">
        <v>2</v>
      </c>
      <c r="P140">
        <v>2</v>
      </c>
      <c r="Q140">
        <v>0.27100000000000002</v>
      </c>
      <c r="R140">
        <v>0.34200000000000003</v>
      </c>
      <c r="S140">
        <v>0.46700000000000003</v>
      </c>
      <c r="T140">
        <v>0.80900000000000005</v>
      </c>
      <c r="U140">
        <v>11</v>
      </c>
      <c r="V140">
        <v>1</v>
      </c>
      <c r="W140">
        <v>2</v>
      </c>
      <c r="X140">
        <v>239</v>
      </c>
      <c r="Y140">
        <v>1</v>
      </c>
      <c r="Z140">
        <v>36.851320000000001</v>
      </c>
    </row>
    <row r="141" spans="1:26" x14ac:dyDescent="0.2">
      <c r="A141">
        <v>140</v>
      </c>
      <c r="B141" t="s">
        <v>199</v>
      </c>
      <c r="C141" t="s">
        <v>62</v>
      </c>
      <c r="D141" t="s">
        <v>41</v>
      </c>
      <c r="E141">
        <v>147</v>
      </c>
      <c r="F141">
        <v>534</v>
      </c>
      <c r="G141">
        <v>85</v>
      </c>
      <c r="H141">
        <v>156</v>
      </c>
      <c r="I141">
        <v>37</v>
      </c>
      <c r="J141">
        <v>1</v>
      </c>
      <c r="K141">
        <v>16</v>
      </c>
      <c r="L141">
        <v>82</v>
      </c>
      <c r="M141">
        <v>83</v>
      </c>
      <c r="N141">
        <v>113</v>
      </c>
      <c r="O141">
        <v>9</v>
      </c>
      <c r="P141">
        <v>1</v>
      </c>
      <c r="Q141">
        <v>0.29199999999999998</v>
      </c>
      <c r="R141">
        <v>0.39400000000000002</v>
      </c>
      <c r="S141">
        <v>0.45500000000000002</v>
      </c>
      <c r="T141">
        <v>0.84899999999999998</v>
      </c>
      <c r="U141">
        <v>9</v>
      </c>
      <c r="V141">
        <v>0</v>
      </c>
      <c r="W141">
        <v>3</v>
      </c>
      <c r="X141">
        <v>243</v>
      </c>
      <c r="Y141">
        <v>1</v>
      </c>
      <c r="Z141">
        <v>22.9282</v>
      </c>
    </row>
    <row r="142" spans="1:26" x14ac:dyDescent="0.2">
      <c r="A142">
        <v>141</v>
      </c>
      <c r="B142" t="s">
        <v>200</v>
      </c>
      <c r="C142" t="s">
        <v>95</v>
      </c>
      <c r="D142" t="s">
        <v>45</v>
      </c>
      <c r="E142">
        <v>134</v>
      </c>
      <c r="F142">
        <v>535</v>
      </c>
      <c r="G142">
        <v>54</v>
      </c>
      <c r="H142">
        <v>144</v>
      </c>
      <c r="I142">
        <v>30</v>
      </c>
      <c r="J142">
        <v>1</v>
      </c>
      <c r="K142">
        <v>8</v>
      </c>
      <c r="L142">
        <v>63</v>
      </c>
      <c r="M142">
        <v>42</v>
      </c>
      <c r="N142">
        <v>113</v>
      </c>
      <c r="O142">
        <v>8</v>
      </c>
      <c r="P142">
        <v>5</v>
      </c>
      <c r="Q142">
        <v>0.26900000000000002</v>
      </c>
      <c r="R142">
        <v>0.32400000000000001</v>
      </c>
      <c r="S142">
        <v>0.374</v>
      </c>
      <c r="T142">
        <v>0.69799999999999995</v>
      </c>
      <c r="U142">
        <v>4</v>
      </c>
      <c r="V142">
        <v>0</v>
      </c>
      <c r="W142">
        <v>5</v>
      </c>
      <c r="X142">
        <v>200</v>
      </c>
      <c r="Y142">
        <v>1</v>
      </c>
      <c r="Z142">
        <v>26.653680000000001</v>
      </c>
    </row>
    <row r="143" spans="1:26" x14ac:dyDescent="0.2">
      <c r="A143">
        <v>142</v>
      </c>
      <c r="B143" t="s">
        <v>201</v>
      </c>
      <c r="C143" t="s">
        <v>123</v>
      </c>
      <c r="D143" t="s">
        <v>30</v>
      </c>
      <c r="E143">
        <v>144</v>
      </c>
      <c r="F143">
        <v>582</v>
      </c>
      <c r="G143">
        <v>94</v>
      </c>
      <c r="H143">
        <v>165</v>
      </c>
      <c r="I143">
        <v>30</v>
      </c>
      <c r="J143">
        <v>6</v>
      </c>
      <c r="K143">
        <v>9</v>
      </c>
      <c r="L143">
        <v>54</v>
      </c>
      <c r="M143">
        <v>70</v>
      </c>
      <c r="N143">
        <v>137</v>
      </c>
      <c r="O143">
        <v>21</v>
      </c>
      <c r="P143">
        <v>7</v>
      </c>
      <c r="Q143">
        <v>0.28399999999999997</v>
      </c>
      <c r="R143">
        <v>0.36199999999999999</v>
      </c>
      <c r="S143">
        <v>0.40200000000000002</v>
      </c>
      <c r="T143">
        <v>0.76400000000000001</v>
      </c>
      <c r="U143">
        <v>3</v>
      </c>
      <c r="V143">
        <v>3</v>
      </c>
      <c r="W143">
        <v>2</v>
      </c>
      <c r="X143">
        <v>234</v>
      </c>
      <c r="Y143">
        <v>3</v>
      </c>
      <c r="Z143">
        <v>38.076610000000002</v>
      </c>
    </row>
    <row r="144" spans="1:26" x14ac:dyDescent="0.2">
      <c r="A144">
        <v>143</v>
      </c>
      <c r="B144" t="s">
        <v>202</v>
      </c>
      <c r="C144" t="s">
        <v>23</v>
      </c>
      <c r="D144" t="s">
        <v>35</v>
      </c>
      <c r="E144">
        <v>146</v>
      </c>
      <c r="F144">
        <v>570</v>
      </c>
      <c r="G144">
        <v>83</v>
      </c>
      <c r="H144">
        <v>155</v>
      </c>
      <c r="I144">
        <v>34</v>
      </c>
      <c r="J144">
        <v>3</v>
      </c>
      <c r="K144">
        <v>10</v>
      </c>
      <c r="L144">
        <v>52</v>
      </c>
      <c r="M144">
        <v>75</v>
      </c>
      <c r="N144">
        <v>84</v>
      </c>
      <c r="O144">
        <v>10</v>
      </c>
      <c r="P144">
        <v>5</v>
      </c>
      <c r="Q144">
        <v>0.27200000000000002</v>
      </c>
      <c r="R144">
        <v>0.35399999999999998</v>
      </c>
      <c r="S144">
        <v>0.39500000000000002</v>
      </c>
      <c r="T144">
        <v>0.749</v>
      </c>
      <c r="U144">
        <v>1</v>
      </c>
      <c r="V144">
        <v>2</v>
      </c>
      <c r="W144">
        <v>6</v>
      </c>
      <c r="X144">
        <v>225</v>
      </c>
      <c r="Y144">
        <v>1</v>
      </c>
      <c r="Z144">
        <v>35.358029999999999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3E04C-3D93-364B-B1A6-FC0207B48E5A}">
  <dimension ref="A1:F9"/>
  <sheetViews>
    <sheetView tabSelected="1" workbookViewId="0">
      <selection activeCell="I6" sqref="I6"/>
    </sheetView>
  </sheetViews>
  <sheetFormatPr baseColWidth="10" defaultRowHeight="16" x14ac:dyDescent="0.2"/>
  <cols>
    <col min="1" max="6" width="18.5" customWidth="1"/>
  </cols>
  <sheetData>
    <row r="1" spans="1:6" ht="17" thickBot="1" x14ac:dyDescent="0.25"/>
    <row r="2" spans="1:6" ht="23" thickBot="1" x14ac:dyDescent="0.35">
      <c r="A2" s="4" t="s">
        <v>207</v>
      </c>
      <c r="B2" s="5"/>
      <c r="C2" s="5"/>
      <c r="D2" s="5" t="s">
        <v>209</v>
      </c>
      <c r="E2" s="5"/>
      <c r="F2" s="6"/>
    </row>
    <row r="3" spans="1:6" ht="23" thickBot="1" x14ac:dyDescent="0.35">
      <c r="A3" s="8" t="s">
        <v>205</v>
      </c>
      <c r="B3" s="9" t="s">
        <v>206</v>
      </c>
      <c r="C3" s="9" t="s">
        <v>208</v>
      </c>
      <c r="D3" s="9" t="s">
        <v>205</v>
      </c>
      <c r="E3" s="9" t="s">
        <v>206</v>
      </c>
      <c r="F3" s="10" t="s">
        <v>208</v>
      </c>
    </row>
    <row r="4" spans="1:6" ht="22" x14ac:dyDescent="0.3">
      <c r="A4" s="7">
        <v>1</v>
      </c>
      <c r="B4" s="7">
        <f>'Hierarchical (CLU3)'!AB3</f>
        <v>57</v>
      </c>
      <c r="C4" s="7">
        <f>'Hierarchical (CLU3)'!AE3</f>
        <v>84.824561403508767</v>
      </c>
      <c r="D4" s="7">
        <v>1</v>
      </c>
      <c r="E4" s="7">
        <f>'K-means (QCL1)'!AC3</f>
        <v>53</v>
      </c>
      <c r="F4" s="7">
        <f>'K-means (QCL1)'!AF3</f>
        <v>70.169811320754718</v>
      </c>
    </row>
    <row r="5" spans="1:6" ht="22" x14ac:dyDescent="0.3">
      <c r="A5" s="2">
        <v>2</v>
      </c>
      <c r="B5" s="2">
        <f>'Hierarchical (CLU3)'!AB4</f>
        <v>66</v>
      </c>
      <c r="C5" s="2">
        <f ca="1">'Hierarchical (CLU3)'!AE4</f>
        <v>58.469696969696969</v>
      </c>
      <c r="D5" s="2">
        <v>2</v>
      </c>
      <c r="E5" s="2">
        <f>'K-means (QCL1)'!AC4</f>
        <v>49</v>
      </c>
      <c r="F5" s="2">
        <f ca="1">'K-means (QCL1)'!AF4</f>
        <v>58.346938775510203</v>
      </c>
    </row>
    <row r="6" spans="1:6" ht="22" x14ac:dyDescent="0.3">
      <c r="A6" s="2">
        <v>3</v>
      </c>
      <c r="B6" s="2">
        <f>'Hierarchical (CLU3)'!AB5</f>
        <v>20</v>
      </c>
      <c r="C6" s="2">
        <f ca="1">'Hierarchical (CLU3)'!AE5</f>
        <v>69.400000000000006</v>
      </c>
      <c r="D6" s="2">
        <v>3</v>
      </c>
      <c r="E6" s="2">
        <f>'K-means (QCL1)'!AC5</f>
        <v>41</v>
      </c>
      <c r="F6" s="2">
        <f ca="1">'K-means (QCL1)'!AF5</f>
        <v>85.463414634146346</v>
      </c>
    </row>
    <row r="7" spans="1:6" ht="22" x14ac:dyDescent="0.3">
      <c r="A7" s="3"/>
      <c r="B7" s="2">
        <f>SUM(B4:B6)</f>
        <v>143</v>
      </c>
      <c r="C7" s="2"/>
      <c r="D7" s="2"/>
      <c r="E7" s="2">
        <f>SUM(E4:E6)</f>
        <v>143</v>
      </c>
      <c r="F7" s="3"/>
    </row>
    <row r="9" spans="1:6" ht="22" x14ac:dyDescent="0.3">
      <c r="A9" s="1" t="s">
        <v>210</v>
      </c>
    </row>
  </sheetData>
  <mergeCells count="2">
    <mergeCell ref="A2:C2"/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Hierarchical (CLU3)</vt:lpstr>
      <vt:lpstr>K-means (QCL1)</vt:lpstr>
      <vt:lpstr>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 Santoso</dc:creator>
  <cp:lastModifiedBy>Benedict  Santoso</cp:lastModifiedBy>
  <dcterms:created xsi:type="dcterms:W3CDTF">2026-04-26T15:27:17Z</dcterms:created>
  <dcterms:modified xsi:type="dcterms:W3CDTF">2026-04-27T01:22:57Z</dcterms:modified>
</cp:coreProperties>
</file>