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benedictsantoso/Library/Mobile Documents/com~apple~CloudDocs/Desktop/Education /Undergraduate Universities/Suffolk University 2024 - 2026/Classes:Clubs:etc/Class Term/2026/Spring 2026/ISOM 232 - Sports Analytics in Action/Week 11/HW /"/>
    </mc:Choice>
  </mc:AlternateContent>
  <xr:revisionPtr revIDLastSave="0" documentId="13_ncr:1_{A60F93F0-2F61-3540-8786-5EAB88CAF4A5}" xr6:coauthVersionLast="47" xr6:coauthVersionMax="47" xr10:uidLastSave="{00000000-0000-0000-0000-000000000000}"/>
  <bookViews>
    <workbookView xWindow="700" yWindow="740" windowWidth="27240" windowHeight="16440" xr2:uid="{360A0C24-BA63-274E-B18B-1E09B98412C8}"/>
  </bookViews>
  <sheets>
    <sheet name="Sheet1" sheetId="1" r:id="rId1"/>
  </sheets>
  <definedNames>
    <definedName name="_xlchart.v1.0" hidden="1">Sheet1!$G$3</definedName>
    <definedName name="_xlchart.v1.1" hidden="1">Sheet1!$G$4:$G$10</definedName>
    <definedName name="_xlchart.v1.2" hidden="1">Sheet1!$J$3</definedName>
    <definedName name="_xlchart.v1.3" hidden="1">Sheet1!$J$4:$J$10</definedName>
    <definedName name="_xlchart.v2.4" hidden="1">Sheet1!$G$3</definedName>
    <definedName name="_xlchart.v2.5" hidden="1">Sheet1!$G$4:$G$10</definedName>
    <definedName name="_xlchart.v2.6" hidden="1">Sheet1!$J$3</definedName>
    <definedName name="_xlchart.v2.7" hidden="1">Sheet1!$J$4:$J$10</definedName>
  </definedNames>
  <calcPr calcId="181029"/>
  <pivotCaches>
    <pivotCache cacheId="105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J10" i="1"/>
  <c r="K10" i="1" s="1"/>
  <c r="L10" i="1" s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3" i="1"/>
  <c r="I1" i="1"/>
  <c r="J7" i="1" s="1"/>
  <c r="K7" i="1" s="1"/>
  <c r="L7" i="1" s="1"/>
  <c r="J6" i="1" l="1"/>
  <c r="K6" i="1" s="1"/>
  <c r="L6" i="1" s="1"/>
  <c r="J8" i="1"/>
  <c r="K8" i="1" s="1"/>
  <c r="L8" i="1" s="1"/>
  <c r="J5" i="1"/>
  <c r="K5" i="1" s="1"/>
  <c r="L5" i="1" s="1"/>
  <c r="J9" i="1"/>
  <c r="K9" i="1" s="1"/>
  <c r="L9" i="1" s="1"/>
  <c r="J4" i="1"/>
  <c r="K4" i="1" s="1"/>
  <c r="L4" i="1" s="1"/>
  <c r="N3" i="1"/>
</calcChain>
</file>

<file path=xl/sharedStrings.xml><?xml version="1.0" encoding="utf-8"?>
<sst xmlns="http://schemas.openxmlformats.org/spreadsheetml/2006/main" count="110" uniqueCount="27">
  <si>
    <t>I</t>
  </si>
  <si>
    <t>CI</t>
  </si>
  <si>
    <t>CCI</t>
  </si>
  <si>
    <t>CCCCI</t>
  </si>
  <si>
    <t>CCCI</t>
  </si>
  <si>
    <t>CCCCCI</t>
  </si>
  <si>
    <t>CCCCCCI</t>
  </si>
  <si>
    <t>Shot Pattern</t>
  </si>
  <si>
    <t>Size</t>
  </si>
  <si>
    <t>Row Labels</t>
  </si>
  <si>
    <t>Grand Total</t>
  </si>
  <si>
    <t>Count of Size</t>
  </si>
  <si>
    <t>Pattern</t>
  </si>
  <si>
    <t>Empirical</t>
  </si>
  <si>
    <t>Prob(Pattern)</t>
  </si>
  <si>
    <t>Logical</t>
  </si>
  <si>
    <t>Difference</t>
  </si>
  <si>
    <t>p(C)=&gt;</t>
  </si>
  <si>
    <t>p(I)=&gt;</t>
  </si>
  <si>
    <t>Passes</t>
  </si>
  <si>
    <t>Total Patterns</t>
  </si>
  <si>
    <t>Longest Run</t>
  </si>
  <si>
    <t>Josh Allen Shooting Analysis</t>
  </si>
  <si>
    <t>The empirical distribution closely follows the expected probability distribution for a 50–50 process. While small differences exist, the overall pattern suggests that outcomes are consistent with randomness.</t>
  </si>
  <si>
    <t>Part 2 Intrepretation</t>
  </si>
  <si>
    <t>Part 4</t>
  </si>
  <si>
    <t>For 250 passes, the expected longest run is approximately 8. This indicates the maximum streak expected under a random process.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</si>
</sst>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/>
    <xf numFmtId="0" fontId="2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right"/>
    </xf>
    <xf numFmtId="1" fontId="0" fillId="0" borderId="0" xfId="0" applyNumberFormat="1"/>
    <xf numFmtId="0" fontId="1" fillId="0" borderId="1" xfId="0" applyNumberFormat="1" applyFont="1" applyFill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Probability Distribution of Shot Patterns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Prob(Pattern)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Sheet1!$G$4:$G$10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cat>
          <c:val>
            <c:numRef>
              <c:f>Sheet1!$J$4:$J$10</c:f>
              <c:numCache>
                <c:formatCode>General</c:formatCode>
                <c:ptCount val="7"/>
                <c:pt idx="0">
                  <c:v>0.5</c:v>
                </c:pt>
                <c:pt idx="1">
                  <c:v>0.25</c:v>
                </c:pt>
                <c:pt idx="2">
                  <c:v>0.125</c:v>
                </c:pt>
                <c:pt idx="3">
                  <c:v>6.25E-2</c:v>
                </c:pt>
                <c:pt idx="4">
                  <c:v>3.125E-2</c:v>
                </c:pt>
                <c:pt idx="5">
                  <c:v>1.5625E-2</c:v>
                </c:pt>
                <c:pt idx="6">
                  <c:v>7.8125E-3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02-D84C-A03A-EBDD4B589E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0057055"/>
        <c:axId val="1250006063"/>
      </c:barChart>
      <c:catAx>
        <c:axId val="1250057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Number of Consecutive Completions 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006063"/>
        <c:crosses val="autoZero"/>
        <c:auto val="1"/>
        <c:lblAlgn val="ctr"/>
        <c:lblOffset val="100"/>
        <c:noMultiLvlLbl val="0"/>
      </c:catAx>
      <c:valAx>
        <c:axId val="125000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Probability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057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12</xdr:row>
      <xdr:rowOff>158750</xdr:rowOff>
    </xdr:from>
    <xdr:to>
      <xdr:col>14</xdr:col>
      <xdr:colOff>127000</xdr:colOff>
      <xdr:row>33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12EC6A-770D-A69D-116F-4E2CCCF56E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edict Santoso" refreshedDate="46099.946110763885" createdVersion="8" refreshedVersion="8" minRefreshableVersion="3" recordCount="75" xr:uid="{F49976BF-43E2-B04D-B5F2-6562367F4A12}">
  <cacheSource type="worksheet">
    <worksheetSource ref="A2:B77" sheet="Sheet1"/>
  </cacheSource>
  <cacheFields count="2">
    <cacheField name="Pass Pattern" numFmtId="0">
      <sharedItems count="7">
        <s v="I"/>
        <s v="CI"/>
        <s v="CCI"/>
        <s v="CCCCI"/>
        <s v="CCCI"/>
        <s v="CCCCCI"/>
        <s v="CCCCCCI"/>
      </sharedItems>
    </cacheField>
    <cacheField name="Size" numFmtId="0">
      <sharedItems containsSemiMixedTypes="0" containsString="0" containsNumber="1" containsInteger="1" minValue="0" maxValue="6" count="7">
        <n v="0"/>
        <n v="1"/>
        <n v="2"/>
        <n v="4"/>
        <n v="3"/>
        <n v="5"/>
        <n v="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x v="0"/>
    <x v="0"/>
  </r>
  <r>
    <x v="0"/>
    <x v="0"/>
  </r>
  <r>
    <x v="1"/>
    <x v="1"/>
  </r>
  <r>
    <x v="2"/>
    <x v="2"/>
  </r>
  <r>
    <x v="0"/>
    <x v="0"/>
  </r>
  <r>
    <x v="2"/>
    <x v="2"/>
  </r>
  <r>
    <x v="2"/>
    <x v="2"/>
  </r>
  <r>
    <x v="0"/>
    <x v="0"/>
  </r>
  <r>
    <x v="2"/>
    <x v="2"/>
  </r>
  <r>
    <x v="1"/>
    <x v="1"/>
  </r>
  <r>
    <x v="3"/>
    <x v="3"/>
  </r>
  <r>
    <x v="1"/>
    <x v="1"/>
  </r>
  <r>
    <x v="2"/>
    <x v="2"/>
  </r>
  <r>
    <x v="0"/>
    <x v="0"/>
  </r>
  <r>
    <x v="1"/>
    <x v="1"/>
  </r>
  <r>
    <x v="2"/>
    <x v="2"/>
  </r>
  <r>
    <x v="0"/>
    <x v="0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2"/>
    <x v="2"/>
  </r>
  <r>
    <x v="0"/>
    <x v="0"/>
  </r>
  <r>
    <x v="0"/>
    <x v="0"/>
  </r>
  <r>
    <x v="2"/>
    <x v="2"/>
  </r>
  <r>
    <x v="0"/>
    <x v="0"/>
  </r>
  <r>
    <x v="0"/>
    <x v="0"/>
  </r>
  <r>
    <x v="1"/>
    <x v="1"/>
  </r>
  <r>
    <x v="1"/>
    <x v="1"/>
  </r>
  <r>
    <x v="0"/>
    <x v="0"/>
  </r>
  <r>
    <x v="2"/>
    <x v="2"/>
  </r>
  <r>
    <x v="1"/>
    <x v="1"/>
  </r>
  <r>
    <x v="1"/>
    <x v="1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2"/>
    <x v="2"/>
  </r>
  <r>
    <x v="2"/>
    <x v="2"/>
  </r>
  <r>
    <x v="2"/>
    <x v="2"/>
  </r>
  <r>
    <x v="4"/>
    <x v="4"/>
  </r>
  <r>
    <x v="4"/>
    <x v="4"/>
  </r>
  <r>
    <x v="1"/>
    <x v="1"/>
  </r>
  <r>
    <x v="0"/>
    <x v="0"/>
  </r>
  <r>
    <x v="0"/>
    <x v="0"/>
  </r>
  <r>
    <x v="5"/>
    <x v="5"/>
  </r>
  <r>
    <x v="0"/>
    <x v="0"/>
  </r>
  <r>
    <x v="1"/>
    <x v="1"/>
  </r>
  <r>
    <x v="4"/>
    <x v="4"/>
  </r>
  <r>
    <x v="2"/>
    <x v="2"/>
  </r>
  <r>
    <x v="0"/>
    <x v="0"/>
  </r>
  <r>
    <x v="1"/>
    <x v="1"/>
  </r>
  <r>
    <x v="1"/>
    <x v="1"/>
  </r>
  <r>
    <x v="0"/>
    <x v="0"/>
  </r>
  <r>
    <x v="2"/>
    <x v="2"/>
  </r>
  <r>
    <x v="0"/>
    <x v="0"/>
  </r>
  <r>
    <x v="2"/>
    <x v="2"/>
  </r>
  <r>
    <x v="2"/>
    <x v="2"/>
  </r>
  <r>
    <x v="1"/>
    <x v="1"/>
  </r>
  <r>
    <x v="1"/>
    <x v="1"/>
  </r>
  <r>
    <x v="0"/>
    <x v="0"/>
  </r>
  <r>
    <x v="0"/>
    <x v="0"/>
  </r>
  <r>
    <x v="0"/>
    <x v="0"/>
  </r>
  <r>
    <x v="1"/>
    <x v="1"/>
  </r>
  <r>
    <x v="1"/>
    <x v="1"/>
  </r>
  <r>
    <x v="1"/>
    <x v="1"/>
  </r>
  <r>
    <x v="6"/>
    <x v="6"/>
  </r>
  <r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4D9CEE-6F09-4742-BD45-4DA004206C24}" name="PivotTable19" cacheId="1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11" firstHeaderRow="1" firstDataRow="1" firstDataCol="1"/>
  <pivotFields count="2">
    <pivotField axis="axisRow" showAll="0" sortType="descending">
      <items count="8">
        <item x="0"/>
        <item x="1"/>
        <item x="2"/>
        <item x="4"/>
        <item x="3"/>
        <item x="5"/>
        <item x="6"/>
        <item t="default"/>
      </items>
    </pivotField>
    <pivotField dataField="1" showAll="0">
      <items count="8">
        <item x="0"/>
        <item x="1"/>
        <item x="2"/>
        <item x="4"/>
        <item x="3"/>
        <item x="5"/>
        <item x="6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Siz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03B1-FF8E-F142-800B-DBA8D24AB5AD}">
  <dimension ref="A1:O77"/>
  <sheetViews>
    <sheetView tabSelected="1" workbookViewId="0">
      <selection activeCell="F46" sqref="F46"/>
    </sheetView>
  </sheetViews>
  <sheetFormatPr baseColWidth="10" defaultRowHeight="16" x14ac:dyDescent="0.2"/>
  <cols>
    <col min="1" max="1" width="13.83203125" customWidth="1"/>
    <col min="4" max="4" width="13" bestFit="1" customWidth="1"/>
    <col min="5" max="5" width="11.83203125" bestFit="1" customWidth="1"/>
    <col min="6" max="6" width="12.6640625" bestFit="1" customWidth="1"/>
    <col min="7" max="7" width="8.6640625" bestFit="1" customWidth="1"/>
    <col min="8" max="8" width="9.6640625" bestFit="1" customWidth="1"/>
    <col min="9" max="9" width="9" bestFit="1" customWidth="1"/>
    <col min="10" max="10" width="12.5" bestFit="1" customWidth="1"/>
    <col min="11" max="12" width="10.1640625" bestFit="1" customWidth="1"/>
    <col min="13" max="13" width="6" bestFit="1" customWidth="1"/>
    <col min="14" max="14" width="8.6640625" bestFit="1" customWidth="1"/>
    <col min="15" max="15" width="7.33203125" customWidth="1"/>
    <col min="16" max="16" width="7.33203125" bestFit="1" customWidth="1"/>
    <col min="17" max="17" width="3.33203125" bestFit="1" customWidth="1"/>
    <col min="18" max="18" width="6" bestFit="1" customWidth="1"/>
    <col min="19" max="19" width="10.5" bestFit="1" customWidth="1"/>
  </cols>
  <sheetData>
    <row r="1" spans="1:15" x14ac:dyDescent="0.2">
      <c r="A1" s="1"/>
      <c r="C1" t="s">
        <v>22</v>
      </c>
      <c r="F1" s="6" t="s">
        <v>17</v>
      </c>
      <c r="G1">
        <v>0.5</v>
      </c>
      <c r="H1" s="6" t="s">
        <v>18</v>
      </c>
      <c r="I1">
        <f>1-G1</f>
        <v>0.5</v>
      </c>
    </row>
    <row r="2" spans="1:15" x14ac:dyDescent="0.2">
      <c r="A2" s="2" t="s">
        <v>7</v>
      </c>
      <c r="B2" s="2" t="s">
        <v>8</v>
      </c>
      <c r="F2" s="6" t="s">
        <v>20</v>
      </c>
      <c r="G2">
        <v>75</v>
      </c>
      <c r="N2">
        <v>250</v>
      </c>
      <c r="O2" t="s">
        <v>19</v>
      </c>
    </row>
    <row r="3" spans="1:15" x14ac:dyDescent="0.2">
      <c r="A3" s="1" t="s">
        <v>0</v>
      </c>
      <c r="B3">
        <f>LEN(A3)-1</f>
        <v>0</v>
      </c>
      <c r="D3" s="4" t="s">
        <v>9</v>
      </c>
      <c r="E3" t="s">
        <v>11</v>
      </c>
      <c r="G3" s="2" t="s">
        <v>19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N3" s="7">
        <f>N2*I1</f>
        <v>125</v>
      </c>
    </row>
    <row r="4" spans="1:15" x14ac:dyDescent="0.2">
      <c r="A4" t="s">
        <v>0</v>
      </c>
      <c r="B4">
        <f t="shared" ref="B4:B67" si="0">LEN(A4)-1</f>
        <v>0</v>
      </c>
      <c r="D4" s="5" t="s">
        <v>0</v>
      </c>
      <c r="E4" s="3">
        <v>33</v>
      </c>
      <c r="G4">
        <v>0</v>
      </c>
      <c r="H4" s="5" t="s">
        <v>0</v>
      </c>
      <c r="I4" s="3">
        <v>33</v>
      </c>
      <c r="J4">
        <f>$G$1^G4*$I$1</f>
        <v>0.5</v>
      </c>
      <c r="K4">
        <f>$G$2*J4</f>
        <v>37.5</v>
      </c>
      <c r="L4">
        <f>I4-K4</f>
        <v>-4.5</v>
      </c>
    </row>
    <row r="5" spans="1:15" x14ac:dyDescent="0.2">
      <c r="A5" t="s">
        <v>1</v>
      </c>
      <c r="B5">
        <f t="shared" si="0"/>
        <v>1</v>
      </c>
      <c r="D5" s="5" t="s">
        <v>1</v>
      </c>
      <c r="E5" s="3">
        <v>20</v>
      </c>
      <c r="G5">
        <v>1</v>
      </c>
      <c r="H5" s="5" t="s">
        <v>1</v>
      </c>
      <c r="I5" s="3">
        <v>20</v>
      </c>
      <c r="J5">
        <f t="shared" ref="J5:J10" si="1">$G$1^G5*$I$1</f>
        <v>0.25</v>
      </c>
      <c r="K5">
        <f t="shared" ref="K5:K10" si="2">$G$2*J5</f>
        <v>18.75</v>
      </c>
      <c r="L5">
        <f t="shared" ref="L5:L10" si="3">I5-K5</f>
        <v>1.25</v>
      </c>
    </row>
    <row r="6" spans="1:15" x14ac:dyDescent="0.2">
      <c r="A6" t="s">
        <v>2</v>
      </c>
      <c r="B6">
        <f t="shared" si="0"/>
        <v>2</v>
      </c>
      <c r="D6" s="5" t="s">
        <v>2</v>
      </c>
      <c r="E6" s="3">
        <v>16</v>
      </c>
      <c r="G6">
        <v>2</v>
      </c>
      <c r="H6" s="5" t="s">
        <v>2</v>
      </c>
      <c r="I6" s="3">
        <v>16</v>
      </c>
      <c r="J6">
        <f t="shared" si="1"/>
        <v>0.125</v>
      </c>
      <c r="K6">
        <f t="shared" si="2"/>
        <v>9.375</v>
      </c>
      <c r="L6">
        <f t="shared" si="3"/>
        <v>6.625</v>
      </c>
    </row>
    <row r="7" spans="1:15" x14ac:dyDescent="0.2">
      <c r="A7" t="s">
        <v>0</v>
      </c>
      <c r="B7">
        <f t="shared" si="0"/>
        <v>0</v>
      </c>
      <c r="D7" s="5" t="s">
        <v>4</v>
      </c>
      <c r="E7" s="3">
        <v>3</v>
      </c>
      <c r="G7">
        <v>3</v>
      </c>
      <c r="H7" s="5" t="s">
        <v>4</v>
      </c>
      <c r="I7" s="3">
        <v>3</v>
      </c>
      <c r="J7">
        <f t="shared" si="1"/>
        <v>6.25E-2</v>
      </c>
      <c r="K7">
        <f t="shared" si="2"/>
        <v>4.6875</v>
      </c>
      <c r="L7">
        <f t="shared" si="3"/>
        <v>-1.6875</v>
      </c>
    </row>
    <row r="8" spans="1:15" x14ac:dyDescent="0.2">
      <c r="A8" t="s">
        <v>2</v>
      </c>
      <c r="B8">
        <f t="shared" si="0"/>
        <v>2</v>
      </c>
      <c r="D8" s="5" t="s">
        <v>3</v>
      </c>
      <c r="E8" s="3">
        <v>1</v>
      </c>
      <c r="G8">
        <v>4</v>
      </c>
      <c r="H8" s="5" t="s">
        <v>3</v>
      </c>
      <c r="I8" s="3">
        <v>1</v>
      </c>
      <c r="J8">
        <f t="shared" si="1"/>
        <v>3.125E-2</v>
      </c>
      <c r="K8">
        <f t="shared" si="2"/>
        <v>2.34375</v>
      </c>
      <c r="L8">
        <f t="shared" si="3"/>
        <v>-1.34375</v>
      </c>
    </row>
    <row r="9" spans="1:15" x14ac:dyDescent="0.2">
      <c r="A9" t="s">
        <v>2</v>
      </c>
      <c r="B9">
        <f t="shared" si="0"/>
        <v>2</v>
      </c>
      <c r="D9" s="5" t="s">
        <v>5</v>
      </c>
      <c r="E9" s="3">
        <v>1</v>
      </c>
      <c r="G9">
        <v>5</v>
      </c>
      <c r="H9" s="5" t="s">
        <v>5</v>
      </c>
      <c r="I9" s="3">
        <v>1</v>
      </c>
      <c r="J9">
        <f t="shared" si="1"/>
        <v>1.5625E-2</v>
      </c>
      <c r="K9">
        <f t="shared" si="2"/>
        <v>1.171875</v>
      </c>
      <c r="L9">
        <f t="shared" si="3"/>
        <v>-0.171875</v>
      </c>
    </row>
    <row r="10" spans="1:15" x14ac:dyDescent="0.2">
      <c r="A10" t="s">
        <v>0</v>
      </c>
      <c r="B10">
        <f t="shared" si="0"/>
        <v>0</v>
      </c>
      <c r="D10" s="5" t="s">
        <v>6</v>
      </c>
      <c r="E10" s="3">
        <v>1</v>
      </c>
      <c r="G10">
        <v>6</v>
      </c>
      <c r="H10" s="5" t="s">
        <v>6</v>
      </c>
      <c r="I10" s="3">
        <v>1</v>
      </c>
      <c r="J10">
        <f t="shared" si="1"/>
        <v>7.8125E-3</v>
      </c>
      <c r="K10">
        <f t="shared" si="2"/>
        <v>0.5859375</v>
      </c>
      <c r="L10">
        <f t="shared" si="3"/>
        <v>0.4140625</v>
      </c>
    </row>
    <row r="11" spans="1:15" x14ac:dyDescent="0.2">
      <c r="A11" t="s">
        <v>2</v>
      </c>
      <c r="B11">
        <f t="shared" si="0"/>
        <v>2</v>
      </c>
      <c r="D11" s="5" t="s">
        <v>10</v>
      </c>
      <c r="E11" s="3">
        <v>75</v>
      </c>
      <c r="F11" s="2" t="s">
        <v>21</v>
      </c>
      <c r="G11" s="9">
        <f>LN(N2)/LN(2)</f>
        <v>7.965784284662087</v>
      </c>
      <c r="I11" s="8"/>
    </row>
    <row r="12" spans="1:15" x14ac:dyDescent="0.2">
      <c r="A12" t="s">
        <v>1</v>
      </c>
      <c r="B12">
        <f t="shared" si="0"/>
        <v>1</v>
      </c>
    </row>
    <row r="13" spans="1:15" x14ac:dyDescent="0.2">
      <c r="A13" t="s">
        <v>3</v>
      </c>
      <c r="B13">
        <f t="shared" si="0"/>
        <v>4</v>
      </c>
    </row>
    <row r="14" spans="1:15" x14ac:dyDescent="0.2">
      <c r="A14" t="s">
        <v>1</v>
      </c>
      <c r="B14">
        <f t="shared" si="0"/>
        <v>1</v>
      </c>
    </row>
    <row r="15" spans="1:15" x14ac:dyDescent="0.2">
      <c r="A15" t="s">
        <v>2</v>
      </c>
      <c r="B15">
        <f t="shared" si="0"/>
        <v>2</v>
      </c>
    </row>
    <row r="16" spans="1:15" x14ac:dyDescent="0.2">
      <c r="A16" t="s">
        <v>0</v>
      </c>
      <c r="B16">
        <f t="shared" si="0"/>
        <v>0</v>
      </c>
    </row>
    <row r="17" spans="1:2" x14ac:dyDescent="0.2">
      <c r="A17" t="s">
        <v>1</v>
      </c>
      <c r="B17">
        <f t="shared" si="0"/>
        <v>1</v>
      </c>
    </row>
    <row r="18" spans="1:2" x14ac:dyDescent="0.2">
      <c r="A18" t="s">
        <v>2</v>
      </c>
      <c r="B18">
        <f t="shared" si="0"/>
        <v>2</v>
      </c>
    </row>
    <row r="19" spans="1:2" x14ac:dyDescent="0.2">
      <c r="A19" t="s">
        <v>0</v>
      </c>
      <c r="B19">
        <f t="shared" si="0"/>
        <v>0</v>
      </c>
    </row>
    <row r="20" spans="1:2" x14ac:dyDescent="0.2">
      <c r="A20" t="s">
        <v>0</v>
      </c>
      <c r="B20">
        <f t="shared" si="0"/>
        <v>0</v>
      </c>
    </row>
    <row r="21" spans="1:2" x14ac:dyDescent="0.2">
      <c r="A21" t="s">
        <v>0</v>
      </c>
      <c r="B21">
        <f t="shared" si="0"/>
        <v>0</v>
      </c>
    </row>
    <row r="22" spans="1:2" x14ac:dyDescent="0.2">
      <c r="A22" t="s">
        <v>0</v>
      </c>
      <c r="B22">
        <f t="shared" si="0"/>
        <v>0</v>
      </c>
    </row>
    <row r="23" spans="1:2" x14ac:dyDescent="0.2">
      <c r="A23" t="s">
        <v>1</v>
      </c>
      <c r="B23">
        <f t="shared" si="0"/>
        <v>1</v>
      </c>
    </row>
    <row r="24" spans="1:2" x14ac:dyDescent="0.2">
      <c r="A24" t="s">
        <v>0</v>
      </c>
      <c r="B24">
        <f t="shared" si="0"/>
        <v>0</v>
      </c>
    </row>
    <row r="25" spans="1:2" x14ac:dyDescent="0.2">
      <c r="A25" t="s">
        <v>0</v>
      </c>
      <c r="B25">
        <f t="shared" si="0"/>
        <v>0</v>
      </c>
    </row>
    <row r="26" spans="1:2" x14ac:dyDescent="0.2">
      <c r="A26" t="s">
        <v>2</v>
      </c>
      <c r="B26">
        <f t="shared" si="0"/>
        <v>2</v>
      </c>
    </row>
    <row r="27" spans="1:2" x14ac:dyDescent="0.2">
      <c r="A27" t="s">
        <v>0</v>
      </c>
      <c r="B27">
        <f t="shared" si="0"/>
        <v>0</v>
      </c>
    </row>
    <row r="28" spans="1:2" x14ac:dyDescent="0.2">
      <c r="A28" t="s">
        <v>0</v>
      </c>
      <c r="B28">
        <f t="shared" si="0"/>
        <v>0</v>
      </c>
    </row>
    <row r="29" spans="1:2" x14ac:dyDescent="0.2">
      <c r="A29" t="s">
        <v>2</v>
      </c>
      <c r="B29">
        <f t="shared" si="0"/>
        <v>2</v>
      </c>
    </row>
    <row r="30" spans="1:2" x14ac:dyDescent="0.2">
      <c r="A30" t="s">
        <v>0</v>
      </c>
      <c r="B30">
        <f t="shared" si="0"/>
        <v>0</v>
      </c>
    </row>
    <row r="31" spans="1:2" x14ac:dyDescent="0.2">
      <c r="A31" t="s">
        <v>0</v>
      </c>
      <c r="B31">
        <f t="shared" si="0"/>
        <v>0</v>
      </c>
    </row>
    <row r="32" spans="1:2" x14ac:dyDescent="0.2">
      <c r="A32" t="s">
        <v>1</v>
      </c>
      <c r="B32">
        <f t="shared" si="0"/>
        <v>1</v>
      </c>
    </row>
    <row r="33" spans="1:4" x14ac:dyDescent="0.2">
      <c r="A33" t="s">
        <v>1</v>
      </c>
      <c r="B33">
        <f t="shared" si="0"/>
        <v>1</v>
      </c>
    </row>
    <row r="34" spans="1:4" x14ac:dyDescent="0.2">
      <c r="A34" t="s">
        <v>0</v>
      </c>
      <c r="B34">
        <f t="shared" si="0"/>
        <v>0</v>
      </c>
    </row>
    <row r="35" spans="1:4" x14ac:dyDescent="0.2">
      <c r="A35" t="s">
        <v>2</v>
      </c>
      <c r="B35">
        <f t="shared" si="0"/>
        <v>2</v>
      </c>
      <c r="D35" s="2" t="s">
        <v>24</v>
      </c>
    </row>
    <row r="36" spans="1:4" x14ac:dyDescent="0.2">
      <c r="A36" t="s">
        <v>1</v>
      </c>
      <c r="B36">
        <f t="shared" si="0"/>
        <v>1</v>
      </c>
      <c r="D36" t="s">
        <v>23</v>
      </c>
    </row>
    <row r="37" spans="1:4" x14ac:dyDescent="0.2">
      <c r="A37" t="s">
        <v>1</v>
      </c>
      <c r="B37">
        <f t="shared" si="0"/>
        <v>1</v>
      </c>
    </row>
    <row r="38" spans="1:4" x14ac:dyDescent="0.2">
      <c r="A38" t="s">
        <v>0</v>
      </c>
      <c r="B38">
        <f t="shared" si="0"/>
        <v>0</v>
      </c>
      <c r="D38" s="2" t="s">
        <v>25</v>
      </c>
    </row>
    <row r="39" spans="1:4" x14ac:dyDescent="0.2">
      <c r="A39" t="s">
        <v>1</v>
      </c>
      <c r="B39">
        <f t="shared" si="0"/>
        <v>1</v>
      </c>
      <c r="D39" t="s">
        <v>26</v>
      </c>
    </row>
    <row r="40" spans="1:4" x14ac:dyDescent="0.2">
      <c r="A40" t="s">
        <v>0</v>
      </c>
      <c r="B40">
        <f t="shared" si="0"/>
        <v>0</v>
      </c>
    </row>
    <row r="41" spans="1:4" x14ac:dyDescent="0.2">
      <c r="A41" t="s">
        <v>1</v>
      </c>
      <c r="B41">
        <f t="shared" si="0"/>
        <v>1</v>
      </c>
    </row>
    <row r="42" spans="1:4" x14ac:dyDescent="0.2">
      <c r="A42" t="s">
        <v>0</v>
      </c>
      <c r="B42">
        <f t="shared" si="0"/>
        <v>0</v>
      </c>
    </row>
    <row r="43" spans="1:4" x14ac:dyDescent="0.2">
      <c r="A43" t="s">
        <v>0</v>
      </c>
      <c r="B43">
        <f t="shared" si="0"/>
        <v>0</v>
      </c>
    </row>
    <row r="44" spans="1:4" x14ac:dyDescent="0.2">
      <c r="A44" t="s">
        <v>0</v>
      </c>
      <c r="B44">
        <f t="shared" si="0"/>
        <v>0</v>
      </c>
    </row>
    <row r="45" spans="1:4" x14ac:dyDescent="0.2">
      <c r="A45" t="s">
        <v>0</v>
      </c>
      <c r="B45">
        <f t="shared" si="0"/>
        <v>0</v>
      </c>
    </row>
    <row r="46" spans="1:4" x14ac:dyDescent="0.2">
      <c r="A46" t="s">
        <v>0</v>
      </c>
      <c r="B46">
        <f t="shared" si="0"/>
        <v>0</v>
      </c>
    </row>
    <row r="47" spans="1:4" x14ac:dyDescent="0.2">
      <c r="A47" t="s">
        <v>2</v>
      </c>
      <c r="B47">
        <f t="shared" si="0"/>
        <v>2</v>
      </c>
    </row>
    <row r="48" spans="1:4" x14ac:dyDescent="0.2">
      <c r="A48" t="s">
        <v>2</v>
      </c>
      <c r="B48">
        <f t="shared" si="0"/>
        <v>2</v>
      </c>
    </row>
    <row r="49" spans="1:2" x14ac:dyDescent="0.2">
      <c r="A49" t="s">
        <v>2</v>
      </c>
      <c r="B49">
        <f t="shared" si="0"/>
        <v>2</v>
      </c>
    </row>
    <row r="50" spans="1:2" x14ac:dyDescent="0.2">
      <c r="A50" t="s">
        <v>4</v>
      </c>
      <c r="B50">
        <f t="shared" si="0"/>
        <v>3</v>
      </c>
    </row>
    <row r="51" spans="1:2" x14ac:dyDescent="0.2">
      <c r="A51" t="s">
        <v>4</v>
      </c>
      <c r="B51">
        <f t="shared" si="0"/>
        <v>3</v>
      </c>
    </row>
    <row r="52" spans="1:2" x14ac:dyDescent="0.2">
      <c r="A52" t="s">
        <v>1</v>
      </c>
      <c r="B52">
        <f t="shared" si="0"/>
        <v>1</v>
      </c>
    </row>
    <row r="53" spans="1:2" x14ac:dyDescent="0.2">
      <c r="A53" t="s">
        <v>0</v>
      </c>
      <c r="B53">
        <f t="shared" si="0"/>
        <v>0</v>
      </c>
    </row>
    <row r="54" spans="1:2" x14ac:dyDescent="0.2">
      <c r="A54" t="s">
        <v>0</v>
      </c>
      <c r="B54">
        <f t="shared" si="0"/>
        <v>0</v>
      </c>
    </row>
    <row r="55" spans="1:2" x14ac:dyDescent="0.2">
      <c r="A55" t="s">
        <v>5</v>
      </c>
      <c r="B55">
        <f t="shared" si="0"/>
        <v>5</v>
      </c>
    </row>
    <row r="56" spans="1:2" x14ac:dyDescent="0.2">
      <c r="A56" t="s">
        <v>0</v>
      </c>
      <c r="B56">
        <f t="shared" si="0"/>
        <v>0</v>
      </c>
    </row>
    <row r="57" spans="1:2" x14ac:dyDescent="0.2">
      <c r="A57" t="s">
        <v>1</v>
      </c>
      <c r="B57">
        <f t="shared" si="0"/>
        <v>1</v>
      </c>
    </row>
    <row r="58" spans="1:2" x14ac:dyDescent="0.2">
      <c r="A58" t="s">
        <v>4</v>
      </c>
      <c r="B58">
        <f t="shared" si="0"/>
        <v>3</v>
      </c>
    </row>
    <row r="59" spans="1:2" x14ac:dyDescent="0.2">
      <c r="A59" t="s">
        <v>2</v>
      </c>
      <c r="B59">
        <f t="shared" si="0"/>
        <v>2</v>
      </c>
    </row>
    <row r="60" spans="1:2" x14ac:dyDescent="0.2">
      <c r="A60" t="s">
        <v>0</v>
      </c>
      <c r="B60">
        <f t="shared" si="0"/>
        <v>0</v>
      </c>
    </row>
    <row r="61" spans="1:2" x14ac:dyDescent="0.2">
      <c r="A61" t="s">
        <v>1</v>
      </c>
      <c r="B61">
        <f t="shared" si="0"/>
        <v>1</v>
      </c>
    </row>
    <row r="62" spans="1:2" x14ac:dyDescent="0.2">
      <c r="A62" t="s">
        <v>1</v>
      </c>
      <c r="B62">
        <f t="shared" si="0"/>
        <v>1</v>
      </c>
    </row>
    <row r="63" spans="1:2" x14ac:dyDescent="0.2">
      <c r="A63" t="s">
        <v>0</v>
      </c>
      <c r="B63">
        <f t="shared" si="0"/>
        <v>0</v>
      </c>
    </row>
    <row r="64" spans="1:2" x14ac:dyDescent="0.2">
      <c r="A64" t="s">
        <v>2</v>
      </c>
      <c r="B64">
        <f t="shared" si="0"/>
        <v>2</v>
      </c>
    </row>
    <row r="65" spans="1:2" x14ac:dyDescent="0.2">
      <c r="A65" t="s">
        <v>0</v>
      </c>
      <c r="B65">
        <f t="shared" si="0"/>
        <v>0</v>
      </c>
    </row>
    <row r="66" spans="1:2" x14ac:dyDescent="0.2">
      <c r="A66" t="s">
        <v>2</v>
      </c>
      <c r="B66">
        <f t="shared" si="0"/>
        <v>2</v>
      </c>
    </row>
    <row r="67" spans="1:2" x14ac:dyDescent="0.2">
      <c r="A67" t="s">
        <v>2</v>
      </c>
      <c r="B67">
        <f t="shared" si="0"/>
        <v>2</v>
      </c>
    </row>
    <row r="68" spans="1:2" x14ac:dyDescent="0.2">
      <c r="A68" t="s">
        <v>1</v>
      </c>
      <c r="B68">
        <f t="shared" ref="B68:B77" si="4">LEN(A68)-1</f>
        <v>1</v>
      </c>
    </row>
    <row r="69" spans="1:2" x14ac:dyDescent="0.2">
      <c r="A69" t="s">
        <v>1</v>
      </c>
      <c r="B69">
        <f t="shared" si="4"/>
        <v>1</v>
      </c>
    </row>
    <row r="70" spans="1:2" x14ac:dyDescent="0.2">
      <c r="A70" t="s">
        <v>0</v>
      </c>
      <c r="B70">
        <f t="shared" si="4"/>
        <v>0</v>
      </c>
    </row>
    <row r="71" spans="1:2" x14ac:dyDescent="0.2">
      <c r="A71" t="s">
        <v>0</v>
      </c>
      <c r="B71">
        <f t="shared" si="4"/>
        <v>0</v>
      </c>
    </row>
    <row r="72" spans="1:2" x14ac:dyDescent="0.2">
      <c r="A72" t="s">
        <v>0</v>
      </c>
      <c r="B72">
        <f t="shared" si="4"/>
        <v>0</v>
      </c>
    </row>
    <row r="73" spans="1:2" x14ac:dyDescent="0.2">
      <c r="A73" t="s">
        <v>1</v>
      </c>
      <c r="B73">
        <f t="shared" si="4"/>
        <v>1</v>
      </c>
    </row>
    <row r="74" spans="1:2" x14ac:dyDescent="0.2">
      <c r="A74" t="s">
        <v>1</v>
      </c>
      <c r="B74">
        <f t="shared" si="4"/>
        <v>1</v>
      </c>
    </row>
    <row r="75" spans="1:2" x14ac:dyDescent="0.2">
      <c r="A75" t="s">
        <v>1</v>
      </c>
      <c r="B75">
        <f t="shared" si="4"/>
        <v>1</v>
      </c>
    </row>
    <row r="76" spans="1:2" x14ac:dyDescent="0.2">
      <c r="A76" t="s">
        <v>6</v>
      </c>
      <c r="B76">
        <f t="shared" si="4"/>
        <v>6</v>
      </c>
    </row>
    <row r="77" spans="1:2" x14ac:dyDescent="0.2">
      <c r="A77" t="s">
        <v>0</v>
      </c>
      <c r="B77">
        <f t="shared" si="4"/>
        <v>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Benedict  Santoso</dc:creator>
  <cp:lastModifiedBy>Benedict  Santoso</cp:lastModifiedBy>
  <dcterms:created xsi:type="dcterms:W3CDTF">2026-03-19T01:35:36Z</dcterms:created>
  <dcterms:modified xsi:type="dcterms:W3CDTF">2026-03-19T03:07:18Z</dcterms:modified>
</cp:coreProperties>
</file>