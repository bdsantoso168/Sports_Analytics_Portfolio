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Sport Modeliing/NBA Predictor/"/>
    </mc:Choice>
  </mc:AlternateContent>
  <xr:revisionPtr revIDLastSave="0" documentId="13_ncr:1_{FC0E5327-941C-3240-8E93-5246070BCBCE}" xr6:coauthVersionLast="47" xr6:coauthVersionMax="47" xr10:uidLastSave="{00000000-0000-0000-0000-000000000000}"/>
  <bookViews>
    <workbookView xWindow="28960" yWindow="660" windowWidth="38080" windowHeight="20780" activeTab="1" xr2:uid="{BCDBBD72-F77F-B248-A413-BB89E1502B87}"/>
  </bookViews>
  <sheets>
    <sheet name="NBA_2026_Results" sheetId="2" r:id="rId1"/>
    <sheet name="NBA Solver Model" sheetId="3" r:id="rId2"/>
  </sheets>
  <definedNames>
    <definedName name="ExternalData_1" localSheetId="1" hidden="1">'NBA Solver Model'!$D$6:$H$721</definedName>
    <definedName name="ExternalData_1" localSheetId="0" hidden="1">NBA_2026_Results!$A$1:$E$716</definedName>
    <definedName name="HomeEdge">'NBA Solver Model'!$B$1</definedName>
    <definedName name="Ratings">'NBA Solver Model'!$B$7:$B$36</definedName>
    <definedName name="solver_adj" localSheetId="1" hidden="1">'NBA Solver Model'!$B$7:$B$36,'NBA Solver Model'!$B$1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'NBA Solver Model'!$B$3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opt" localSheetId="1" hidden="1">'NBA Solver Model'!$J$4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  <definedName name="TeamRating">'NBA Solver Model'!$A$7:$B$36</definedName>
    <definedName name="Teams">'NBA Solver Model'!$A$7:$A$36</definedName>
  </definedNames>
  <calcPr calcId="191029"/>
  <pivotCaches>
    <pivotCache cacheId="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5" i="3"/>
  <c r="N4" i="3"/>
  <c r="N3" i="3"/>
  <c r="F3" i="3"/>
  <c r="F2" i="3"/>
  <c r="F4" i="3" s="1"/>
  <c r="B3" i="3" l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 s="1"/>
  <c r="I380" i="3"/>
  <c r="J380" i="3" s="1"/>
  <c r="I381" i="3"/>
  <c r="J381" i="3" s="1"/>
  <c r="I382" i="3"/>
  <c r="J382" i="3" s="1"/>
  <c r="I383" i="3"/>
  <c r="J383" i="3" s="1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 s="1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 s="1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 s="1"/>
  <c r="I442" i="3"/>
  <c r="J442" i="3" s="1"/>
  <c r="I443" i="3"/>
  <c r="J443" i="3" s="1"/>
  <c r="I444" i="3"/>
  <c r="J444" i="3" s="1"/>
  <c r="I445" i="3"/>
  <c r="J445" i="3" s="1"/>
  <c r="I446" i="3"/>
  <c r="J446" i="3" s="1"/>
  <c r="I447" i="3"/>
  <c r="J447" i="3" s="1"/>
  <c r="I448" i="3"/>
  <c r="J448" i="3" s="1"/>
  <c r="I449" i="3"/>
  <c r="J449" i="3" s="1"/>
  <c r="I450" i="3"/>
  <c r="J450" i="3" s="1"/>
  <c r="I451" i="3"/>
  <c r="J451" i="3" s="1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 s="1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 s="1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 s="1"/>
  <c r="I485" i="3"/>
  <c r="J485" i="3" s="1"/>
  <c r="I486" i="3"/>
  <c r="J486" i="3" s="1"/>
  <c r="I487" i="3"/>
  <c r="J487" i="3" s="1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 s="1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 s="1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 s="1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 s="1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 s="1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 s="1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J639" i="3" s="1"/>
  <c r="I640" i="3"/>
  <c r="J640" i="3" s="1"/>
  <c r="I641" i="3"/>
  <c r="J641" i="3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 s="1"/>
  <c r="I654" i="3"/>
  <c r="J654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J671" i="3" s="1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J695" i="3" s="1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 s="1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 s="1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J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2AB31-F122-E44B-ABEC-E8B42720605C}" keepAlive="1" name="Query - NBA_2026_Results" description="Connection to the 'NBA_2026_Results' query in the workbook." type="5" refreshedVersion="8" background="1" saveData="1">
    <dbPr connection="Provider=Microsoft.Mashup.OleDb.1;Data Source=$Workbook$;Location=NBA_2026_Results;Extended Properties=&quot;&quot;" command="SELECT * FROM [NBA_2026_Results]"/>
  </connection>
  <connection id="2" xr16:uid="{E556C59A-0DAE-084A-803B-3518149D7C81}" keepAlive="1" name="Query - NBA_2026_Results (2)" description="Connection to the 'NBA_2026_Results (2)' query in the workbook." type="5" refreshedVersion="8" background="1" saveData="1">
    <dbPr connection="Provider=Microsoft.Mashup.OleDb.1;Data Source=$Workbook$;Location=&quot;NBA_2026_Results (2)&quot;;Extended Properties=&quot;&quot;" command="SELECT * FROM [NBA_2026_Results (2)]"/>
  </connection>
</connections>
</file>

<file path=xl/sharedStrings.xml><?xml version="1.0" encoding="utf-8"?>
<sst xmlns="http://schemas.openxmlformats.org/spreadsheetml/2006/main" count="2950" uniqueCount="52">
  <si>
    <t>Home Team</t>
  </si>
  <si>
    <t>Away Team</t>
  </si>
  <si>
    <t>Home Points</t>
  </si>
  <si>
    <t>Away Points</t>
  </si>
  <si>
    <t>Home Margin</t>
  </si>
  <si>
    <t>Oklahoma City Thunder</t>
  </si>
  <si>
    <t>Houston Rockets</t>
  </si>
  <si>
    <t>Los Angeles Lakers</t>
  </si>
  <si>
    <t>Golden State Warriors</t>
  </si>
  <si>
    <t>Charlotte Hornets</t>
  </si>
  <si>
    <t>Brooklyn Nets</t>
  </si>
  <si>
    <t>New York Knicks</t>
  </si>
  <si>
    <t>Cleveland Cavaliers</t>
  </si>
  <si>
    <t>Orlando Magic</t>
  </si>
  <si>
    <t>Miami Heat</t>
  </si>
  <si>
    <t>Boston Celtics</t>
  </si>
  <si>
    <t>Philadelphia 76ers</t>
  </si>
  <si>
    <t>Atlanta Hawks</t>
  </si>
  <si>
    <t>Toronto Raptors</t>
  </si>
  <si>
    <t>Chicago Bulls</t>
  </si>
  <si>
    <t>Detroit Pistons</t>
  </si>
  <si>
    <t>Memphis Grizzlies</t>
  </si>
  <si>
    <t>New Orleans Pelicans</t>
  </si>
  <si>
    <t>Milwaukee Bucks</t>
  </si>
  <si>
    <t>Washington Wizards</t>
  </si>
  <si>
    <t>Utah Jazz</t>
  </si>
  <si>
    <t>Los Angeles Clippers</t>
  </si>
  <si>
    <t>Dallas Mavericks</t>
  </si>
  <si>
    <t>San Antonio Spurs</t>
  </si>
  <si>
    <t>Portland Trail Blazers</t>
  </si>
  <si>
    <t>Minnesota Timberwolves</t>
  </si>
  <si>
    <t>Phoenix Suns</t>
  </si>
  <si>
    <t>Sacramento Kings</t>
  </si>
  <si>
    <t>Indiana Pacers</t>
  </si>
  <si>
    <t>Denver Nuggets</t>
  </si>
  <si>
    <t>Team</t>
  </si>
  <si>
    <t>Rating</t>
  </si>
  <si>
    <t>HomeEdge</t>
  </si>
  <si>
    <t>Average Rating</t>
  </si>
  <si>
    <t>Home Forecast</t>
  </si>
  <si>
    <t>Squared Error</t>
  </si>
  <si>
    <t>Row Labels</t>
  </si>
  <si>
    <t>Grand Total</t>
  </si>
  <si>
    <t>SSE</t>
  </si>
  <si>
    <t>Choosen Team</t>
  </si>
  <si>
    <t>Predicted Margin</t>
  </si>
  <si>
    <t>Metric</t>
  </si>
  <si>
    <t>Value</t>
  </si>
  <si>
    <t>Number of Teams</t>
  </si>
  <si>
    <t>Home Advantage (points)</t>
  </si>
  <si>
    <t>Average Rating (normalized)</t>
  </si>
  <si>
    <t>SSE (sum of squared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</si>
</sst>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dict Santoso" refreshedDate="46059.440452777781" createdVersion="8" refreshedVersion="8" minRefreshableVersion="3" recordCount="715" xr:uid="{0D094311-65F5-6D4B-8FF1-D0E9004D4A21}">
  <cacheSource type="worksheet">
    <worksheetSource name="NBA_2026_Results3"/>
  </cacheSource>
  <cacheFields count="7">
    <cacheField name="Home Team" numFmtId="0">
      <sharedItems count="30">
        <s v="Oklahoma City Thunder"/>
        <s v="Los Angeles Lakers"/>
        <s v="Charlotte Hornets"/>
        <s v="New York Knicks"/>
        <s v="Orlando Magic"/>
        <s v="Boston Celtics"/>
        <s v="Atlanta Hawks"/>
        <s v="Chicago Bulls"/>
        <s v="Memphis Grizzlies"/>
        <s v="Milwaukee Bucks"/>
        <s v="Utah Jazz"/>
        <s v="Dallas Mavericks"/>
        <s v="Portland Trail Blazers"/>
        <s v="Phoenix Suns"/>
        <s v="Indiana Pacers"/>
        <s v="Golden State Warriors"/>
        <s v="Toronto Raptors"/>
        <s v="Brooklyn Nets"/>
        <s v="Houston Rockets"/>
        <s v="New Orleans Pelicans"/>
        <s v="Sacramento Kings"/>
        <s v="Los Angeles Clippers"/>
        <s v="Philadelphia 76ers"/>
        <s v="Denver Nuggets"/>
        <s v="San Antonio Spurs"/>
        <s v="Detroit Pistons"/>
        <s v="Washington Wizards"/>
        <s v="Miami Heat"/>
        <s v="Cleveland Cavaliers"/>
        <s v="Minnesota Timberwolves"/>
      </sharedItems>
    </cacheField>
    <cacheField name="Away Team" numFmtId="0">
      <sharedItems/>
    </cacheField>
    <cacheField name="Home Points" numFmtId="0">
      <sharedItems containsSemiMixedTypes="0" containsString="0" containsNumber="1" containsInteger="1" minValue="85" maxValue="152"/>
    </cacheField>
    <cacheField name="Away Points" numFmtId="0">
      <sharedItems containsSemiMixedTypes="0" containsString="0" containsNumber="1" containsInteger="1" minValue="66" maxValue="152"/>
    </cacheField>
    <cacheField name="Home Margin" numFmtId="0">
      <sharedItems containsSemiMixedTypes="0" containsString="0" containsNumber="1" containsInteger="1" minValue="-55" maxValue="54"/>
    </cacheField>
    <cacheField name="Home Forecast" numFmtId="0">
      <sharedItems containsNonDate="0" containsString="0" containsBlank="1"/>
    </cacheField>
    <cacheField name="Squared Erro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x v="0"/>
    <s v="Houston Rockets"/>
    <n v="125"/>
    <n v="124"/>
    <n v="1"/>
    <m/>
    <m/>
  </r>
  <r>
    <x v="1"/>
    <s v="Golden State Warriors"/>
    <n v="109"/>
    <n v="119"/>
    <n v="-10"/>
    <m/>
    <m/>
  </r>
  <r>
    <x v="2"/>
    <s v="Brooklyn Nets"/>
    <n v="136"/>
    <n v="117"/>
    <n v="19"/>
    <m/>
    <m/>
  </r>
  <r>
    <x v="3"/>
    <s v="Cleveland Cavaliers"/>
    <n v="119"/>
    <n v="111"/>
    <n v="8"/>
    <m/>
    <m/>
  </r>
  <r>
    <x v="4"/>
    <s v="Miami Heat"/>
    <n v="125"/>
    <n v="121"/>
    <n v="4"/>
    <m/>
    <m/>
  </r>
  <r>
    <x v="5"/>
    <s v="Philadelphia 76ers"/>
    <n v="116"/>
    <n v="117"/>
    <n v="-1"/>
    <m/>
    <m/>
  </r>
  <r>
    <x v="6"/>
    <s v="Toronto Raptors"/>
    <n v="118"/>
    <n v="138"/>
    <n v="-20"/>
    <m/>
    <m/>
  </r>
  <r>
    <x v="7"/>
    <s v="Detroit Pistons"/>
    <n v="115"/>
    <n v="111"/>
    <n v="4"/>
    <m/>
    <m/>
  </r>
  <r>
    <x v="8"/>
    <s v="New Orleans Pelicans"/>
    <n v="128"/>
    <n v="122"/>
    <n v="6"/>
    <m/>
    <m/>
  </r>
  <r>
    <x v="9"/>
    <s v="Washington Wizards"/>
    <n v="133"/>
    <n v="120"/>
    <n v="13"/>
    <m/>
    <m/>
  </r>
  <r>
    <x v="10"/>
    <s v="Los Angeles Clippers"/>
    <n v="129"/>
    <n v="108"/>
    <n v="21"/>
    <m/>
    <m/>
  </r>
  <r>
    <x v="11"/>
    <s v="San Antonio Spurs"/>
    <n v="92"/>
    <n v="125"/>
    <n v="-33"/>
    <m/>
    <m/>
  </r>
  <r>
    <x v="12"/>
    <s v="Minnesota Timberwolves"/>
    <n v="114"/>
    <n v="118"/>
    <n v="-4"/>
    <m/>
    <m/>
  </r>
  <r>
    <x v="13"/>
    <s v="Sacramento Kings"/>
    <n v="120"/>
    <n v="116"/>
    <n v="4"/>
    <m/>
    <m/>
  </r>
  <r>
    <x v="14"/>
    <s v="Oklahoma City Thunder"/>
    <n v="135"/>
    <n v="141"/>
    <n v="-6"/>
    <m/>
    <m/>
  </r>
  <r>
    <x v="15"/>
    <s v="Denver Nuggets"/>
    <n v="137"/>
    <n v="131"/>
    <n v="6"/>
    <m/>
    <m/>
  </r>
  <r>
    <x v="16"/>
    <s v="Milwaukee Bucks"/>
    <n v="116"/>
    <n v="122"/>
    <n v="-6"/>
    <m/>
    <m/>
  </r>
  <r>
    <x v="4"/>
    <s v="Atlanta Hawks"/>
    <n v="107"/>
    <n v="111"/>
    <n v="-4"/>
    <m/>
    <m/>
  </r>
  <r>
    <x v="17"/>
    <s v="Cleveland Cavaliers"/>
    <n v="124"/>
    <n v="131"/>
    <n v="-7"/>
    <m/>
    <m/>
  </r>
  <r>
    <x v="3"/>
    <s v="Boston Celtics"/>
    <n v="105"/>
    <n v="95"/>
    <n v="10"/>
    <m/>
    <m/>
  </r>
  <r>
    <x v="18"/>
    <s v="Detroit Pistons"/>
    <n v="111"/>
    <n v="115"/>
    <n v="-4"/>
    <m/>
    <m/>
  </r>
  <r>
    <x v="19"/>
    <s v="San Antonio Spurs"/>
    <n v="116"/>
    <n v="120"/>
    <n v="-4"/>
    <m/>
    <m/>
  </r>
  <r>
    <x v="8"/>
    <s v="Miami Heat"/>
    <n v="114"/>
    <n v="146"/>
    <n v="-32"/>
    <m/>
    <m/>
  </r>
  <r>
    <x v="11"/>
    <s v="Washington Wizards"/>
    <n v="107"/>
    <n v="117"/>
    <n v="-10"/>
    <m/>
    <m/>
  </r>
  <r>
    <x v="1"/>
    <s v="Minnesota Timberwolves"/>
    <n v="128"/>
    <n v="110"/>
    <n v="18"/>
    <m/>
    <m/>
  </r>
  <r>
    <x v="12"/>
    <s v="Golden State Warriors"/>
    <n v="139"/>
    <n v="119"/>
    <n v="20"/>
    <m/>
    <m/>
  </r>
  <r>
    <x v="20"/>
    <s v="Utah Jazz"/>
    <n v="105"/>
    <n v="104"/>
    <n v="1"/>
    <m/>
    <m/>
  </r>
  <r>
    <x v="21"/>
    <s v="Phoenix Suns"/>
    <n v="129"/>
    <n v="102"/>
    <n v="27"/>
    <m/>
    <m/>
  </r>
  <r>
    <x v="4"/>
    <s v="Chicago Bulls"/>
    <n v="98"/>
    <n v="110"/>
    <n v="-12"/>
    <m/>
    <m/>
  </r>
  <r>
    <x v="6"/>
    <s v="Oklahoma City Thunder"/>
    <n v="100"/>
    <n v="117"/>
    <n v="-17"/>
    <m/>
    <m/>
  </r>
  <r>
    <x v="22"/>
    <s v="Charlotte Hornets"/>
    <n v="125"/>
    <n v="121"/>
    <n v="4"/>
    <m/>
    <m/>
  </r>
  <r>
    <x v="8"/>
    <s v="Indiana Pacers"/>
    <n v="128"/>
    <n v="103"/>
    <n v="25"/>
    <m/>
    <m/>
  </r>
  <r>
    <x v="23"/>
    <s v="Phoenix Suns"/>
    <n v="133"/>
    <n v="111"/>
    <n v="22"/>
    <m/>
    <m/>
  </r>
  <r>
    <x v="24"/>
    <s v="Brooklyn Nets"/>
    <n v="118"/>
    <n v="107"/>
    <n v="11"/>
    <m/>
    <m/>
  </r>
  <r>
    <x v="25"/>
    <s v="Boston Celtics"/>
    <n v="119"/>
    <n v="113"/>
    <n v="6"/>
    <m/>
    <m/>
  </r>
  <r>
    <x v="26"/>
    <s v="Charlotte Hornets"/>
    <n v="113"/>
    <n v="139"/>
    <n v="-26"/>
    <m/>
    <m/>
  </r>
  <r>
    <x v="27"/>
    <s v="New York Knicks"/>
    <n v="115"/>
    <n v="107"/>
    <n v="8"/>
    <m/>
    <m/>
  </r>
  <r>
    <x v="28"/>
    <s v="Milwaukee Bucks"/>
    <n v="118"/>
    <n v="113"/>
    <n v="5"/>
    <m/>
    <m/>
  </r>
  <r>
    <x v="29"/>
    <s v="Indiana Pacers"/>
    <n v="114"/>
    <n v="110"/>
    <n v="4"/>
    <m/>
    <m/>
  </r>
  <r>
    <x v="11"/>
    <s v="Toronto Raptors"/>
    <n v="139"/>
    <n v="129"/>
    <n v="10"/>
    <m/>
    <m/>
  </r>
  <r>
    <x v="20"/>
    <s v="Los Angeles Lakers"/>
    <n v="120"/>
    <n v="127"/>
    <n v="-7"/>
    <m/>
    <m/>
  </r>
  <r>
    <x v="21"/>
    <s v="Portland Trail Blazers"/>
    <n v="114"/>
    <n v="107"/>
    <n v="7"/>
    <m/>
    <m/>
  </r>
  <r>
    <x v="25"/>
    <s v="Cleveland Cavaliers"/>
    <n v="95"/>
    <n v="116"/>
    <n v="-21"/>
    <m/>
    <m/>
  </r>
  <r>
    <x v="22"/>
    <s v="Orlando Magic"/>
    <n v="136"/>
    <n v="124"/>
    <n v="12"/>
    <m/>
    <m/>
  </r>
  <r>
    <x v="7"/>
    <s v="Atlanta Hawks"/>
    <n v="128"/>
    <n v="123"/>
    <n v="5"/>
    <m/>
    <m/>
  </r>
  <r>
    <x v="18"/>
    <s v="Brooklyn Nets"/>
    <n v="137"/>
    <n v="109"/>
    <n v="28"/>
    <m/>
    <m/>
  </r>
  <r>
    <x v="19"/>
    <s v="Boston Celtics"/>
    <n v="90"/>
    <n v="122"/>
    <n v="-32"/>
    <m/>
    <m/>
  </r>
  <r>
    <x v="24"/>
    <s v="Toronto Raptors"/>
    <n v="121"/>
    <n v="103"/>
    <n v="18"/>
    <m/>
    <m/>
  </r>
  <r>
    <x v="11"/>
    <s v="Oklahoma City Thunder"/>
    <n v="94"/>
    <n v="101"/>
    <n v="-7"/>
    <m/>
    <m/>
  </r>
  <r>
    <x v="10"/>
    <s v="Phoenix Suns"/>
    <n v="138"/>
    <n v="134"/>
    <n v="4"/>
    <m/>
    <m/>
  </r>
  <r>
    <x v="29"/>
    <s v="Denver Nuggets"/>
    <n v="114"/>
    <n v="127"/>
    <n v="-13"/>
    <m/>
    <m/>
  </r>
  <r>
    <x v="15"/>
    <s v="Memphis Grizzlies"/>
    <n v="131"/>
    <n v="118"/>
    <n v="13"/>
    <m/>
    <m/>
  </r>
  <r>
    <x v="1"/>
    <s v="Portland Trail Blazers"/>
    <n v="108"/>
    <n v="122"/>
    <n v="-14"/>
    <m/>
    <m/>
  </r>
  <r>
    <x v="26"/>
    <s v="Philadelphia 76ers"/>
    <n v="134"/>
    <n v="139"/>
    <n v="-5"/>
    <m/>
    <m/>
  </r>
  <r>
    <x v="27"/>
    <s v="Charlotte Hornets"/>
    <n v="144"/>
    <n v="117"/>
    <n v="27"/>
    <m/>
    <m/>
  </r>
  <r>
    <x v="9"/>
    <s v="New York Knicks"/>
    <n v="121"/>
    <n v="111"/>
    <n v="10"/>
    <m/>
    <m/>
  </r>
  <r>
    <x v="0"/>
    <s v="Sacramento Kings"/>
    <n v="107"/>
    <n v="101"/>
    <n v="6"/>
    <m/>
    <m/>
  </r>
  <r>
    <x v="15"/>
    <s v="Los Angeles Clippers"/>
    <n v="98"/>
    <n v="79"/>
    <n v="19"/>
    <m/>
    <m/>
  </r>
  <r>
    <x v="16"/>
    <s v="Houston Rockets"/>
    <n v="121"/>
    <n v="139"/>
    <n v="-18"/>
    <m/>
    <m/>
  </r>
  <r>
    <x v="5"/>
    <s v="Cleveland Cavaliers"/>
    <n v="125"/>
    <n v="105"/>
    <n v="20"/>
    <m/>
    <m/>
  </r>
  <r>
    <x v="25"/>
    <s v="Orlando Magic"/>
    <n v="135"/>
    <n v="116"/>
    <n v="19"/>
    <m/>
    <m/>
  </r>
  <r>
    <x v="17"/>
    <s v="Atlanta Hawks"/>
    <n v="112"/>
    <n v="117"/>
    <n v="-5"/>
    <m/>
    <m/>
  </r>
  <r>
    <x v="7"/>
    <s v="Sacramento Kings"/>
    <n v="126"/>
    <n v="113"/>
    <n v="13"/>
    <m/>
    <m/>
  </r>
  <r>
    <x v="11"/>
    <s v="Indiana Pacers"/>
    <n v="107"/>
    <n v="105"/>
    <n v="2"/>
    <m/>
    <m/>
  </r>
  <r>
    <x v="10"/>
    <s v="Portland Trail Blazers"/>
    <n v="134"/>
    <n v="136"/>
    <n v="-2"/>
    <m/>
    <m/>
  </r>
  <r>
    <x v="23"/>
    <s v="New Orleans Pelicans"/>
    <n v="122"/>
    <n v="88"/>
    <n v="34"/>
    <m/>
    <m/>
  </r>
  <r>
    <x v="29"/>
    <s v="Los Angeles Lakers"/>
    <n v="115"/>
    <n v="116"/>
    <n v="-1"/>
    <m/>
    <m/>
  </r>
  <r>
    <x v="13"/>
    <s v="Memphis Grizzlies"/>
    <n v="113"/>
    <n v="114"/>
    <n v="-1"/>
    <m/>
    <m/>
  </r>
  <r>
    <x v="2"/>
    <s v="Orlando Magic"/>
    <n v="107"/>
    <n v="123"/>
    <n v="-16"/>
    <m/>
    <m/>
  </r>
  <r>
    <x v="9"/>
    <s v="Golden State Warriors"/>
    <n v="120"/>
    <n v="110"/>
    <n v="10"/>
    <m/>
    <m/>
  </r>
  <r>
    <x v="0"/>
    <s v="Washington Wizards"/>
    <n v="127"/>
    <n v="108"/>
    <n v="19"/>
    <m/>
    <m/>
  </r>
  <r>
    <x v="24"/>
    <s v="Miami Heat"/>
    <n v="107"/>
    <n v="101"/>
    <n v="6"/>
    <m/>
    <m/>
  </r>
  <r>
    <x v="14"/>
    <s v="Atlanta Hawks"/>
    <n v="108"/>
    <n v="128"/>
    <n v="-20"/>
    <m/>
    <m/>
  </r>
  <r>
    <x v="22"/>
    <s v="Boston Celtics"/>
    <n v="108"/>
    <n v="109"/>
    <n v="-1"/>
    <m/>
    <m/>
  </r>
  <r>
    <x v="28"/>
    <s v="Toronto Raptors"/>
    <n v="101"/>
    <n v="112"/>
    <n v="-11"/>
    <m/>
    <m/>
  </r>
  <r>
    <x v="7"/>
    <s v="New York Knicks"/>
    <n v="135"/>
    <n v="125"/>
    <n v="10"/>
    <m/>
    <m/>
  </r>
  <r>
    <x v="8"/>
    <s v="Los Angeles Lakers"/>
    <n v="112"/>
    <n v="117"/>
    <n v="-5"/>
    <m/>
    <m/>
  </r>
  <r>
    <x v="13"/>
    <s v="Utah Jazz"/>
    <n v="118"/>
    <n v="96"/>
    <n v="22"/>
    <m/>
    <m/>
  </r>
  <r>
    <x v="12"/>
    <s v="Denver Nuggets"/>
    <n v="109"/>
    <n v="107"/>
    <n v="2"/>
    <m/>
    <m/>
  </r>
  <r>
    <x v="21"/>
    <s v="New Orleans Pelicans"/>
    <n v="126"/>
    <n v="124"/>
    <n v="2"/>
    <m/>
    <m/>
  </r>
  <r>
    <x v="9"/>
    <s v="Sacramento Kings"/>
    <n v="133"/>
    <n v="135"/>
    <n v="-2"/>
    <m/>
    <m/>
  </r>
  <r>
    <x v="2"/>
    <s v="Minnesota Timberwolves"/>
    <n v="105"/>
    <n v="122"/>
    <n v="-17"/>
    <m/>
    <m/>
  </r>
  <r>
    <x v="14"/>
    <s v="Golden State Warriors"/>
    <n v="114"/>
    <n v="109"/>
    <n v="5"/>
    <m/>
    <m/>
  </r>
  <r>
    <x v="26"/>
    <s v="Orlando Magic"/>
    <n v="94"/>
    <n v="125"/>
    <n v="-31"/>
    <m/>
    <m/>
  </r>
  <r>
    <x v="5"/>
    <s v="Houston Rockets"/>
    <n v="101"/>
    <n v="128"/>
    <n v="-27"/>
    <m/>
    <m/>
  </r>
  <r>
    <x v="25"/>
    <s v="Dallas Mavericks"/>
    <n v="122"/>
    <n v="110"/>
    <n v="12"/>
    <m/>
    <m/>
  </r>
  <r>
    <x v="0"/>
    <s v="New Orleans Pelicans"/>
    <n v="137"/>
    <n v="106"/>
    <n v="31"/>
    <m/>
    <m/>
  </r>
  <r>
    <x v="17"/>
    <s v="Philadelphia 76ers"/>
    <n v="105"/>
    <n v="129"/>
    <n v="-24"/>
    <m/>
    <m/>
  </r>
  <r>
    <x v="2"/>
    <s v="Utah Jazz"/>
    <n v="126"/>
    <n v="103"/>
    <n v="23"/>
    <m/>
    <m/>
  </r>
  <r>
    <x v="28"/>
    <s v="Atlanta Hawks"/>
    <n v="117"/>
    <n v="109"/>
    <n v="8"/>
    <m/>
    <m/>
  </r>
  <r>
    <x v="16"/>
    <s v="Memphis Grizzlies"/>
    <n v="117"/>
    <n v="104"/>
    <n v="13"/>
    <m/>
    <m/>
  </r>
  <r>
    <x v="3"/>
    <s v="Chicago Bulls"/>
    <n v="128"/>
    <n v="116"/>
    <n v="12"/>
    <m/>
    <m/>
  </r>
  <r>
    <x v="13"/>
    <s v="San Antonio Spurs"/>
    <n v="130"/>
    <n v="118"/>
    <n v="12"/>
    <m/>
    <m/>
  </r>
  <r>
    <x v="1"/>
    <s v="Miami Heat"/>
    <n v="130"/>
    <n v="120"/>
    <n v="10"/>
    <m/>
    <m/>
  </r>
  <r>
    <x v="17"/>
    <s v="Minnesota Timberwolves"/>
    <n v="109"/>
    <n v="125"/>
    <n v="-16"/>
    <m/>
    <m/>
  </r>
  <r>
    <x v="14"/>
    <s v="Milwaukee Bucks"/>
    <n v="115"/>
    <n v="117"/>
    <n v="-2"/>
    <m/>
    <m/>
  </r>
  <r>
    <x v="5"/>
    <s v="Utah Jazz"/>
    <n v="103"/>
    <n v="105"/>
    <n v="-2"/>
    <m/>
    <m/>
  </r>
  <r>
    <x v="3"/>
    <s v="Washington Wizards"/>
    <n v="119"/>
    <n v="102"/>
    <n v="17"/>
    <m/>
    <m/>
  </r>
  <r>
    <x v="18"/>
    <s v="Dallas Mavericks"/>
    <n v="110"/>
    <n v="102"/>
    <n v="8"/>
    <m/>
    <m/>
  </r>
  <r>
    <x v="8"/>
    <s v="Detroit Pistons"/>
    <n v="106"/>
    <n v="114"/>
    <n v="-8"/>
    <m/>
    <m/>
  </r>
  <r>
    <x v="23"/>
    <s v="Sacramento Kings"/>
    <n v="130"/>
    <n v="124"/>
    <n v="6"/>
    <m/>
    <m/>
  </r>
  <r>
    <x v="12"/>
    <s v="Los Angeles Lakers"/>
    <n v="115"/>
    <n v="123"/>
    <n v="-8"/>
    <m/>
    <m/>
  </r>
  <r>
    <x v="21"/>
    <s v="Miami Heat"/>
    <n v="119"/>
    <n v="120"/>
    <n v="-1"/>
    <m/>
    <m/>
  </r>
  <r>
    <x v="16"/>
    <s v="Milwaukee Bucks"/>
    <n v="128"/>
    <n v="100"/>
    <n v="28"/>
    <m/>
    <m/>
  </r>
  <r>
    <x v="6"/>
    <s v="Orlando Magic"/>
    <n v="127"/>
    <n v="112"/>
    <n v="15"/>
    <m/>
    <m/>
  </r>
  <r>
    <x v="7"/>
    <s v="Philadelphia 76ers"/>
    <n v="113"/>
    <n v="111"/>
    <n v="2"/>
    <m/>
    <m/>
  </r>
  <r>
    <x v="19"/>
    <s v="Charlotte Hornets"/>
    <n v="116"/>
    <n v="112"/>
    <n v="4"/>
    <m/>
    <m/>
  </r>
  <r>
    <x v="15"/>
    <s v="Phoenix Suns"/>
    <n v="118"/>
    <n v="107"/>
    <n v="11"/>
    <m/>
    <m/>
  </r>
  <r>
    <x v="21"/>
    <s v="Oklahoma City Thunder"/>
    <n v="107"/>
    <n v="126"/>
    <n v="-19"/>
    <m/>
    <m/>
  </r>
  <r>
    <x v="28"/>
    <s v="Philadelphia 76ers"/>
    <n v="132"/>
    <n v="121"/>
    <n v="11"/>
    <m/>
    <m/>
  </r>
  <r>
    <x v="25"/>
    <s v="Utah Jazz"/>
    <n v="114"/>
    <n v="103"/>
    <n v="11"/>
    <m/>
    <m/>
  </r>
  <r>
    <x v="14"/>
    <s v="Brooklyn Nets"/>
    <n v="103"/>
    <n v="112"/>
    <n v="-9"/>
    <m/>
    <m/>
  </r>
  <r>
    <x v="5"/>
    <s v="Washington Wizards"/>
    <n v="136"/>
    <n v="107"/>
    <n v="29"/>
    <m/>
    <m/>
  </r>
  <r>
    <x v="3"/>
    <s v="Minnesota Timberwolves"/>
    <n v="137"/>
    <n v="114"/>
    <n v="23"/>
    <m/>
    <m/>
  </r>
  <r>
    <x v="8"/>
    <s v="Houston Rockets"/>
    <n v="109"/>
    <n v="124"/>
    <n v="-15"/>
    <m/>
    <m/>
  </r>
  <r>
    <x v="11"/>
    <s v="New Orleans Pelicans"/>
    <n v="99"/>
    <n v="101"/>
    <n v="-2"/>
    <m/>
    <m/>
  </r>
  <r>
    <x v="23"/>
    <s v="Miami Heat"/>
    <n v="122"/>
    <n v="112"/>
    <n v="10"/>
    <m/>
    <m/>
  </r>
  <r>
    <x v="1"/>
    <s v="San Antonio Spurs"/>
    <n v="118"/>
    <n v="116"/>
    <n v="2"/>
    <m/>
    <m/>
  </r>
  <r>
    <x v="12"/>
    <s v="Oklahoma City Thunder"/>
    <n v="121"/>
    <n v="119"/>
    <n v="2"/>
    <m/>
    <m/>
  </r>
  <r>
    <x v="20"/>
    <s v="Golden State Warriors"/>
    <n v="121"/>
    <n v="116"/>
    <n v="5"/>
    <m/>
    <m/>
  </r>
  <r>
    <x v="13"/>
    <s v="Los Angeles Clippers"/>
    <n v="115"/>
    <n v="102"/>
    <n v="13"/>
    <m/>
    <m/>
  </r>
  <r>
    <x v="4"/>
    <s v="Boston Celtics"/>
    <n v="123"/>
    <n v="110"/>
    <n v="13"/>
    <m/>
    <m/>
  </r>
  <r>
    <x v="26"/>
    <s v="Cleveland Cavaliers"/>
    <n v="115"/>
    <n v="148"/>
    <n v="-33"/>
    <m/>
    <m/>
  </r>
  <r>
    <x v="6"/>
    <s v="Toronto Raptors"/>
    <n v="97"/>
    <n v="109"/>
    <n v="-12"/>
    <m/>
    <m/>
  </r>
  <r>
    <x v="17"/>
    <s v="Detroit Pistons"/>
    <n v="107"/>
    <n v="125"/>
    <n v="-18"/>
    <m/>
    <m/>
  </r>
  <r>
    <x v="24"/>
    <s v="Houston Rockets"/>
    <n v="121"/>
    <n v="110"/>
    <n v="11"/>
    <m/>
    <m/>
  </r>
  <r>
    <x v="8"/>
    <s v="Dallas Mavericks"/>
    <n v="118"/>
    <n v="104"/>
    <n v="14"/>
    <m/>
    <m/>
  </r>
  <r>
    <x v="27"/>
    <s v="Charlotte Hornets"/>
    <n v="126"/>
    <n v="108"/>
    <n v="18"/>
    <m/>
    <m/>
  </r>
  <r>
    <x v="9"/>
    <s v="Chicago Bulls"/>
    <n v="126"/>
    <n v="110"/>
    <n v="16"/>
    <m/>
    <m/>
  </r>
  <r>
    <x v="29"/>
    <s v="Utah Jazz"/>
    <n v="137"/>
    <n v="97"/>
    <n v="40"/>
    <m/>
    <m/>
  </r>
  <r>
    <x v="23"/>
    <s v="Golden State Warriors"/>
    <n v="129"/>
    <n v="104"/>
    <n v="25"/>
    <m/>
    <m/>
  </r>
  <r>
    <x v="20"/>
    <s v="Oklahoma City Thunder"/>
    <n v="101"/>
    <n v="132"/>
    <n v="-31"/>
    <m/>
    <m/>
  </r>
  <r>
    <x v="26"/>
    <s v="Dallas Mavericks"/>
    <n v="105"/>
    <n v="111"/>
    <n v="-6"/>
    <m/>
    <m/>
  </r>
  <r>
    <x v="22"/>
    <s v="Toronto Raptors"/>
    <n v="130"/>
    <n v="120"/>
    <n v="10"/>
    <m/>
    <m/>
  </r>
  <r>
    <x v="6"/>
    <s v="Los Angeles Lakers"/>
    <n v="122"/>
    <n v="102"/>
    <n v="20"/>
    <m/>
    <m/>
  </r>
  <r>
    <x v="28"/>
    <s v="Chicago Bulls"/>
    <n v="128"/>
    <n v="122"/>
    <n v="6"/>
    <m/>
    <m/>
  </r>
  <r>
    <x v="27"/>
    <s v="Portland Trail Blazers"/>
    <n v="136"/>
    <n v="131"/>
    <n v="5"/>
    <m/>
    <m/>
  </r>
  <r>
    <x v="24"/>
    <s v="New Orleans Pelicans"/>
    <n v="126"/>
    <n v="119"/>
    <n v="7"/>
    <m/>
    <m/>
  </r>
  <r>
    <x v="23"/>
    <s v="Indiana Pacers"/>
    <n v="117"/>
    <n v="100"/>
    <n v="17"/>
    <m/>
    <m/>
  </r>
  <r>
    <x v="21"/>
    <s v="Phoenix Suns"/>
    <n v="103"/>
    <n v="114"/>
    <n v="-11"/>
    <m/>
    <m/>
  </r>
  <r>
    <x v="9"/>
    <s v="Houston Rockets"/>
    <n v="115"/>
    <n v="122"/>
    <n v="-7"/>
    <m/>
    <m/>
  </r>
  <r>
    <x v="8"/>
    <s v="Oklahoma City Thunder"/>
    <n v="100"/>
    <n v="114"/>
    <n v="-14"/>
    <m/>
    <m/>
  </r>
  <r>
    <x v="3"/>
    <s v="Brooklyn Nets"/>
    <n v="134"/>
    <n v="98"/>
    <n v="36"/>
    <m/>
    <m/>
  </r>
  <r>
    <x v="4"/>
    <s v="Boston Celtics"/>
    <n v="107"/>
    <n v="111"/>
    <n v="-4"/>
    <m/>
    <m/>
  </r>
  <r>
    <x v="22"/>
    <s v="Detroit Pistons"/>
    <n v="108"/>
    <n v="111"/>
    <n v="-3"/>
    <m/>
    <m/>
  </r>
  <r>
    <x v="15"/>
    <s v="Indiana Pacers"/>
    <n v="114"/>
    <n v="83"/>
    <n v="31"/>
    <m/>
    <m/>
  </r>
  <r>
    <x v="20"/>
    <s v="Minnesota Timberwolves"/>
    <n v="117"/>
    <n v="144"/>
    <n v="-27"/>
    <m/>
    <m/>
  </r>
  <r>
    <x v="2"/>
    <s v="Los Angeles Lakers"/>
    <n v="111"/>
    <n v="121"/>
    <n v="-10"/>
    <m/>
    <m/>
  </r>
  <r>
    <x v="25"/>
    <s v="Washington Wizards"/>
    <n v="137"/>
    <n v="135"/>
    <n v="2"/>
    <m/>
    <m/>
  </r>
  <r>
    <x v="4"/>
    <s v="Portland Trail Blazers"/>
    <n v="115"/>
    <n v="112"/>
    <n v="3"/>
    <m/>
    <m/>
  </r>
  <r>
    <x v="27"/>
    <s v="Cleveland Cavaliers"/>
    <n v="140"/>
    <n v="138"/>
    <n v="2"/>
    <m/>
    <m/>
  </r>
  <r>
    <x v="7"/>
    <s v="San Antonio Spurs"/>
    <n v="117"/>
    <n v="121"/>
    <n v="-4"/>
    <m/>
    <m/>
  </r>
  <r>
    <x v="11"/>
    <s v="Milwaukee Bucks"/>
    <n v="114"/>
    <n v="116"/>
    <n v="-2"/>
    <m/>
    <m/>
  </r>
  <r>
    <x v="13"/>
    <s v="New Orleans Pelicans"/>
    <n v="121"/>
    <n v="98"/>
    <n v="23"/>
    <m/>
    <m/>
  </r>
  <r>
    <x v="10"/>
    <s v="Minnesota Timberwolves"/>
    <n v="113"/>
    <n v="120"/>
    <n v="-7"/>
    <m/>
    <m/>
  </r>
  <r>
    <x v="21"/>
    <s v="Atlanta Hawks"/>
    <n v="102"/>
    <n v="105"/>
    <n v="-3"/>
    <m/>
    <m/>
  </r>
  <r>
    <x v="17"/>
    <s v="Toronto Raptors"/>
    <n v="109"/>
    <n v="119"/>
    <n v="-10"/>
    <m/>
    <m/>
  </r>
  <r>
    <x v="3"/>
    <s v="Memphis Grizzlies"/>
    <n v="133"/>
    <n v="120"/>
    <n v="13"/>
    <m/>
    <m/>
  </r>
  <r>
    <x v="0"/>
    <s v="Golden State Warriors"/>
    <n v="126"/>
    <n v="102"/>
    <n v="24"/>
    <m/>
    <m/>
  </r>
  <r>
    <x v="22"/>
    <s v="Boston Celtics"/>
    <n v="102"/>
    <n v="100"/>
    <n v="2"/>
    <m/>
    <m/>
  </r>
  <r>
    <x v="10"/>
    <s v="Indiana Pacers"/>
    <n v="152"/>
    <n v="128"/>
    <n v="24"/>
    <m/>
    <m/>
  </r>
  <r>
    <x v="20"/>
    <s v="Denver Nuggets"/>
    <n v="108"/>
    <n v="122"/>
    <n v="-14"/>
    <m/>
    <m/>
  </r>
  <r>
    <x v="2"/>
    <s v="Milwaukee Bucks"/>
    <n v="111"/>
    <n v="100"/>
    <n v="11"/>
    <m/>
    <m/>
  </r>
  <r>
    <x v="25"/>
    <s v="Chicago Bulls"/>
    <n v="124"/>
    <n v="113"/>
    <n v="11"/>
    <m/>
    <m/>
  </r>
  <r>
    <x v="3"/>
    <s v="Orlando Magic"/>
    <n v="107"/>
    <n v="124"/>
    <n v="-17"/>
    <m/>
    <m/>
  </r>
  <r>
    <x v="5"/>
    <s v="Memphis Grizzlies"/>
    <n v="131"/>
    <n v="95"/>
    <n v="36"/>
    <m/>
    <m/>
  </r>
  <r>
    <x v="27"/>
    <s v="Cleveland Cavaliers"/>
    <n v="116"/>
    <n v="130"/>
    <n v="-14"/>
    <m/>
    <m/>
  </r>
  <r>
    <x v="18"/>
    <s v="Washington Wizards"/>
    <n v="135"/>
    <n v="112"/>
    <n v="23"/>
    <m/>
    <m/>
  </r>
  <r>
    <x v="19"/>
    <s v="Portland Trail Blazers"/>
    <n v="117"/>
    <n v="125"/>
    <n v="-8"/>
    <m/>
    <m/>
  </r>
  <r>
    <x v="24"/>
    <s v="Golden State Warriors"/>
    <n v="120"/>
    <n v="125"/>
    <n v="-5"/>
    <m/>
    <m/>
  </r>
  <r>
    <x v="11"/>
    <s v="Phoenix Suns"/>
    <n v="114"/>
    <n v="123"/>
    <n v="-9"/>
    <m/>
    <m/>
  </r>
  <r>
    <x v="0"/>
    <s v="Los Angeles Lakers"/>
    <n v="121"/>
    <n v="92"/>
    <n v="29"/>
    <m/>
    <m/>
  </r>
  <r>
    <x v="20"/>
    <s v="Atlanta Hawks"/>
    <n v="100"/>
    <n v="133"/>
    <n v="-33"/>
    <m/>
    <m/>
  </r>
  <r>
    <x v="21"/>
    <s v="Denver Nuggets"/>
    <n v="116"/>
    <n v="130"/>
    <n v="-14"/>
    <m/>
    <m/>
  </r>
  <r>
    <x v="28"/>
    <s v="Toronto Raptors"/>
    <n v="113"/>
    <n v="126"/>
    <n v="-13"/>
    <m/>
    <m/>
  </r>
  <r>
    <x v="13"/>
    <s v="Indiana Pacers"/>
    <n v="133"/>
    <n v="98"/>
    <n v="35"/>
    <m/>
    <m/>
  </r>
  <r>
    <x v="10"/>
    <s v="Atlanta Hawks"/>
    <n v="122"/>
    <n v="132"/>
    <n v="-10"/>
    <m/>
    <m/>
  </r>
  <r>
    <x v="3"/>
    <s v="Miami Heat"/>
    <n v="140"/>
    <n v="132"/>
    <n v="8"/>
    <m/>
    <m/>
  </r>
  <r>
    <x v="4"/>
    <s v="Brooklyn Nets"/>
    <n v="105"/>
    <n v="98"/>
    <n v="7"/>
    <m/>
    <m/>
  </r>
  <r>
    <x v="25"/>
    <s v="Philadelphia 76ers"/>
    <n v="114"/>
    <n v="105"/>
    <n v="9"/>
    <m/>
    <m/>
  </r>
  <r>
    <x v="18"/>
    <s v="Portland Trail Blazers"/>
    <n v="140"/>
    <n v="116"/>
    <n v="24"/>
    <m/>
    <m/>
  </r>
  <r>
    <x v="9"/>
    <s v="Charlotte Hornets"/>
    <n v="147"/>
    <n v="134"/>
    <n v="13"/>
    <m/>
    <m/>
  </r>
  <r>
    <x v="29"/>
    <s v="Sacramento Kings"/>
    <n v="124"/>
    <n v="110"/>
    <n v="14"/>
    <m/>
    <m/>
  </r>
  <r>
    <x v="19"/>
    <s v="Los Angeles Lakers"/>
    <n v="104"/>
    <n v="118"/>
    <n v="-14"/>
    <m/>
    <m/>
  </r>
  <r>
    <x v="11"/>
    <s v="Los Angeles Clippers"/>
    <n v="127"/>
    <n v="133"/>
    <n v="-6"/>
    <m/>
    <m/>
  </r>
  <r>
    <x v="24"/>
    <s v="Golden State Warriors"/>
    <n v="108"/>
    <n v="109"/>
    <n v="-1"/>
    <m/>
    <m/>
  </r>
  <r>
    <x v="28"/>
    <s v="Memphis Grizzlies"/>
    <n v="108"/>
    <n v="100"/>
    <n v="8"/>
    <m/>
    <m/>
  </r>
  <r>
    <x v="2"/>
    <s v="Oklahoma City Thunder"/>
    <n v="96"/>
    <n v="109"/>
    <n v="-13"/>
    <m/>
    <m/>
  </r>
  <r>
    <x v="14"/>
    <s v="Toronto Raptors"/>
    <n v="111"/>
    <n v="129"/>
    <n v="-18"/>
    <m/>
    <m/>
  </r>
  <r>
    <x v="9"/>
    <s v="Los Angeles Lakers"/>
    <n v="95"/>
    <n v="119"/>
    <n v="-24"/>
    <m/>
    <m/>
  </r>
  <r>
    <x v="29"/>
    <s v="Denver Nuggets"/>
    <n v="112"/>
    <n v="123"/>
    <n v="-11"/>
    <m/>
    <m/>
  </r>
  <r>
    <x v="5"/>
    <s v="Los Angeles Clippers"/>
    <n v="121"/>
    <n v="118"/>
    <n v="3"/>
    <m/>
    <m/>
  </r>
  <r>
    <x v="24"/>
    <s v="Sacramento Kings"/>
    <n v="123"/>
    <n v="110"/>
    <n v="13"/>
    <m/>
    <m/>
  </r>
  <r>
    <x v="26"/>
    <s v="Brooklyn Nets"/>
    <n v="106"/>
    <n v="129"/>
    <n v="-23"/>
    <m/>
    <m/>
  </r>
  <r>
    <x v="18"/>
    <s v="Orlando Magic"/>
    <n v="117"/>
    <n v="113"/>
    <n v="4"/>
    <m/>
    <m/>
  </r>
  <r>
    <x v="19"/>
    <s v="Golden State Warriors"/>
    <n v="106"/>
    <n v="124"/>
    <n v="-18"/>
    <m/>
    <m/>
  </r>
  <r>
    <x v="11"/>
    <s v="Portland Trail Blazers"/>
    <n v="138"/>
    <n v="133"/>
    <n v="5"/>
    <m/>
    <m/>
  </r>
  <r>
    <x v="13"/>
    <s v="Atlanta Hawks"/>
    <n v="122"/>
    <n v="124"/>
    <n v="-2"/>
    <m/>
    <m/>
  </r>
  <r>
    <x v="10"/>
    <s v="Chicago Bulls"/>
    <n v="150"/>
    <n v="147"/>
    <n v="3"/>
    <m/>
    <m/>
  </r>
  <r>
    <x v="28"/>
    <s v="Milwaukee Bucks"/>
    <n v="118"/>
    <n v="106"/>
    <n v="12"/>
    <m/>
    <m/>
  </r>
  <r>
    <x v="25"/>
    <s v="Indiana Pacers"/>
    <n v="127"/>
    <n v="112"/>
    <n v="15"/>
    <m/>
    <m/>
  </r>
  <r>
    <x v="22"/>
    <s v="Los Angeles Clippers"/>
    <n v="110"/>
    <n v="108"/>
    <n v="2"/>
    <m/>
    <m/>
  </r>
  <r>
    <x v="27"/>
    <s v="New York Knicks"/>
    <n v="115"/>
    <n v="113"/>
    <n v="2"/>
    <m/>
    <m/>
  </r>
  <r>
    <x v="16"/>
    <s v="Charlotte Hornets"/>
    <n v="110"/>
    <n v="108"/>
    <n v="2"/>
    <m/>
    <m/>
  </r>
  <r>
    <x v="29"/>
    <s v="Dallas Mavericks"/>
    <n v="120"/>
    <n v="96"/>
    <n v="24"/>
    <m/>
    <m/>
  </r>
  <r>
    <x v="19"/>
    <s v="Oklahoma City Thunder"/>
    <n v="109"/>
    <n v="126"/>
    <n v="-17"/>
    <m/>
    <m/>
  </r>
  <r>
    <x v="23"/>
    <s v="Chicago Bulls"/>
    <n v="127"/>
    <n v="130"/>
    <n v="-3"/>
    <m/>
    <m/>
  </r>
  <r>
    <x v="4"/>
    <s v="Golden State Warriors"/>
    <n v="121"/>
    <n v="113"/>
    <n v="8"/>
    <m/>
    <m/>
  </r>
  <r>
    <x v="6"/>
    <s v="Detroit Pistons"/>
    <n v="112"/>
    <n v="120"/>
    <n v="-8"/>
    <m/>
    <m/>
  </r>
  <r>
    <x v="17"/>
    <s v="Boston Celtics"/>
    <n v="99"/>
    <n v="113"/>
    <n v="-14"/>
    <m/>
    <m/>
  </r>
  <r>
    <x v="24"/>
    <s v="Memphis Grizzlies"/>
    <n v="111"/>
    <n v="101"/>
    <n v="10"/>
    <m/>
    <m/>
  </r>
  <r>
    <x v="1"/>
    <s v="Utah Jazz"/>
    <n v="140"/>
    <n v="126"/>
    <n v="14"/>
    <m/>
    <m/>
  </r>
  <r>
    <x v="12"/>
    <s v="Phoenix Suns"/>
    <n v="110"/>
    <n v="127"/>
    <n v="-17"/>
    <m/>
    <m/>
  </r>
  <r>
    <x v="28"/>
    <s v="Houston Rockets"/>
    <n v="104"/>
    <n v="114"/>
    <n v="-10"/>
    <m/>
    <m/>
  </r>
  <r>
    <x v="14"/>
    <s v="Charlotte Hornets"/>
    <n v="127"/>
    <n v="118"/>
    <n v="9"/>
    <m/>
    <m/>
  </r>
  <r>
    <x v="22"/>
    <s v="Toronto Raptors"/>
    <n v="112"/>
    <n v="121"/>
    <n v="-9"/>
    <m/>
    <m/>
  </r>
  <r>
    <x v="27"/>
    <s v="Golden State Warriors"/>
    <n v="110"/>
    <n v="96"/>
    <n v="14"/>
    <m/>
    <m/>
  </r>
  <r>
    <x v="29"/>
    <s v="Washington Wizards"/>
    <n v="120"/>
    <n v="109"/>
    <n v="11"/>
    <m/>
    <m/>
  </r>
  <r>
    <x v="19"/>
    <s v="Denver Nuggets"/>
    <n v="118"/>
    <n v="125"/>
    <n v="-7"/>
    <m/>
    <m/>
  </r>
  <r>
    <x v="0"/>
    <s v="Sacramento Kings"/>
    <n v="113"/>
    <n v="99"/>
    <n v="14"/>
    <m/>
    <m/>
  </r>
  <r>
    <x v="11"/>
    <s v="New York Knicks"/>
    <n v="111"/>
    <n v="113"/>
    <n v="-2"/>
    <m/>
    <m/>
  </r>
  <r>
    <x v="12"/>
    <s v="Chicago Bulls"/>
    <n v="121"/>
    <n v="122"/>
    <n v="-1"/>
    <m/>
    <m/>
  </r>
  <r>
    <x v="4"/>
    <s v="Los Angeles Clippers"/>
    <n v="129"/>
    <n v="101"/>
    <n v="28"/>
    <m/>
    <m/>
  </r>
  <r>
    <x v="8"/>
    <s v="Sacramento Kings"/>
    <n v="137"/>
    <n v="96"/>
    <n v="41"/>
    <m/>
    <m/>
  </r>
  <r>
    <x v="9"/>
    <s v="Philadelphia 76ers"/>
    <n v="114"/>
    <n v="123"/>
    <n v="-9"/>
    <m/>
    <m/>
  </r>
  <r>
    <x v="24"/>
    <s v="Atlanta Hawks"/>
    <n v="135"/>
    <n v="126"/>
    <n v="9"/>
    <m/>
    <m/>
  </r>
  <r>
    <x v="28"/>
    <s v="Indiana Pacers"/>
    <n v="120"/>
    <n v="109"/>
    <n v="11"/>
    <m/>
    <m/>
  </r>
  <r>
    <x v="5"/>
    <s v="Brooklyn Nets"/>
    <n v="105"/>
    <n v="113"/>
    <n v="-8"/>
    <m/>
    <m/>
  </r>
  <r>
    <x v="16"/>
    <s v="Washington Wizards"/>
    <n v="140"/>
    <n v="110"/>
    <n v="30"/>
    <m/>
    <m/>
  </r>
  <r>
    <x v="7"/>
    <s v="Miami Heat"/>
    <n v="107"/>
    <n v="143"/>
    <n v="-36"/>
    <m/>
    <m/>
  </r>
  <r>
    <x v="11"/>
    <s v="New Orleans Pelicans"/>
    <n v="118"/>
    <n v="115"/>
    <n v="3"/>
    <m/>
    <m/>
  </r>
  <r>
    <x v="13"/>
    <s v="Minnesota Timberwolves"/>
    <n v="114"/>
    <n v="113"/>
    <n v="1"/>
    <m/>
    <m/>
  </r>
  <r>
    <x v="18"/>
    <s v="Denver Nuggets"/>
    <n v="109"/>
    <n v="112"/>
    <n v="-3"/>
    <m/>
    <m/>
  </r>
  <r>
    <x v="15"/>
    <s v="Portland Trail Blazers"/>
    <n v="123"/>
    <n v="127"/>
    <n v="-4"/>
    <m/>
    <m/>
  </r>
  <r>
    <x v="10"/>
    <s v="Oklahoma City Thunder"/>
    <n v="112"/>
    <n v="144"/>
    <n v="-32"/>
    <m/>
    <m/>
  </r>
  <r>
    <x v="2"/>
    <s v="Los Angeles Clippers"/>
    <n v="116"/>
    <n v="131"/>
    <n v="-15"/>
    <m/>
    <m/>
  </r>
  <r>
    <x v="4"/>
    <s v="New York Knicks"/>
    <n v="133"/>
    <n v="121"/>
    <n v="12"/>
    <m/>
    <m/>
  </r>
  <r>
    <x v="19"/>
    <s v="Atlanta Hawks"/>
    <n v="98"/>
    <n v="115"/>
    <n v="-17"/>
    <m/>
    <m/>
  </r>
  <r>
    <x v="7"/>
    <s v="Washington Wizards"/>
    <n v="121"/>
    <n v="120"/>
    <n v="1"/>
    <m/>
    <m/>
  </r>
  <r>
    <x v="9"/>
    <s v="Detroit Pistons"/>
    <n v="116"/>
    <n v="129"/>
    <n v="-13"/>
    <m/>
    <m/>
  </r>
  <r>
    <x v="11"/>
    <s v="Memphis Grizzlies"/>
    <n v="96"/>
    <n v="102"/>
    <n v="-6"/>
    <m/>
    <m/>
  </r>
  <r>
    <x v="23"/>
    <s v="Sacramento Kings"/>
    <n v="123"/>
    <n v="128"/>
    <n v="-5"/>
    <m/>
    <m/>
  </r>
  <r>
    <x v="22"/>
    <s v="Miami Heat"/>
    <n v="117"/>
    <n v="127"/>
    <n v="-10"/>
    <m/>
    <m/>
  </r>
  <r>
    <x v="6"/>
    <s v="Charlotte Hornets"/>
    <n v="113"/>
    <n v="110"/>
    <n v="3"/>
    <m/>
    <m/>
  </r>
  <r>
    <x v="5"/>
    <s v="Orlando Magic"/>
    <n v="138"/>
    <n v="129"/>
    <n v="9"/>
    <m/>
    <m/>
  </r>
  <r>
    <x v="28"/>
    <s v="Los Angeles Clippers"/>
    <n v="120"/>
    <n v="105"/>
    <n v="15"/>
    <m/>
    <m/>
  </r>
  <r>
    <x v="16"/>
    <s v="Brooklyn Nets"/>
    <n v="119"/>
    <n v="109"/>
    <n v="10"/>
    <m/>
    <m/>
  </r>
  <r>
    <x v="0"/>
    <s v="Portland Trail Blazers"/>
    <n v="122"/>
    <n v="95"/>
    <n v="27"/>
    <m/>
    <m/>
  </r>
  <r>
    <x v="13"/>
    <s v="San Antonio Spurs"/>
    <n v="111"/>
    <n v="102"/>
    <n v="9"/>
    <m/>
    <m/>
  </r>
  <r>
    <x v="10"/>
    <s v="Los Angeles Lakers"/>
    <n v="106"/>
    <n v="108"/>
    <n v="-2"/>
    <m/>
    <m/>
  </r>
  <r>
    <x v="14"/>
    <s v="Detroit Pistons"/>
    <n v="117"/>
    <n v="122"/>
    <n v="-5"/>
    <m/>
    <m/>
  </r>
  <r>
    <x v="16"/>
    <s v="Cleveland Cavaliers"/>
    <n v="110"/>
    <n v="99"/>
    <n v="11"/>
    <m/>
    <m/>
  </r>
  <r>
    <x v="17"/>
    <s v="New York Knicks"/>
    <n v="100"/>
    <n v="113"/>
    <n v="-13"/>
    <m/>
    <m/>
  </r>
  <r>
    <x v="27"/>
    <s v="Dallas Mavericks"/>
    <n v="106"/>
    <n v="102"/>
    <n v="4"/>
    <m/>
    <m/>
  </r>
  <r>
    <x v="8"/>
    <s v="Denver Nuggets"/>
    <n v="115"/>
    <n v="125"/>
    <n v="-10"/>
    <m/>
    <m/>
  </r>
  <r>
    <x v="9"/>
    <s v="Portland Trail Blazers"/>
    <n v="103"/>
    <n v="115"/>
    <n v="-12"/>
    <m/>
    <m/>
  </r>
  <r>
    <x v="19"/>
    <s v="Chicago Bulls"/>
    <n v="143"/>
    <n v="130"/>
    <n v="13"/>
    <m/>
    <m/>
  </r>
  <r>
    <x v="13"/>
    <s v="Houston Rockets"/>
    <n v="92"/>
    <n v="114"/>
    <n v="-22"/>
    <m/>
    <m/>
  </r>
  <r>
    <x v="15"/>
    <s v="Utah Jazz"/>
    <n v="134"/>
    <n v="117"/>
    <n v="17"/>
    <m/>
    <m/>
  </r>
  <r>
    <x v="20"/>
    <s v="Minnesota Timberwolves"/>
    <n v="117"/>
    <n v="112"/>
    <n v="5"/>
    <m/>
    <m/>
  </r>
  <r>
    <x v="26"/>
    <s v="Atlanta Hawks"/>
    <n v="132"/>
    <n v="113"/>
    <n v="19"/>
    <m/>
    <m/>
  </r>
  <r>
    <x v="22"/>
    <s v="Orlando Magic"/>
    <n v="103"/>
    <n v="144"/>
    <n v="-41"/>
    <m/>
    <m/>
  </r>
  <r>
    <x v="1"/>
    <s v="Los Angeles Clippers"/>
    <n v="135"/>
    <n v="118"/>
    <n v="17"/>
    <m/>
    <m/>
  </r>
  <r>
    <x v="5"/>
    <s v="Detroit Pistons"/>
    <n v="117"/>
    <n v="114"/>
    <n v="3"/>
    <m/>
    <m/>
  </r>
  <r>
    <x v="2"/>
    <s v="New York Knicks"/>
    <n v="101"/>
    <n v="129"/>
    <n v="-28"/>
    <m/>
    <m/>
  </r>
  <r>
    <x v="27"/>
    <s v="Milwaukee Bucks"/>
    <n v="106"/>
    <n v="103"/>
    <n v="3"/>
    <m/>
    <m/>
  </r>
  <r>
    <x v="0"/>
    <s v="Minnesota Timberwolves"/>
    <n v="113"/>
    <n v="105"/>
    <n v="8"/>
    <m/>
    <m/>
  </r>
  <r>
    <x v="16"/>
    <s v="Indiana Pacers"/>
    <n v="97"/>
    <n v="95"/>
    <n v="2"/>
    <m/>
    <m/>
  </r>
  <r>
    <x v="19"/>
    <s v="Memphis Grizzlies"/>
    <n v="128"/>
    <n v="133"/>
    <n v="-5"/>
    <m/>
    <m/>
  </r>
  <r>
    <x v="15"/>
    <s v="Houston Rockets"/>
    <n v="100"/>
    <n v="104"/>
    <n v="-4"/>
    <m/>
    <m/>
  </r>
  <r>
    <x v="12"/>
    <s v="San Antonio Spurs"/>
    <n v="102"/>
    <n v="115"/>
    <n v="-13"/>
    <m/>
    <m/>
  </r>
  <r>
    <x v="20"/>
    <s v="Phoenix Suns"/>
    <n v="100"/>
    <n v="112"/>
    <n v="-12"/>
    <m/>
    <m/>
  </r>
  <r>
    <x v="6"/>
    <s v="Cleveland Cavaliers"/>
    <n v="130"/>
    <n v="123"/>
    <n v="7"/>
    <m/>
    <m/>
  </r>
  <r>
    <x v="17"/>
    <s v="Philadelphia 76ers"/>
    <n v="103"/>
    <n v="115"/>
    <n v="-12"/>
    <m/>
    <m/>
  </r>
  <r>
    <x v="2"/>
    <s v="Chicago Bulls"/>
    <n v="123"/>
    <n v="116"/>
    <n v="7"/>
    <m/>
    <m/>
  </r>
  <r>
    <x v="25"/>
    <s v="Orlando Magic"/>
    <n v="109"/>
    <n v="112"/>
    <n v="-3"/>
    <m/>
    <m/>
  </r>
  <r>
    <x v="14"/>
    <s v="Washington Wizards"/>
    <n v="119"/>
    <n v="86"/>
    <n v="33"/>
    <m/>
    <m/>
  </r>
  <r>
    <x v="3"/>
    <s v="Milwaukee Bucks"/>
    <n v="118"/>
    <n v="109"/>
    <n v="9"/>
    <m/>
    <m/>
  </r>
  <r>
    <x v="23"/>
    <s v="San Antonio Spurs"/>
    <n v="136"/>
    <n v="139"/>
    <n v="-3"/>
    <m/>
    <m/>
  </r>
  <r>
    <x v="0"/>
    <s v="Phoenix Suns"/>
    <n v="123"/>
    <n v="119"/>
    <n v="4"/>
    <m/>
    <m/>
  </r>
  <r>
    <x v="10"/>
    <s v="Sacramento Kings"/>
    <n v="128"/>
    <n v="119"/>
    <n v="9"/>
    <m/>
    <m/>
  </r>
  <r>
    <x v="21"/>
    <s v="Memphis Grizzlies"/>
    <n v="107"/>
    <n v="112"/>
    <n v="-5"/>
    <m/>
    <m/>
  </r>
  <r>
    <x v="1"/>
    <s v="Dallas Mavericks"/>
    <n v="129"/>
    <n v="119"/>
    <n v="10"/>
    <m/>
    <m/>
  </r>
  <r>
    <x v="29"/>
    <s v="Boston Celtics"/>
    <n v="119"/>
    <n v="115"/>
    <n v="4"/>
    <m/>
    <m/>
  </r>
  <r>
    <x v="2"/>
    <s v="Toronto Raptors"/>
    <n v="118"/>
    <n v="111"/>
    <n v="7"/>
    <m/>
    <m/>
  </r>
  <r>
    <x v="14"/>
    <s v="Chicago Bulls"/>
    <n v="103"/>
    <n v="101"/>
    <n v="2"/>
    <m/>
    <m/>
  </r>
  <r>
    <x v="27"/>
    <s v="Detroit Pistons"/>
    <n v="135"/>
    <n v="138"/>
    <n v="-3"/>
    <m/>
    <m/>
  </r>
  <r>
    <x v="9"/>
    <s v="Brooklyn Nets"/>
    <n v="116"/>
    <n v="99"/>
    <n v="17"/>
    <m/>
    <m/>
  </r>
  <r>
    <x v="15"/>
    <s v="New Orleans Pelicans"/>
    <n v="104"/>
    <n v="96"/>
    <n v="8"/>
    <m/>
    <m/>
  </r>
  <r>
    <x v="13"/>
    <s v="Denver Nuggets"/>
    <n v="112"/>
    <n v="130"/>
    <n v="-18"/>
    <m/>
    <m/>
  </r>
  <r>
    <x v="21"/>
    <s v="Dallas Mavericks"/>
    <n v="110"/>
    <n v="114"/>
    <n v="-4"/>
    <m/>
    <m/>
  </r>
  <r>
    <x v="10"/>
    <s v="Houston Rockets"/>
    <n v="101"/>
    <n v="129"/>
    <n v="-28"/>
    <m/>
    <m/>
  </r>
  <r>
    <x v="28"/>
    <s v="Boston Celtics"/>
    <n v="115"/>
    <n v="117"/>
    <n v="-2"/>
    <m/>
    <m/>
  </r>
  <r>
    <x v="3"/>
    <s v="Toronto Raptors"/>
    <n v="116"/>
    <n v="94"/>
    <n v="22"/>
    <m/>
    <m/>
  </r>
  <r>
    <x v="22"/>
    <s v="Atlanta Hawks"/>
    <n v="134"/>
    <n v="142"/>
    <n v="-8"/>
    <m/>
    <m/>
  </r>
  <r>
    <x v="12"/>
    <s v="Oklahoma City Thunder"/>
    <n v="115"/>
    <n v="123"/>
    <n v="-8"/>
    <m/>
    <m/>
  </r>
  <r>
    <x v="29"/>
    <s v="San Antonio Spurs"/>
    <n v="125"/>
    <n v="112"/>
    <n v="13"/>
    <m/>
    <m/>
  </r>
  <r>
    <x v="20"/>
    <s v="Memphis Grizzlies"/>
    <n v="107"/>
    <n v="115"/>
    <n v="-8"/>
    <m/>
    <m/>
  </r>
  <r>
    <x v="1"/>
    <s v="New Orleans Pelicans"/>
    <n v="133"/>
    <n v="121"/>
    <n v="12"/>
    <m/>
    <m/>
  </r>
  <r>
    <x v="25"/>
    <s v="Atlanta Hawks"/>
    <n v="99"/>
    <n v="98"/>
    <n v="1"/>
    <m/>
    <m/>
  </r>
  <r>
    <x v="14"/>
    <s v="Cleveland Cavaliers"/>
    <n v="119"/>
    <n v="135"/>
    <n v="-16"/>
    <m/>
    <m/>
  </r>
  <r>
    <x v="26"/>
    <s v="Milwaukee Bucks"/>
    <n v="129"/>
    <n v="126"/>
    <n v="3"/>
    <m/>
    <m/>
  </r>
  <r>
    <x v="17"/>
    <s v="Charlotte Hornets"/>
    <n v="116"/>
    <n v="103"/>
    <n v="13"/>
    <m/>
    <m/>
  </r>
  <r>
    <x v="27"/>
    <s v="Los Angeles Clippers"/>
    <n v="140"/>
    <n v="123"/>
    <n v="17"/>
    <m/>
    <m/>
  </r>
  <r>
    <x v="4"/>
    <s v="Chicago Bulls"/>
    <n v="125"/>
    <n v="120"/>
    <n v="5"/>
    <m/>
    <m/>
  </r>
  <r>
    <x v="23"/>
    <s v="Dallas Mavericks"/>
    <n v="121"/>
    <n v="131"/>
    <n v="-10"/>
    <m/>
    <m/>
  </r>
  <r>
    <x v="10"/>
    <s v="Houston Rockets"/>
    <n v="133"/>
    <n v="125"/>
    <n v="8"/>
    <m/>
    <m/>
  </r>
  <r>
    <x v="1"/>
    <s v="Phoenix Suns"/>
    <n v="108"/>
    <n v="125"/>
    <n v="-17"/>
    <m/>
    <m/>
  </r>
  <r>
    <x v="22"/>
    <s v="Washington Wizards"/>
    <n v="121"/>
    <n v="102"/>
    <n v="19"/>
    <m/>
    <m/>
  </r>
  <r>
    <x v="16"/>
    <s v="Portland Trail Blazers"/>
    <n v="121"/>
    <n v="118"/>
    <n v="3"/>
    <m/>
    <m/>
  </r>
  <r>
    <x v="5"/>
    <s v="New York Knicks"/>
    <n v="123"/>
    <n v="117"/>
    <n v="6"/>
    <m/>
    <m/>
  </r>
  <r>
    <x v="19"/>
    <s v="Minnesota Timberwolves"/>
    <n v="142"/>
    <n v="149"/>
    <n v="-7"/>
    <m/>
    <m/>
  </r>
  <r>
    <x v="24"/>
    <s v="Memphis Grizzlies"/>
    <n v="126"/>
    <n v="119"/>
    <n v="7"/>
    <m/>
    <m/>
  </r>
  <r>
    <x v="15"/>
    <s v="Oklahoma City Thunder"/>
    <n v="112"/>
    <n v="124"/>
    <n v="-12"/>
    <m/>
    <m/>
  </r>
  <r>
    <x v="28"/>
    <s v="Portland Trail Blazers"/>
    <n v="110"/>
    <n v="122"/>
    <n v="-12"/>
    <m/>
    <m/>
  </r>
  <r>
    <x v="14"/>
    <s v="Denver Nuggets"/>
    <n v="120"/>
    <n v="135"/>
    <n v="-15"/>
    <m/>
    <m/>
  </r>
  <r>
    <x v="4"/>
    <s v="San Antonio Spurs"/>
    <n v="112"/>
    <n v="114"/>
    <n v="-2"/>
    <m/>
    <m/>
  </r>
  <r>
    <x v="6"/>
    <s v="Los Angeles Clippers"/>
    <n v="92"/>
    <n v="115"/>
    <n v="-23"/>
    <m/>
    <m/>
  </r>
  <r>
    <x v="3"/>
    <s v="Charlotte Hornets"/>
    <n v="119"/>
    <n v="104"/>
    <n v="15"/>
    <m/>
    <m/>
  </r>
  <r>
    <x v="7"/>
    <s v="Brooklyn Nets"/>
    <n v="103"/>
    <n v="113"/>
    <n v="-10"/>
    <m/>
    <m/>
  </r>
  <r>
    <x v="18"/>
    <s v="Sacramento Kings"/>
    <n v="121"/>
    <n v="95"/>
    <n v="26"/>
    <m/>
    <m/>
  </r>
  <r>
    <x v="9"/>
    <s v="Detroit Pistons"/>
    <n v="113"/>
    <n v="109"/>
    <n v="4"/>
    <m/>
    <m/>
  </r>
  <r>
    <x v="11"/>
    <s v="Miami Heat"/>
    <n v="118"/>
    <n v="108"/>
    <n v="10"/>
    <m/>
    <m/>
  </r>
  <r>
    <x v="22"/>
    <s v="Golden State Warriors"/>
    <n v="99"/>
    <n v="98"/>
    <n v="1"/>
    <m/>
    <m/>
  </r>
  <r>
    <x v="26"/>
    <s v="Boston Celtics"/>
    <n v="101"/>
    <n v="146"/>
    <n v="-45"/>
    <m/>
    <m/>
  </r>
  <r>
    <x v="17"/>
    <s v="Utah Jazz"/>
    <n v="110"/>
    <n v="123"/>
    <n v="-13"/>
    <m/>
    <m/>
  </r>
  <r>
    <x v="16"/>
    <s v="Los Angeles Lakers"/>
    <n v="120"/>
    <n v="123"/>
    <n v="-3"/>
    <m/>
    <m/>
  </r>
  <r>
    <x v="19"/>
    <s v="Minnesota Timberwolves"/>
    <n v="116"/>
    <n v="125"/>
    <n v="-9"/>
    <m/>
    <m/>
  </r>
  <r>
    <x v="5"/>
    <s v="Los Angeles Lakers"/>
    <n v="126"/>
    <n v="105"/>
    <n v="21"/>
    <m/>
    <m/>
  </r>
  <r>
    <x v="4"/>
    <s v="Miami Heat"/>
    <n v="106"/>
    <n v="105"/>
    <n v="1"/>
    <m/>
    <m/>
  </r>
  <r>
    <x v="6"/>
    <s v="Denver Nuggets"/>
    <n v="133"/>
    <n v="134"/>
    <n v="-1"/>
    <m/>
    <m/>
  </r>
  <r>
    <x v="28"/>
    <s v="San Antonio Spurs"/>
    <n v="130"/>
    <n v="117"/>
    <n v="13"/>
    <m/>
    <m/>
  </r>
  <r>
    <x v="25"/>
    <s v="Portland Trail Blazers"/>
    <n v="122"/>
    <n v="116"/>
    <n v="6"/>
    <m/>
    <m/>
  </r>
  <r>
    <x v="3"/>
    <s v="Utah Jazz"/>
    <n v="146"/>
    <n v="112"/>
    <n v="34"/>
    <m/>
    <m/>
  </r>
  <r>
    <x v="16"/>
    <s v="Charlotte Hornets"/>
    <n v="86"/>
    <n v="111"/>
    <n v="-25"/>
    <m/>
    <m/>
  </r>
  <r>
    <x v="7"/>
    <s v="Indiana Pacers"/>
    <n v="105"/>
    <n v="120"/>
    <n v="-15"/>
    <m/>
    <m/>
  </r>
  <r>
    <x v="18"/>
    <s v="Phoenix Suns"/>
    <n v="117"/>
    <n v="98"/>
    <n v="19"/>
    <m/>
    <m/>
  </r>
  <r>
    <x v="8"/>
    <s v="Los Angeles Clippers"/>
    <n v="107"/>
    <n v="98"/>
    <n v="9"/>
    <m/>
    <m/>
  </r>
  <r>
    <x v="9"/>
    <s v="Philadelphia 76ers"/>
    <n v="101"/>
    <n v="116"/>
    <n v="-15"/>
    <m/>
    <m/>
  </r>
  <r>
    <x v="0"/>
    <s v="Dallas Mavericks"/>
    <n v="132"/>
    <n v="111"/>
    <n v="21"/>
    <m/>
    <m/>
  </r>
  <r>
    <x v="17"/>
    <s v="New Orleans Pelicans"/>
    <n v="119"/>
    <n v="101"/>
    <n v="18"/>
    <m/>
    <m/>
  </r>
  <r>
    <x v="26"/>
    <s v="Atlanta Hawks"/>
    <n v="116"/>
    <n v="131"/>
    <n v="-15"/>
    <m/>
    <m/>
  </r>
  <r>
    <x v="28"/>
    <s v="Golden State Warriors"/>
    <n v="94"/>
    <n v="99"/>
    <n v="-5"/>
    <m/>
    <m/>
  </r>
  <r>
    <x v="25"/>
    <s v="Milwaukee Bucks"/>
    <n v="124"/>
    <n v="112"/>
    <n v="12"/>
    <m/>
    <m/>
  </r>
  <r>
    <x v="27"/>
    <s v="Sacramento Kings"/>
    <n v="111"/>
    <n v="127"/>
    <n v="-16"/>
    <m/>
    <m/>
  </r>
  <r>
    <x v="29"/>
    <s v="Los Angeles Clippers"/>
    <n v="109"/>
    <n v="106"/>
    <n v="3"/>
    <m/>
    <m/>
  </r>
  <r>
    <x v="11"/>
    <s v="Houston Rockets"/>
    <n v="122"/>
    <n v="109"/>
    <n v="13"/>
    <m/>
    <m/>
  </r>
  <r>
    <x v="3"/>
    <s v="Orlando Magic"/>
    <n v="106"/>
    <n v="100"/>
    <n v="6"/>
    <m/>
    <m/>
  </r>
  <r>
    <x v="16"/>
    <s v="Boston Celtics"/>
    <n v="113"/>
    <n v="121"/>
    <n v="-8"/>
    <m/>
    <m/>
  </r>
  <r>
    <x v="2"/>
    <s v="Denver Nuggets"/>
    <n v="106"/>
    <n v="115"/>
    <n v="-9"/>
    <m/>
    <m/>
  </r>
  <r>
    <x v="8"/>
    <s v="Portland Trail Blazers"/>
    <n v="119"/>
    <n v="96"/>
    <n v="23"/>
    <m/>
    <m/>
  </r>
  <r>
    <x v="7"/>
    <s v="Golden State Warriors"/>
    <n v="91"/>
    <n v="123"/>
    <n v="-32"/>
    <m/>
    <m/>
  </r>
  <r>
    <x v="22"/>
    <s v="Los Angeles Lakers"/>
    <n v="108"/>
    <n v="112"/>
    <n v="-4"/>
    <m/>
    <m/>
  </r>
  <r>
    <x v="10"/>
    <s v="Oklahoma City Thunder"/>
    <n v="101"/>
    <n v="131"/>
    <n v="-30"/>
    <m/>
    <m/>
  </r>
  <r>
    <x v="14"/>
    <s v="Sacramento Kings"/>
    <n v="116"/>
    <n v="105"/>
    <n v="11"/>
    <m/>
    <m/>
  </r>
  <r>
    <x v="29"/>
    <s v="Phoenix Suns"/>
    <n v="105"/>
    <n v="108"/>
    <n v="-3"/>
    <m/>
    <m/>
  </r>
  <r>
    <x v="19"/>
    <s v="San Antonio Spurs"/>
    <n v="132"/>
    <n v="135"/>
    <n v="-3"/>
    <m/>
    <m/>
  </r>
  <r>
    <x v="4"/>
    <s v="Miami Heat"/>
    <n v="117"/>
    <n v="108"/>
    <n v="9"/>
    <m/>
    <m/>
  </r>
  <r>
    <x v="16"/>
    <s v="New York Knicks"/>
    <n v="101"/>
    <n v="117"/>
    <n v="-16"/>
    <m/>
    <m/>
  </r>
  <r>
    <x v="0"/>
    <s v="Phoenix Suns"/>
    <n v="138"/>
    <n v="89"/>
    <n v="49"/>
    <m/>
    <m/>
  </r>
  <r>
    <x v="1"/>
    <s v="San Antonio Spurs"/>
    <n v="119"/>
    <n v="132"/>
    <n v="-13"/>
    <m/>
    <m/>
  </r>
  <r>
    <x v="18"/>
    <s v="Los Angeles Clippers"/>
    <n v="115"/>
    <n v="113"/>
    <n v="2"/>
    <m/>
    <m/>
  </r>
  <r>
    <x v="9"/>
    <s v="Boston Celtics"/>
    <n v="116"/>
    <n v="101"/>
    <n v="15"/>
    <m/>
    <m/>
  </r>
  <r>
    <x v="19"/>
    <s v="Portland Trail Blazers"/>
    <n v="143"/>
    <n v="120"/>
    <n v="23"/>
    <m/>
    <m/>
  </r>
  <r>
    <x v="20"/>
    <s v="Denver Nuggets"/>
    <n v="105"/>
    <n v="136"/>
    <n v="-31"/>
    <m/>
    <m/>
  </r>
  <r>
    <x v="2"/>
    <s v="Chicago Bulls"/>
    <n v="126"/>
    <n v="129"/>
    <n v="-3"/>
    <m/>
    <m/>
  </r>
  <r>
    <x v="25"/>
    <s v="Atlanta Hawks"/>
    <n v="142"/>
    <n v="115"/>
    <n v="27"/>
    <m/>
    <m/>
  </r>
  <r>
    <x v="22"/>
    <s v="Indiana Pacers"/>
    <n v="115"/>
    <n v="105"/>
    <n v="10"/>
    <m/>
    <m/>
  </r>
  <r>
    <x v="26"/>
    <s v="Cleveland Cavaliers"/>
    <n v="126"/>
    <n v="130"/>
    <n v="-4"/>
    <m/>
    <m/>
  </r>
  <r>
    <x v="8"/>
    <s v="Utah Jazz"/>
    <n v="126"/>
    <n v="130"/>
    <n v="-4"/>
    <m/>
    <m/>
  </r>
  <r>
    <x v="11"/>
    <s v="Brooklyn Nets"/>
    <n v="119"/>
    <n v="111"/>
    <n v="8"/>
    <m/>
    <m/>
  </r>
  <r>
    <x v="15"/>
    <s v="Minnesota Timberwolves"/>
    <n v="120"/>
    <n v="127"/>
    <n v="-7"/>
    <m/>
    <m/>
  </r>
  <r>
    <x v="4"/>
    <s v="New York Knicks"/>
    <n v="120"/>
    <n v="132"/>
    <n v="-12"/>
    <m/>
    <m/>
  </r>
  <r>
    <x v="0"/>
    <s v="San Antonio Spurs"/>
    <n v="109"/>
    <n v="111"/>
    <n v="-2"/>
    <m/>
    <m/>
  </r>
  <r>
    <x v="14"/>
    <s v="Washington Wizards"/>
    <n v="89"/>
    <n v="108"/>
    <n v="-19"/>
    <m/>
    <m/>
  </r>
  <r>
    <x v="28"/>
    <s v="Charlotte Hornets"/>
    <n v="111"/>
    <n v="119"/>
    <n v="-8"/>
    <m/>
    <m/>
  </r>
  <r>
    <x v="6"/>
    <s v="Philadelphia 76ers"/>
    <n v="120"/>
    <n v="117"/>
    <n v="3"/>
    <m/>
    <m/>
  </r>
  <r>
    <x v="17"/>
    <s v="Milwaukee Bucks"/>
    <n v="127"/>
    <n v="82"/>
    <n v="45"/>
    <m/>
    <m/>
  </r>
  <r>
    <x v="7"/>
    <s v="New Orleans Pelicans"/>
    <n v="104"/>
    <n v="114"/>
    <n v="-10"/>
    <m/>
    <m/>
  </r>
  <r>
    <x v="29"/>
    <s v="Sacramento Kings"/>
    <n v="117"/>
    <n v="103"/>
    <n v="14"/>
    <m/>
    <m/>
  </r>
  <r>
    <x v="13"/>
    <s v="Los Angeles Lakers"/>
    <n v="114"/>
    <n v="116"/>
    <n v="-2"/>
    <m/>
    <m/>
  </r>
  <r>
    <x v="12"/>
    <s v="Golden State Warriors"/>
    <n v="136"/>
    <n v="131"/>
    <n v="5"/>
    <m/>
    <m/>
  </r>
  <r>
    <x v="5"/>
    <s v="Detroit Pistons"/>
    <n v="105"/>
    <n v="112"/>
    <n v="-7"/>
    <m/>
    <m/>
  </r>
  <r>
    <x v="27"/>
    <s v="Toronto Raptors"/>
    <n v="96"/>
    <n v="106"/>
    <n v="-10"/>
    <m/>
    <m/>
  </r>
  <r>
    <x v="10"/>
    <s v="Dallas Mavericks"/>
    <n v="140"/>
    <n v="133"/>
    <n v="7"/>
    <m/>
    <m/>
  </r>
  <r>
    <x v="23"/>
    <s v="Houston Rockets"/>
    <n v="128"/>
    <n v="125"/>
    <n v="3"/>
    <m/>
    <m/>
  </r>
  <r>
    <x v="21"/>
    <s v="Memphis Grizzlies"/>
    <n v="103"/>
    <n v="121"/>
    <n v="-18"/>
    <m/>
    <m/>
  </r>
  <r>
    <x v="3"/>
    <s v="San Antonio Spurs"/>
    <n v="124"/>
    <n v="113"/>
    <n v="11"/>
    <m/>
    <m/>
  </r>
  <r>
    <x v="7"/>
    <s v="Cleveland Cavaliers"/>
    <n v="127"/>
    <n v="111"/>
    <n v="16"/>
    <m/>
    <m/>
  </r>
  <r>
    <x v="29"/>
    <s v="Memphis Grizzlies"/>
    <n v="110"/>
    <n v="116"/>
    <n v="-6"/>
    <m/>
    <m/>
  </r>
  <r>
    <x v="2"/>
    <s v="Atlanta Hawks"/>
    <n v="133"/>
    <n v="126"/>
    <n v="7"/>
    <m/>
    <m/>
  </r>
  <r>
    <x v="14"/>
    <s v="New York Knicks"/>
    <n v="113"/>
    <n v="114"/>
    <n v="-1"/>
    <m/>
    <m/>
  </r>
  <r>
    <x v="17"/>
    <s v="Miami Heat"/>
    <n v="95"/>
    <n v="106"/>
    <n v="-11"/>
    <m/>
    <m/>
  </r>
  <r>
    <x v="9"/>
    <s v="Toronto Raptors"/>
    <n v="105"/>
    <n v="111"/>
    <n v="-6"/>
    <m/>
    <m/>
  </r>
  <r>
    <x v="19"/>
    <s v="Houston Rockets"/>
    <n v="133"/>
    <n v="128"/>
    <n v="5"/>
    <m/>
    <m/>
  </r>
  <r>
    <x v="0"/>
    <s v="Los Angeles Clippers"/>
    <n v="122"/>
    <n v="101"/>
    <n v="21"/>
    <m/>
    <m/>
  </r>
  <r>
    <x v="24"/>
    <s v="Washington Wizards"/>
    <n v="119"/>
    <n v="94"/>
    <n v="25"/>
    <m/>
    <m/>
  </r>
  <r>
    <x v="11"/>
    <s v="Detroit Pistons"/>
    <n v="116"/>
    <n v="114"/>
    <n v="2"/>
    <m/>
    <m/>
  </r>
  <r>
    <x v="23"/>
    <s v="Orlando Magic"/>
    <n v="126"/>
    <n v="115"/>
    <n v="11"/>
    <m/>
    <m/>
  </r>
  <r>
    <x v="13"/>
    <s v="Golden State Warriors"/>
    <n v="99"/>
    <n v="98"/>
    <n v="1"/>
    <m/>
    <m/>
  </r>
  <r>
    <x v="10"/>
    <s v="Los Angeles Lakers"/>
    <n v="135"/>
    <n v="143"/>
    <n v="-8"/>
    <m/>
    <m/>
  </r>
  <r>
    <x v="12"/>
    <s v="Sacramento Kings"/>
    <n v="134"/>
    <n v="133"/>
    <n v="1"/>
    <m/>
    <m/>
  </r>
  <r>
    <x v="5"/>
    <s v="Miami Heat"/>
    <n v="129"/>
    <n v="116"/>
    <n v="13"/>
    <m/>
    <m/>
  </r>
  <r>
    <x v="3"/>
    <s v="Philadelphia 76ers"/>
    <n v="107"/>
    <n v="116"/>
    <n v="-9"/>
    <m/>
    <m/>
  </r>
  <r>
    <x v="6"/>
    <s v="San Antonio Spurs"/>
    <n v="98"/>
    <n v="126"/>
    <n v="-28"/>
    <m/>
    <m/>
  </r>
  <r>
    <x v="28"/>
    <s v="Chicago Bulls"/>
    <n v="125"/>
    <n v="136"/>
    <n v="-11"/>
    <m/>
    <m/>
  </r>
  <r>
    <x v="29"/>
    <s v="Oklahoma City Thunder"/>
    <n v="112"/>
    <n v="107"/>
    <n v="5"/>
    <m/>
    <m/>
  </r>
  <r>
    <x v="23"/>
    <s v="Houston Rockets"/>
    <n v="101"/>
    <n v="115"/>
    <n v="-14"/>
    <m/>
    <m/>
  </r>
  <r>
    <x v="19"/>
    <s v="Indiana Pacers"/>
    <n v="128"/>
    <n v="109"/>
    <n v="19"/>
    <m/>
    <m/>
  </r>
  <r>
    <x v="22"/>
    <s v="Dallas Mavericks"/>
    <n v="121"/>
    <n v="114"/>
    <n v="7"/>
    <m/>
    <m/>
  </r>
  <r>
    <x v="16"/>
    <s v="Boston Celtics"/>
    <n v="96"/>
    <n v="112"/>
    <n v="-16"/>
    <m/>
    <m/>
  </r>
  <r>
    <x v="25"/>
    <s v="Charlotte Hornets"/>
    <n v="112"/>
    <n v="86"/>
    <n v="26"/>
    <m/>
    <m/>
  </r>
  <r>
    <x v="8"/>
    <s v="Washington Wizards"/>
    <n v="122"/>
    <n v="130"/>
    <n v="-8"/>
    <m/>
    <m/>
  </r>
  <r>
    <x v="15"/>
    <s v="Phoenix Suns"/>
    <n v="119"/>
    <n v="116"/>
    <n v="3"/>
    <m/>
    <m/>
  </r>
  <r>
    <x v="10"/>
    <s v="Orlando Magic"/>
    <n v="127"/>
    <n v="128"/>
    <n v="-1"/>
    <m/>
    <m/>
  </r>
  <r>
    <x v="20"/>
    <s v="Portland Trail Blazers"/>
    <n v="93"/>
    <n v="98"/>
    <n v="-5"/>
    <m/>
    <m/>
  </r>
  <r>
    <x v="21"/>
    <s v="Los Angeles Lakers"/>
    <n v="103"/>
    <n v="88"/>
    <n v="15"/>
    <m/>
    <m/>
  </r>
  <r>
    <x v="6"/>
    <s v="Chicago Bulls"/>
    <n v="150"/>
    <n v="152"/>
    <n v="-2"/>
    <m/>
    <m/>
  </r>
  <r>
    <x v="17"/>
    <s v="Toronto Raptors"/>
    <n v="96"/>
    <n v="81"/>
    <n v="15"/>
    <m/>
    <m/>
  </r>
  <r>
    <x v="3"/>
    <s v="Miami Heat"/>
    <n v="132"/>
    <n v="125"/>
    <n v="7"/>
    <m/>
    <m/>
  </r>
  <r>
    <x v="29"/>
    <s v="Milwaukee Bucks"/>
    <n v="103"/>
    <n v="100"/>
    <n v="3"/>
    <m/>
    <m/>
  </r>
  <r>
    <x v="26"/>
    <s v="San Antonio Spurs"/>
    <n v="113"/>
    <n v="124"/>
    <n v="-11"/>
    <m/>
    <m/>
  </r>
  <r>
    <x v="20"/>
    <s v="Houston Rockets"/>
    <n v="125"/>
    <n v="124"/>
    <n v="1"/>
    <m/>
    <m/>
  </r>
  <r>
    <x v="28"/>
    <s v="Charlotte Hornets"/>
    <n v="139"/>
    <n v="132"/>
    <n v="7"/>
    <m/>
    <m/>
  </r>
  <r>
    <x v="5"/>
    <s v="Indiana Pacers"/>
    <n v="103"/>
    <n v="95"/>
    <n v="8"/>
    <m/>
    <m/>
  </r>
  <r>
    <x v="19"/>
    <s v="Dallas Mavericks"/>
    <n v="119"/>
    <n v="113"/>
    <n v="6"/>
    <m/>
    <m/>
  </r>
  <r>
    <x v="23"/>
    <s v="Utah Jazz"/>
    <n v="135"/>
    <n v="112"/>
    <n v="23"/>
    <m/>
    <m/>
  </r>
  <r>
    <x v="0"/>
    <s v="Memphis Grizzlies"/>
    <n v="119"/>
    <n v="103"/>
    <n v="16"/>
    <m/>
    <m/>
  </r>
  <r>
    <x v="15"/>
    <s v="Orlando Magic"/>
    <n v="120"/>
    <n v="97"/>
    <n v="23"/>
    <m/>
    <m/>
  </r>
  <r>
    <x v="12"/>
    <s v="Detroit Pistons"/>
    <n v="102"/>
    <n v="110"/>
    <n v="-8"/>
    <m/>
    <m/>
  </r>
  <r>
    <x v="2"/>
    <s v="Washington Wizards"/>
    <n v="126"/>
    <n v="109"/>
    <n v="17"/>
    <m/>
    <m/>
  </r>
  <r>
    <x v="22"/>
    <s v="Brooklyn Nets"/>
    <n v="106"/>
    <n v="114"/>
    <n v="-8"/>
    <m/>
    <m/>
  </r>
  <r>
    <x v="6"/>
    <s v="Chicago Bulls"/>
    <n v="123"/>
    <n v="126"/>
    <n v="-3"/>
    <m/>
    <m/>
  </r>
  <r>
    <x v="28"/>
    <s v="New Orleans Pelicans"/>
    <n v="141"/>
    <n v="118"/>
    <n v="23"/>
    <m/>
    <m/>
  </r>
  <r>
    <x v="14"/>
    <s v="Milwaukee Bucks"/>
    <n v="94"/>
    <n v="111"/>
    <n v="-17"/>
    <m/>
    <m/>
  </r>
  <r>
    <x v="27"/>
    <s v="Toronto Raptors"/>
    <n v="91"/>
    <n v="112"/>
    <n v="-21"/>
    <m/>
    <m/>
  </r>
  <r>
    <x v="11"/>
    <s v="Denver Nuggets"/>
    <n v="131"/>
    <n v="130"/>
    <n v="1"/>
    <m/>
    <m/>
  </r>
  <r>
    <x v="29"/>
    <s v="New York Knicks"/>
    <n v="115"/>
    <n v="104"/>
    <n v="11"/>
    <m/>
    <m/>
  </r>
  <r>
    <x v="24"/>
    <s v="Oklahoma City Thunder"/>
    <n v="130"/>
    <n v="110"/>
    <n v="20"/>
    <m/>
    <m/>
  </r>
  <r>
    <x v="13"/>
    <s v="Los Angeles Lakers"/>
    <n v="132"/>
    <n v="108"/>
    <n v="24"/>
    <m/>
    <m/>
  </r>
  <r>
    <x v="10"/>
    <s v="Memphis Grizzlies"/>
    <n v="128"/>
    <n v="137"/>
    <n v="-9"/>
    <m/>
    <m/>
  </r>
  <r>
    <x v="12"/>
    <s v="Orlando Magic"/>
    <n v="106"/>
    <n v="110"/>
    <n v="-4"/>
    <m/>
    <m/>
  </r>
  <r>
    <x v="20"/>
    <s v="Detroit Pistons"/>
    <n v="127"/>
    <n v="136"/>
    <n v="-9"/>
    <m/>
    <m/>
  </r>
  <r>
    <x v="21"/>
    <s v="Houston Rockets"/>
    <n v="128"/>
    <n v="108"/>
    <n v="20"/>
    <m/>
    <m/>
  </r>
  <r>
    <x v="3"/>
    <s v="Cleveland Cavaliers"/>
    <n v="126"/>
    <n v="124"/>
    <n v="2"/>
    <m/>
    <m/>
  </r>
  <r>
    <x v="0"/>
    <s v="San Antonio Spurs"/>
    <n v="102"/>
    <n v="117"/>
    <n v="-15"/>
    <m/>
    <m/>
  </r>
  <r>
    <x v="15"/>
    <s v="Dallas Mavericks"/>
    <n v="126"/>
    <n v="116"/>
    <n v="10"/>
    <m/>
    <m/>
  </r>
  <r>
    <x v="1"/>
    <s v="Houston Rockets"/>
    <n v="96"/>
    <n v="119"/>
    <n v="-23"/>
    <m/>
    <m/>
  </r>
  <r>
    <x v="23"/>
    <s v="Minnesota Timberwolves"/>
    <n v="142"/>
    <n v="138"/>
    <n v="4"/>
    <m/>
    <m/>
  </r>
  <r>
    <x v="6"/>
    <s v="Miami Heat"/>
    <n v="111"/>
    <n v="126"/>
    <n v="-15"/>
    <m/>
    <m/>
  </r>
  <r>
    <x v="14"/>
    <s v="Boston Celtics"/>
    <n v="122"/>
    <n v="140"/>
    <n v="-18"/>
    <m/>
    <m/>
  </r>
  <r>
    <x v="4"/>
    <s v="Charlotte Hornets"/>
    <n v="105"/>
    <n v="120"/>
    <n v="-15"/>
    <m/>
    <m/>
  </r>
  <r>
    <x v="26"/>
    <s v="Toronto Raptors"/>
    <n v="138"/>
    <n v="117"/>
    <n v="21"/>
    <m/>
    <m/>
  </r>
  <r>
    <x v="7"/>
    <s v="Philadelphia 76ers"/>
    <n v="109"/>
    <n v="102"/>
    <n v="7"/>
    <m/>
    <m/>
  </r>
  <r>
    <x v="8"/>
    <s v="Milwaukee Bucks"/>
    <n v="125"/>
    <n v="104"/>
    <n v="21"/>
    <m/>
    <m/>
  </r>
  <r>
    <x v="19"/>
    <s v="Phoenix Suns"/>
    <n v="108"/>
    <n v="115"/>
    <n v="-7"/>
    <m/>
    <m/>
  </r>
  <r>
    <x v="10"/>
    <s v="Detroit Pistons"/>
    <n v="131"/>
    <n v="129"/>
    <n v="2"/>
    <m/>
    <m/>
  </r>
  <r>
    <x v="12"/>
    <s v="Los Angeles Clippers"/>
    <n v="103"/>
    <n v="119"/>
    <n v="-16"/>
    <m/>
    <m/>
  </r>
  <r>
    <x v="20"/>
    <s v="Dallas Mavericks"/>
    <n v="113"/>
    <n v="107"/>
    <n v="6"/>
    <m/>
    <m/>
  </r>
  <r>
    <x v="19"/>
    <s v="Phoenix Suns"/>
    <n v="114"/>
    <n v="123"/>
    <n v="-9"/>
    <m/>
    <m/>
  </r>
  <r>
    <x v="4"/>
    <s v="Denver Nuggets"/>
    <n v="127"/>
    <n v="126"/>
    <n v="1"/>
    <m/>
    <m/>
  </r>
  <r>
    <x v="6"/>
    <s v="New York Knicks"/>
    <n v="125"/>
    <n v="128"/>
    <n v="-3"/>
    <m/>
    <m/>
  </r>
  <r>
    <x v="7"/>
    <s v="Milwaukee Bucks"/>
    <n v="103"/>
    <n v="112"/>
    <n v="-9"/>
    <m/>
    <m/>
  </r>
  <r>
    <x v="18"/>
    <s v="Cleveland Cavaliers"/>
    <n v="117"/>
    <n v="100"/>
    <n v="17"/>
    <m/>
    <m/>
  </r>
  <r>
    <x v="27"/>
    <s v="Indiana Pacers"/>
    <n v="142"/>
    <n v="116"/>
    <n v="26"/>
    <m/>
    <m/>
  </r>
  <r>
    <x v="29"/>
    <s v="Brooklyn Nets"/>
    <n v="107"/>
    <n v="123"/>
    <n v="-16"/>
    <m/>
    <m/>
  </r>
  <r>
    <x v="24"/>
    <s v="Utah Jazz"/>
    <n v="114"/>
    <n v="127"/>
    <n v="-13"/>
    <m/>
    <m/>
  </r>
  <r>
    <x v="0"/>
    <s v="Philadelphia 76ers"/>
    <n v="129"/>
    <n v="104"/>
    <n v="25"/>
    <m/>
    <m/>
  </r>
  <r>
    <x v="16"/>
    <s v="Golden State Warriors"/>
    <n v="141"/>
    <n v="127"/>
    <n v="14"/>
    <m/>
    <m/>
  </r>
  <r>
    <x v="12"/>
    <s v="Boston Celtics"/>
    <n v="114"/>
    <n v="108"/>
    <n v="6"/>
    <m/>
    <m/>
  </r>
  <r>
    <x v="26"/>
    <s v="Memphis Grizzlies"/>
    <n v="116"/>
    <n v="112"/>
    <n v="4"/>
    <m/>
    <m/>
  </r>
  <r>
    <x v="21"/>
    <s v="Detroit Pistons"/>
    <n v="112"/>
    <n v="99"/>
    <n v="13"/>
    <m/>
    <m/>
  </r>
  <r>
    <x v="1"/>
    <s v="Sacramento Kings"/>
    <n v="125"/>
    <n v="101"/>
    <n v="24"/>
    <m/>
    <m/>
  </r>
  <r>
    <x v="2"/>
    <s v="Milwaukee Bucks"/>
    <n v="113"/>
    <n v="123"/>
    <n v="-10"/>
    <m/>
    <m/>
  </r>
  <r>
    <x v="26"/>
    <s v="Phoenix Suns"/>
    <n v="101"/>
    <n v="115"/>
    <n v="-14"/>
    <m/>
    <m/>
  </r>
  <r>
    <x v="17"/>
    <s v="Golden State Warriors"/>
    <n v="107"/>
    <n v="120"/>
    <n v="-13"/>
    <m/>
    <m/>
  </r>
  <r>
    <x v="27"/>
    <s v="Denver Nuggets"/>
    <n v="147"/>
    <n v="123"/>
    <n v="24"/>
    <m/>
    <m/>
  </r>
  <r>
    <x v="16"/>
    <s v="Orlando Magic"/>
    <n v="107"/>
    <n v="106"/>
    <n v="1"/>
    <m/>
    <m/>
  </r>
  <r>
    <x v="7"/>
    <s v="Minnesota Timberwolves"/>
    <n v="101"/>
    <n v="136"/>
    <n v="-35"/>
    <m/>
    <m/>
  </r>
  <r>
    <x v="18"/>
    <s v="Indiana Pacers"/>
    <n v="126"/>
    <n v="119"/>
    <n v="7"/>
    <m/>
    <m/>
  </r>
  <r>
    <x v="19"/>
    <s v="New York Knicks"/>
    <n v="125"/>
    <n v="130"/>
    <n v="-5"/>
    <m/>
    <m/>
  </r>
  <r>
    <x v="0"/>
    <s v="Atlanta Hawks"/>
    <n v="140"/>
    <n v="129"/>
    <n v="11"/>
    <m/>
    <m/>
  </r>
  <r>
    <x v="24"/>
    <s v="Cleveland Cavaliers"/>
    <n v="101"/>
    <n v="113"/>
    <n v="-12"/>
    <m/>
    <m/>
  </r>
  <r>
    <x v="12"/>
    <s v="Dallas Mavericks"/>
    <n v="125"/>
    <n v="122"/>
    <n v="3"/>
    <m/>
    <m/>
  </r>
  <r>
    <x v="8"/>
    <s v="Philadelphia 76ers"/>
    <n v="136"/>
    <n v="139"/>
    <n v="-3"/>
    <m/>
    <m/>
  </r>
  <r>
    <x v="10"/>
    <s v="Boston Celtics"/>
    <n v="119"/>
    <n v="129"/>
    <n v="-10"/>
    <m/>
    <m/>
  </r>
  <r>
    <x v="1"/>
    <s v="Detroit Pistons"/>
    <n v="106"/>
    <n v="128"/>
    <n v="-22"/>
    <m/>
    <m/>
  </r>
  <r>
    <x v="21"/>
    <s v="Sacramento Kings"/>
    <n v="131"/>
    <n v="90"/>
    <n v="41"/>
    <m/>
    <m/>
  </r>
  <r>
    <x v="2"/>
    <s v="Golden State Warriors"/>
    <n v="125"/>
    <n v="132"/>
    <n v="-7"/>
    <m/>
    <m/>
  </r>
  <r>
    <x v="6"/>
    <s v="Minnesota Timberwolves"/>
    <n v="126"/>
    <n v="102"/>
    <n v="24"/>
    <m/>
    <m/>
  </r>
  <r>
    <x v="14"/>
    <s v="Orlando Magic"/>
    <n v="110"/>
    <n v="112"/>
    <n v="-2"/>
    <m/>
    <m/>
  </r>
  <r>
    <x v="28"/>
    <s v="Phoenix Suns"/>
    <n v="129"/>
    <n v="113"/>
    <n v="16"/>
    <m/>
    <m/>
  </r>
  <r>
    <x v="7"/>
    <s v="New Orleans Pelicans"/>
    <n v="134"/>
    <n v="118"/>
    <n v="16"/>
    <m/>
    <m/>
  </r>
  <r>
    <x v="24"/>
    <s v="New York Knicks"/>
    <n v="134"/>
    <n v="132"/>
    <n v="2"/>
    <m/>
    <m/>
  </r>
  <r>
    <x v="16"/>
    <s v="Denver Nuggets"/>
    <n v="103"/>
    <n v="106"/>
    <n v="-3"/>
    <m/>
    <m/>
  </r>
  <r>
    <x v="9"/>
    <s v="Washington Wizards"/>
    <n v="113"/>
    <n v="114"/>
    <n v="-1"/>
    <m/>
    <m/>
  </r>
  <r>
    <x v="0"/>
    <s v="Portland Trail Blazers"/>
    <n v="124"/>
    <n v="95"/>
    <n v="29"/>
    <m/>
    <m/>
  </r>
  <r>
    <x v="17"/>
    <s v="Houston Rockets"/>
    <n v="96"/>
    <n v="120"/>
    <n v="-24"/>
    <m/>
    <m/>
  </r>
  <r>
    <x v="25"/>
    <s v="Miami Heat"/>
    <n v="112"/>
    <n v="118"/>
    <n v="-6"/>
    <m/>
    <m/>
  </r>
  <r>
    <x v="11"/>
    <s v="Philadelphia 76ers"/>
    <n v="108"/>
    <n v="123"/>
    <n v="-15"/>
    <m/>
    <m/>
  </r>
  <r>
    <x v="20"/>
    <s v="Boston Celtics"/>
    <n v="106"/>
    <n v="120"/>
    <n v="-14"/>
    <m/>
    <m/>
  </r>
  <r>
    <x v="21"/>
    <s v="Utah Jazz"/>
    <n v="118"/>
    <n v="101"/>
    <n v="17"/>
    <m/>
    <m/>
  </r>
  <r>
    <x v="14"/>
    <s v="San Antonio Spurs"/>
    <n v="113"/>
    <n v="123"/>
    <n v="-10"/>
    <m/>
    <m/>
  </r>
  <r>
    <x v="26"/>
    <s v="Brooklyn Nets"/>
    <n v="119"/>
    <n v="99"/>
    <n v="20"/>
    <m/>
    <m/>
  </r>
  <r>
    <x v="28"/>
    <s v="Denver Nuggets"/>
    <n v="113"/>
    <n v="108"/>
    <n v="5"/>
    <m/>
    <m/>
  </r>
  <r>
    <x v="3"/>
    <s v="Atlanta Hawks"/>
    <n v="99"/>
    <n v="111"/>
    <n v="-12"/>
    <m/>
    <m/>
  </r>
  <r>
    <x v="7"/>
    <s v="Orlando Magic"/>
    <n v="121"/>
    <n v="114"/>
    <n v="7"/>
    <m/>
    <m/>
  </r>
  <r>
    <x v="9"/>
    <s v="Charlotte Hornets"/>
    <n v="122"/>
    <n v="121"/>
    <n v="1"/>
    <m/>
    <m/>
  </r>
  <r>
    <x v="19"/>
    <s v="Portland Trail Blazers"/>
    <n v="109"/>
    <n v="122"/>
    <n v="-13"/>
    <m/>
    <m/>
  </r>
  <r>
    <x v="13"/>
    <s v="Sacramento Kings"/>
    <n v="129"/>
    <n v="102"/>
    <n v="27"/>
    <m/>
    <m/>
  </r>
  <r>
    <x v="15"/>
    <s v="Oklahoma City Thunder"/>
    <n v="94"/>
    <n v="131"/>
    <n v="-37"/>
    <m/>
    <m/>
  </r>
  <r>
    <x v="1"/>
    <s v="Memphis Grizzlies"/>
    <n v="128"/>
    <n v="121"/>
    <n v="7"/>
    <m/>
    <m/>
  </r>
  <r>
    <x v="27"/>
    <s v="Minnesota Timberwolves"/>
    <n v="115"/>
    <n v="125"/>
    <n v="-10"/>
    <m/>
    <m/>
  </r>
  <r>
    <x v="3"/>
    <s v="Philadelphia 76ers"/>
    <n v="119"/>
    <n v="130"/>
    <n v="-11"/>
    <m/>
    <m/>
  </r>
  <r>
    <x v="16"/>
    <s v="Atlanta Hawks"/>
    <n v="134"/>
    <n v="117"/>
    <n v="17"/>
    <m/>
    <m/>
  </r>
  <r>
    <x v="7"/>
    <s v="Charlotte Hornets"/>
    <n v="99"/>
    <n v="112"/>
    <n v="-13"/>
    <m/>
    <m/>
  </r>
  <r>
    <x v="24"/>
    <s v="Portland Trail Blazers"/>
    <n v="110"/>
    <n v="115"/>
    <n v="-5"/>
    <m/>
    <m/>
  </r>
  <r>
    <x v="11"/>
    <s v="Houston Rockets"/>
    <n v="110"/>
    <n v="104"/>
    <n v="6"/>
    <m/>
    <m/>
  </r>
  <r>
    <x v="15"/>
    <s v="Utah Jazz"/>
    <n v="123"/>
    <n v="114"/>
    <n v="9"/>
    <m/>
    <m/>
  </r>
  <r>
    <x v="21"/>
    <s v="Boston Celtics"/>
    <n v="115"/>
    <n v="146"/>
    <n v="-31"/>
    <m/>
    <m/>
  </r>
  <r>
    <x v="28"/>
    <s v="Detroit Pistons"/>
    <n v="110"/>
    <n v="114"/>
    <n v="-4"/>
    <m/>
    <m/>
  </r>
  <r>
    <x v="4"/>
    <s v="Indiana Pacers"/>
    <n v="135"/>
    <n v="127"/>
    <n v="8"/>
    <m/>
    <m/>
  </r>
  <r>
    <x v="17"/>
    <s v="Denver Nuggets"/>
    <n v="127"/>
    <n v="115"/>
    <n v="12"/>
    <m/>
    <m/>
  </r>
  <r>
    <x v="27"/>
    <s v="New Orleans Pelicans"/>
    <n v="125"/>
    <n v="106"/>
    <n v="19"/>
    <m/>
    <m/>
  </r>
  <r>
    <x v="26"/>
    <s v="Minnesota Timberwolves"/>
    <n v="115"/>
    <n v="141"/>
    <n v="-26"/>
    <m/>
    <m/>
  </r>
  <r>
    <x v="13"/>
    <s v="Oklahoma City Thunder"/>
    <n v="108"/>
    <n v="105"/>
    <n v="3"/>
    <m/>
    <m/>
  </r>
  <r>
    <x v="20"/>
    <s v="Milwaukee Bucks"/>
    <n v="98"/>
    <n v="115"/>
    <n v="-17"/>
    <m/>
    <m/>
  </r>
  <r>
    <x v="1"/>
    <s v="Memphis Grizzlies"/>
    <n v="120"/>
    <n v="114"/>
    <n v="6"/>
    <m/>
    <m/>
  </r>
  <r>
    <x v="25"/>
    <s v="New York Knicks"/>
    <n v="121"/>
    <n v="90"/>
    <n v="31"/>
    <m/>
    <m/>
  </r>
  <r>
    <x v="5"/>
    <s v="Chicago Bulls"/>
    <n v="115"/>
    <n v="101"/>
    <n v="14"/>
    <m/>
    <m/>
  </r>
  <r>
    <x v="16"/>
    <s v="Atlanta Hawks"/>
    <n v="118"/>
    <n v="100"/>
    <n v="18"/>
    <m/>
    <m/>
  </r>
  <r>
    <x v="18"/>
    <s v="Phoenix Suns"/>
    <n v="100"/>
    <n v="97"/>
    <n v="3"/>
    <m/>
    <m/>
  </r>
  <r>
    <x v="0"/>
    <s v="Charlotte Hornets"/>
    <n v="97"/>
    <n v="124"/>
    <n v="-27"/>
    <m/>
    <m/>
  </r>
  <r>
    <x v="22"/>
    <s v="Denver Nuggets"/>
    <n v="124"/>
    <n v="125"/>
    <n v="-1"/>
    <m/>
    <m/>
  </r>
  <r>
    <x v="21"/>
    <s v="Golden State Warriors"/>
    <n v="103"/>
    <n v="102"/>
    <n v="1"/>
    <m/>
    <m/>
  </r>
  <r>
    <x v="12"/>
    <s v="Utah Jazz"/>
    <n v="137"/>
    <n v="117"/>
    <n v="20"/>
    <m/>
    <m/>
  </r>
  <r>
    <x v="14"/>
    <s v="Cleveland Cavaliers"/>
    <n v="116"/>
    <n v="120"/>
    <n v="-4"/>
    <m/>
    <m/>
  </r>
  <r>
    <x v="26"/>
    <s v="Orlando Magic"/>
    <n v="120"/>
    <n v="112"/>
    <n v="8"/>
    <m/>
    <m/>
  </r>
  <r>
    <x v="8"/>
    <s v="San Antonio Spurs"/>
    <n v="106"/>
    <n v="105"/>
    <n v="1"/>
    <m/>
    <m/>
  </r>
  <r>
    <x v="29"/>
    <s v="Miami Heat"/>
    <n v="122"/>
    <n v="94"/>
    <n v="28"/>
    <m/>
    <m/>
  </r>
  <r>
    <x v="19"/>
    <s v="Los Angeles Lakers"/>
    <n v="103"/>
    <n v="111"/>
    <n v="-8"/>
    <m/>
    <m/>
  </r>
  <r>
    <x v="20"/>
    <s v="Dallas Mavericks"/>
    <n v="98"/>
    <n v="100"/>
    <n v="-2"/>
    <m/>
    <m/>
  </r>
  <r>
    <x v="5"/>
    <s v="Denver Nuggets"/>
    <n v="110"/>
    <n v="114"/>
    <n v="-4"/>
    <m/>
    <m/>
  </r>
  <r>
    <x v="2"/>
    <s v="Toronto Raptors"/>
    <n v="96"/>
    <n v="97"/>
    <n v="-1"/>
    <m/>
    <m/>
  </r>
  <r>
    <x v="25"/>
    <s v="Chicago Bulls"/>
    <n v="108"/>
    <n v="93"/>
    <n v="15"/>
    <m/>
    <m/>
  </r>
  <r>
    <x v="22"/>
    <s v="Washington Wizards"/>
    <n v="131"/>
    <n v="110"/>
    <n v="21"/>
    <m/>
    <m/>
  </r>
  <r>
    <x v="6"/>
    <s v="New Orleans Pelicans"/>
    <n v="117"/>
    <n v="100"/>
    <n v="17"/>
    <m/>
    <m/>
  </r>
  <r>
    <x v="17"/>
    <s v="Orlando Magic"/>
    <n v="103"/>
    <n v="104"/>
    <n v="-1"/>
    <m/>
    <m/>
  </r>
  <r>
    <x v="3"/>
    <s v="Los Angeles Clippers"/>
    <n v="123"/>
    <n v="111"/>
    <n v="12"/>
    <m/>
    <m/>
  </r>
  <r>
    <x v="8"/>
    <s v="Phoenix Suns"/>
    <n v="98"/>
    <n v="117"/>
    <n v="-19"/>
    <m/>
    <m/>
  </r>
  <r>
    <x v="0"/>
    <s v="Utah Jazz"/>
    <n v="129"/>
    <n v="125"/>
    <n v="4"/>
    <m/>
    <m/>
  </r>
  <r>
    <x v="24"/>
    <s v="Los Angeles Lakers"/>
    <n v="107"/>
    <n v="91"/>
    <n v="16"/>
    <m/>
    <m/>
  </r>
  <r>
    <x v="15"/>
    <s v="Milwaukee Bucks"/>
    <n v="120"/>
    <n v="113"/>
    <n v="7"/>
    <m/>
    <m/>
  </r>
  <r>
    <x v="12"/>
    <s v="Houston Rockets"/>
    <n v="103"/>
    <n v="102"/>
    <n v="1"/>
    <m/>
    <m/>
  </r>
  <r>
    <x v="2"/>
    <s v="Indiana Pacers"/>
    <n v="112"/>
    <n v="114"/>
    <n v="-2"/>
    <m/>
    <m/>
  </r>
  <r>
    <x v="29"/>
    <s v="Cleveland Cavaliers"/>
    <n v="131"/>
    <n v="122"/>
    <n v="9"/>
    <m/>
    <m/>
  </r>
  <r>
    <x v="10"/>
    <s v="Dallas Mavericks"/>
    <n v="116"/>
    <n v="114"/>
    <n v="2"/>
    <m/>
    <m/>
  </r>
  <r>
    <x v="5"/>
    <s v="Toronto Raptors"/>
    <n v="125"/>
    <n v="117"/>
    <n v="8"/>
    <m/>
    <m/>
  </r>
  <r>
    <x v="4"/>
    <s v="Philadelphia 76ers"/>
    <n v="91"/>
    <n v="103"/>
    <n v="-12"/>
    <m/>
    <m/>
  </r>
  <r>
    <x v="26"/>
    <s v="New Orleans Pelicans"/>
    <n v="107"/>
    <n v="128"/>
    <n v="-21"/>
    <m/>
    <m/>
  </r>
  <r>
    <x v="17"/>
    <s v="Los Angeles Clippers"/>
    <n v="105"/>
    <n v="121"/>
    <n v="-16"/>
    <m/>
    <m/>
  </r>
  <r>
    <x v="8"/>
    <s v="Oklahoma City Thunder"/>
    <n v="116"/>
    <n v="117"/>
    <n v="-1"/>
    <m/>
    <m/>
  </r>
  <r>
    <x v="23"/>
    <s v="Atlanta Hawks"/>
    <n v="87"/>
    <n v="110"/>
    <n v="-23"/>
    <m/>
    <m/>
  </r>
  <r>
    <x v="13"/>
    <s v="New York Knicks"/>
    <n v="112"/>
    <n v="107"/>
    <n v="5"/>
    <m/>
    <m/>
  </r>
  <r>
    <x v="15"/>
    <s v="Sacramento Kings"/>
    <n v="137"/>
    <n v="103"/>
    <n v="34"/>
    <m/>
    <m/>
  </r>
  <r>
    <x v="12"/>
    <s v="Houston Rockets"/>
    <n v="111"/>
    <n v="105"/>
    <n v="6"/>
    <m/>
    <m/>
  </r>
  <r>
    <x v="1"/>
    <s v="Milwaukee Bucks"/>
    <n v="101"/>
    <n v="105"/>
    <n v="-4"/>
    <m/>
    <m/>
  </r>
  <r>
    <x v="28"/>
    <s v="Minnesota Timberwolves"/>
    <n v="146"/>
    <n v="134"/>
    <n v="12"/>
    <m/>
    <m/>
  </r>
  <r>
    <x v="14"/>
    <s v="Miami Heat"/>
    <n v="123"/>
    <n v="99"/>
    <n v="24"/>
    <m/>
    <m/>
  </r>
  <r>
    <x v="25"/>
    <s v="Los Angeles Clippers"/>
    <n v="92"/>
    <n v="98"/>
    <n v="-6"/>
    <m/>
    <m/>
  </r>
  <r>
    <x v="5"/>
    <s v="San Antonio Spurs"/>
    <n v="95"/>
    <n v="100"/>
    <n v="-5"/>
    <m/>
    <m/>
  </r>
  <r>
    <x v="7"/>
    <s v="Dallas Mavericks"/>
    <n v="125"/>
    <n v="107"/>
    <n v="18"/>
    <m/>
    <m/>
  </r>
  <r>
    <x v="10"/>
    <s v="Charlotte Hornets"/>
    <n v="95"/>
    <n v="150"/>
    <n v="-55"/>
    <m/>
    <m/>
  </r>
  <r>
    <x v="4"/>
    <s v="New Orleans Pelicans"/>
    <n v="128"/>
    <n v="118"/>
    <n v="10"/>
    <m/>
    <m/>
  </r>
  <r>
    <x v="8"/>
    <s v="Brooklyn Nets"/>
    <n v="103"/>
    <n v="98"/>
    <n v="5"/>
    <m/>
    <m/>
  </r>
  <r>
    <x v="12"/>
    <s v="New York Knicks"/>
    <n v="114"/>
    <n v="123"/>
    <n v="-9"/>
    <m/>
    <m/>
  </r>
  <r>
    <x v="16"/>
    <s v="Philadelphia 76ers"/>
    <n v="116"/>
    <n v="115"/>
    <n v="1"/>
    <m/>
    <m/>
  </r>
  <r>
    <x v="29"/>
    <s v="San Antonio Spurs"/>
    <n v="104"/>
    <n v="103"/>
    <n v="1"/>
    <m/>
    <m/>
  </r>
  <r>
    <x v="0"/>
    <s v="Miami Heat"/>
    <n v="124"/>
    <n v="112"/>
    <n v="12"/>
    <m/>
    <m/>
  </r>
  <r>
    <x v="23"/>
    <s v="Milwaukee Bucks"/>
    <n v="108"/>
    <n v="104"/>
    <n v="4"/>
    <m/>
    <m/>
  </r>
  <r>
    <x v="13"/>
    <s v="Washington Wizards"/>
    <n v="112"/>
    <n v="93"/>
    <n v="19"/>
    <m/>
    <m/>
  </r>
  <r>
    <x v="15"/>
    <s v="Atlanta Hawks"/>
    <n v="111"/>
    <n v="124"/>
    <n v="-13"/>
    <m/>
    <m/>
  </r>
  <r>
    <x v="20"/>
    <s v="Houston Rockets"/>
    <n v="111"/>
    <n v="98"/>
    <n v="13"/>
    <m/>
    <m/>
  </r>
  <r>
    <x v="28"/>
    <s v="Utah Jazz"/>
    <n v="112"/>
    <n v="123"/>
    <n v="-11"/>
    <m/>
    <m/>
  </r>
  <r>
    <x v="14"/>
    <s v="Boston Celtics"/>
    <n v="98"/>
    <n v="96"/>
    <n v="2"/>
    <m/>
    <m/>
  </r>
  <r>
    <x v="16"/>
    <s v="Philadelphia 76ers"/>
    <n v="102"/>
    <n v="115"/>
    <n v="-13"/>
    <m/>
    <m/>
  </r>
  <r>
    <x v="11"/>
    <s v="Brooklyn Nets"/>
    <n v="113"/>
    <n v="105"/>
    <n v="8"/>
    <m/>
    <m/>
  </r>
  <r>
    <x v="20"/>
    <s v="Los Angeles Lakers"/>
    <n v="124"/>
    <n v="112"/>
    <n v="12"/>
    <m/>
    <m/>
  </r>
  <r>
    <x v="21"/>
    <s v="Charlotte Hornets"/>
    <n v="117"/>
    <n v="109"/>
    <n v="8"/>
    <m/>
    <m/>
  </r>
  <r>
    <x v="27"/>
    <s v="Phoenix Suns"/>
    <n v="127"/>
    <n v="121"/>
    <n v="6"/>
    <m/>
    <m/>
  </r>
  <r>
    <x v="18"/>
    <s v="Chicago Bulls"/>
    <n v="119"/>
    <n v="113"/>
    <n v="6"/>
    <m/>
    <m/>
  </r>
  <r>
    <x v="9"/>
    <s v="Minnesota Timberwolves"/>
    <n v="106"/>
    <n v="139"/>
    <n v="-33"/>
    <m/>
    <m/>
  </r>
  <r>
    <x v="19"/>
    <s v="Denver Nuggets"/>
    <n v="116"/>
    <n v="122"/>
    <n v="-6"/>
    <m/>
    <m/>
  </r>
  <r>
    <x v="0"/>
    <s v="San Antonio Spurs"/>
    <n v="119"/>
    <n v="98"/>
    <n v="21"/>
    <m/>
    <m/>
  </r>
  <r>
    <x v="1"/>
    <s v="Atlanta Hawks"/>
    <n v="141"/>
    <n v="116"/>
    <n v="25"/>
    <m/>
    <m/>
  </r>
  <r>
    <x v="15"/>
    <s v="Portland Trail Blazers"/>
    <n v="119"/>
    <n v="97"/>
    <n v="22"/>
    <m/>
    <m/>
  </r>
  <r>
    <x v="14"/>
    <s v="Toronto Raptors"/>
    <n v="101"/>
    <n v="115"/>
    <n v="-14"/>
    <m/>
    <m/>
  </r>
  <r>
    <x v="22"/>
    <s v="Cleveland Cavaliers"/>
    <n v="107"/>
    <n v="133"/>
    <n v="-26"/>
    <m/>
    <m/>
  </r>
  <r>
    <x v="7"/>
    <s v="Utah Jazz"/>
    <n v="128"/>
    <n v="126"/>
    <n v="2"/>
    <m/>
    <m/>
  </r>
  <r>
    <x v="19"/>
    <s v="Brooklyn Nets"/>
    <n v="116"/>
    <n v="113"/>
    <n v="3"/>
    <m/>
    <m/>
  </r>
  <r>
    <x v="11"/>
    <s v="Denver Nuggets"/>
    <n v="109"/>
    <n v="118"/>
    <n v="-9"/>
    <m/>
    <m/>
  </r>
  <r>
    <x v="20"/>
    <s v="New York Knicks"/>
    <n v="112"/>
    <n v="101"/>
    <n v="11"/>
    <m/>
    <m/>
  </r>
  <r>
    <x v="21"/>
    <s v="Washington Wizards"/>
    <n v="119"/>
    <n v="105"/>
    <n v="14"/>
    <m/>
    <m/>
  </r>
  <r>
    <x v="4"/>
    <s v="Memphis Grizzlies"/>
    <n v="118"/>
    <n v="111"/>
    <n v="7"/>
    <m/>
    <m/>
  </r>
  <r>
    <x v="25"/>
    <s v="Phoenix Suns"/>
    <n v="108"/>
    <n v="105"/>
    <n v="3"/>
    <m/>
    <m/>
  </r>
  <r>
    <x v="18"/>
    <s v="Oklahoma City Thunder"/>
    <n v="91"/>
    <n v="111"/>
    <n v="-20"/>
    <m/>
    <m/>
  </r>
  <r>
    <x v="27"/>
    <s v="Boston Celtics"/>
    <n v="114"/>
    <n v="119"/>
    <n v="-5"/>
    <m/>
    <m/>
  </r>
  <r>
    <x v="24"/>
    <s v="Milwaukee Bucks"/>
    <n v="119"/>
    <n v="101"/>
    <n v="18"/>
    <m/>
    <m/>
  </r>
  <r>
    <x v="11"/>
    <s v="Utah Jazz"/>
    <n v="144"/>
    <n v="122"/>
    <n v="22"/>
    <m/>
    <m/>
  </r>
  <r>
    <x v="15"/>
    <s v="New York Knicks"/>
    <n v="126"/>
    <n v="113"/>
    <n v="13"/>
    <m/>
    <m/>
  </r>
  <r>
    <x v="12"/>
    <s v="Atlanta Hawks"/>
    <n v="117"/>
    <n v="101"/>
    <n v="16"/>
    <m/>
    <m/>
  </r>
  <r>
    <x v="1"/>
    <s v="Charlotte Hornets"/>
    <n v="117"/>
    <n v="135"/>
    <n v="-18"/>
    <m/>
    <m/>
  </r>
  <r>
    <x v="14"/>
    <s v="New Orleans Pelicans"/>
    <n v="127"/>
    <n v="119"/>
    <n v="8"/>
    <m/>
    <m/>
  </r>
  <r>
    <x v="22"/>
    <s v="Cleveland Cavaliers"/>
    <n v="115"/>
    <n v="117"/>
    <n v="-2"/>
    <m/>
    <m/>
  </r>
  <r>
    <x v="17"/>
    <s v="Chicago Bulls"/>
    <n v="112"/>
    <n v="109"/>
    <n v="3"/>
    <m/>
    <m/>
  </r>
  <r>
    <x v="16"/>
    <s v="Los Angeles Clippers"/>
    <n v="117"/>
    <n v="121"/>
    <n v="-4"/>
    <m/>
    <m/>
  </r>
  <r>
    <x v="18"/>
    <s v="Minnesota Timberwolves"/>
    <n v="110"/>
    <n v="105"/>
    <n v="5"/>
    <m/>
    <m/>
  </r>
  <r>
    <x v="20"/>
    <s v="Washington Wizards"/>
    <n v="128"/>
    <n v="115"/>
    <n v="13"/>
    <m/>
    <m/>
  </r>
  <r>
    <x v="11"/>
    <s v="Utah Jazz"/>
    <n v="138"/>
    <n v="120"/>
    <n v="18"/>
    <m/>
    <m/>
  </r>
  <r>
    <x v="6"/>
    <s v="Boston Celtics"/>
    <n v="106"/>
    <n v="132"/>
    <n v="-26"/>
    <m/>
    <m/>
  </r>
  <r>
    <x v="25"/>
    <s v="Indiana Pacers"/>
    <n v="121"/>
    <n v="78"/>
    <n v="43"/>
    <m/>
    <m/>
  </r>
  <r>
    <x v="3"/>
    <s v="Phoenix Suns"/>
    <n v="99"/>
    <n v="106"/>
    <n v="-7"/>
    <m/>
    <m/>
  </r>
  <r>
    <x v="27"/>
    <s v="Oklahoma City Thunder"/>
    <n v="122"/>
    <n v="120"/>
    <n v="2"/>
    <m/>
    <m/>
  </r>
  <r>
    <x v="24"/>
    <s v="Minnesota Timberwolves"/>
    <n v="126"/>
    <n v="123"/>
    <n v="3"/>
    <m/>
    <m/>
  </r>
  <r>
    <x v="15"/>
    <s v="Charlotte Hornets"/>
    <n v="136"/>
    <n v="116"/>
    <n v="20"/>
    <m/>
    <m/>
  </r>
  <r>
    <x v="23"/>
    <s v="Washington Wizards"/>
    <n v="121"/>
    <n v="115"/>
    <n v="6"/>
    <m/>
    <m/>
  </r>
  <r>
    <x v="12"/>
    <s v="Los Angeles Lakers"/>
    <n v="132"/>
    <n v="116"/>
    <n v="16"/>
    <m/>
    <m/>
  </r>
  <r>
    <x v="8"/>
    <s v="Orlando Magic"/>
    <n v="126"/>
    <n v="109"/>
    <n v="17"/>
    <m/>
    <m/>
  </r>
  <r>
    <x v="7"/>
    <s v="Brooklyn Nets"/>
    <n v="124"/>
    <n v="102"/>
    <n v="22"/>
    <m/>
    <m/>
  </r>
  <r>
    <x v="18"/>
    <s v="New Orleans Pelicans"/>
    <n v="119"/>
    <n v="110"/>
    <n v="9"/>
    <m/>
    <m/>
  </r>
  <r>
    <x v="23"/>
    <s v="Charlotte Hornets"/>
    <n v="87"/>
    <n v="110"/>
    <n v="-23"/>
    <m/>
    <m/>
  </r>
  <r>
    <x v="20"/>
    <s v="Portland Trail Blazers"/>
    <n v="110"/>
    <n v="117"/>
    <n v="-7"/>
    <m/>
    <m/>
  </r>
  <r>
    <x v="1"/>
    <s v="Toronto Raptors"/>
    <n v="110"/>
    <n v="93"/>
    <n v="17"/>
    <m/>
    <m/>
  </r>
  <r>
    <x v="6"/>
    <s v="Milwaukee Bucks"/>
    <n v="110"/>
    <n v="112"/>
    <n v="-2"/>
    <m/>
    <m/>
  </r>
  <r>
    <x v="28"/>
    <s v="Oklahoma City Thunder"/>
    <n v="104"/>
    <n v="136"/>
    <n v="-32"/>
    <m/>
    <m/>
  </r>
  <r>
    <x v="26"/>
    <s v="Los Angeles Clippers"/>
    <n v="106"/>
    <n v="110"/>
    <n v="-4"/>
    <m/>
    <m/>
  </r>
  <r>
    <x v="3"/>
    <s v="Dallas Mavericks"/>
    <n v="97"/>
    <n v="114"/>
    <n v="-17"/>
    <m/>
    <m/>
  </r>
  <r>
    <x v="24"/>
    <s v="Utah Jazz"/>
    <n v="123"/>
    <n v="110"/>
    <n v="13"/>
    <m/>
    <m/>
  </r>
  <r>
    <x v="22"/>
    <s v="Indiana Pacers"/>
    <n v="113"/>
    <n v="104"/>
    <n v="9"/>
    <m/>
    <m/>
  </r>
  <r>
    <x v="17"/>
    <s v="Phoenix Suns"/>
    <n v="117"/>
    <n v="126"/>
    <n v="-9"/>
    <m/>
    <m/>
  </r>
  <r>
    <x v="25"/>
    <s v="Boston Celtics"/>
    <n v="104"/>
    <n v="103"/>
    <n v="1"/>
    <m/>
    <m/>
  </r>
  <r>
    <x v="15"/>
    <s v="Miami Heat"/>
    <n v="135"/>
    <n v="112"/>
    <n v="23"/>
    <m/>
    <m/>
  </r>
  <r>
    <x v="22"/>
    <s v="Phoenix Suns"/>
    <n v="110"/>
    <n v="116"/>
    <n v="-6"/>
    <m/>
    <m/>
  </r>
  <r>
    <x v="7"/>
    <s v="Los Angeles Clippers"/>
    <n v="138"/>
    <n v="110"/>
    <n v="28"/>
    <m/>
    <m/>
  </r>
  <r>
    <x v="18"/>
    <s v="San Antonio Spurs"/>
    <n v="111"/>
    <n v="106"/>
    <n v="5"/>
    <m/>
    <m/>
  </r>
  <r>
    <x v="10"/>
    <s v="Minnesota Timberwolves"/>
    <n v="127"/>
    <n v="122"/>
    <n v="5"/>
    <m/>
    <m/>
  </r>
  <r>
    <x v="23"/>
    <s v="Los Angeles Lakers"/>
    <n v="107"/>
    <n v="115"/>
    <n v="-8"/>
    <m/>
    <m/>
  </r>
  <r>
    <x v="15"/>
    <s v="Toronto Raptors"/>
    <n v="127"/>
    <n v="145"/>
    <n v="-18"/>
    <m/>
    <m/>
  </r>
  <r>
    <x v="20"/>
    <s v="Miami Heat"/>
    <n v="117"/>
    <n v="130"/>
    <n v="-13"/>
    <m/>
    <m/>
  </r>
  <r>
    <x v="2"/>
    <s v="Cleveland Cavaliers"/>
    <n v="87"/>
    <n v="94"/>
    <n v="-7"/>
    <m/>
    <m/>
  </r>
  <r>
    <x v="5"/>
    <s v="Indiana Pacers"/>
    <n v="119"/>
    <n v="104"/>
    <n v="15"/>
    <m/>
    <m/>
  </r>
  <r>
    <x v="3"/>
    <s v="Brooklyn Nets"/>
    <n v="120"/>
    <n v="66"/>
    <n v="54"/>
    <m/>
    <m/>
  </r>
  <r>
    <x v="8"/>
    <s v="Atlanta Hawks"/>
    <n v="122"/>
    <n v="124"/>
    <n v="-2"/>
    <m/>
    <m/>
  </r>
  <r>
    <x v="19"/>
    <s v="Detroit Pistons"/>
    <n v="104"/>
    <n v="112"/>
    <n v="-8"/>
    <m/>
    <m/>
  </r>
  <r>
    <x v="9"/>
    <s v="Oklahoma City Thunder"/>
    <n v="102"/>
    <n v="122"/>
    <n v="-20"/>
    <m/>
    <m/>
  </r>
  <r>
    <x v="20"/>
    <s v="Toronto Raptors"/>
    <n v="109"/>
    <n v="122"/>
    <n v="-13"/>
    <m/>
    <m/>
  </r>
  <r>
    <x v="4"/>
    <s v="Charlotte Hornets"/>
    <n v="97"/>
    <n v="124"/>
    <n v="-27"/>
    <m/>
    <m/>
  </r>
  <r>
    <x v="22"/>
    <s v="Houston Rockets"/>
    <n v="128"/>
    <n v="122"/>
    <n v="6"/>
    <m/>
    <m/>
  </r>
  <r>
    <x v="26"/>
    <s v="Denver Nuggets"/>
    <n v="97"/>
    <n v="107"/>
    <n v="-10"/>
    <m/>
    <m/>
  </r>
  <r>
    <x v="11"/>
    <s v="Golden State Warriors"/>
    <n v="123"/>
    <n v="115"/>
    <n v="8"/>
    <m/>
    <m/>
  </r>
  <r>
    <x v="29"/>
    <s v="Chicago Bulls"/>
    <n v="115"/>
    <n v="120"/>
    <n v="-5"/>
    <m/>
    <m/>
  </r>
  <r>
    <x v="10"/>
    <s v="San Antonio Spurs"/>
    <n v="109"/>
    <n v="126"/>
    <n v="-17"/>
    <m/>
    <m/>
  </r>
  <r>
    <x v="21"/>
    <s v="Los Angeles Lakers"/>
    <n v="112"/>
    <n v="104"/>
    <n v="8"/>
    <m/>
    <m/>
  </r>
  <r>
    <x v="12"/>
    <s v="Miami Heat"/>
    <n v="127"/>
    <n v="110"/>
    <n v="17"/>
    <m/>
    <m/>
  </r>
  <r>
    <x v="25"/>
    <s v="Houston Rockets"/>
    <n v="104"/>
    <n v="111"/>
    <n v="-7"/>
    <m/>
    <m/>
  </r>
  <r>
    <x v="6"/>
    <s v="Phoenix Suns"/>
    <n v="110"/>
    <n v="103"/>
    <n v="7"/>
    <m/>
    <m/>
  </r>
  <r>
    <x v="17"/>
    <s v="Boston Celtics"/>
    <n v="126"/>
    <n v="130"/>
    <n v="-4"/>
    <m/>
    <m/>
  </r>
  <r>
    <x v="28"/>
    <s v="Sacramento Kings"/>
    <n v="123"/>
    <n v="118"/>
    <n v="5"/>
    <m/>
    <m/>
  </r>
  <r>
    <x v="8"/>
    <s v="New Orleans Pelicans"/>
    <n v="127"/>
    <n v="133"/>
    <n v="-6"/>
    <m/>
    <m/>
  </r>
  <r>
    <x v="0"/>
    <s v="Indiana Pacers"/>
    <n v="114"/>
    <n v="117"/>
    <n v="-3"/>
    <m/>
    <m/>
  </r>
  <r>
    <x v="9"/>
    <s v="Denver Nuggets"/>
    <n v="100"/>
    <n v="102"/>
    <n v="-2"/>
    <m/>
    <m/>
  </r>
  <r>
    <x v="12"/>
    <s v="Toronto Raptors"/>
    <n v="98"/>
    <n v="110"/>
    <n v="-12"/>
    <m/>
    <m/>
  </r>
  <r>
    <x v="2"/>
    <s v="Washington Wizards"/>
    <n v="119"/>
    <n v="115"/>
    <n v="4"/>
    <m/>
    <m/>
  </r>
  <r>
    <x v="22"/>
    <s v="New York Knicks"/>
    <n v="109"/>
    <n v="112"/>
    <n v="-3"/>
    <m/>
    <m/>
  </r>
  <r>
    <x v="4"/>
    <s v="Cleveland Cavaliers"/>
    <n v="105"/>
    <n v="119"/>
    <n v="-14"/>
    <m/>
    <m/>
  </r>
  <r>
    <x v="7"/>
    <s v="Boston Celtics"/>
    <n v="114"/>
    <n v="111"/>
    <n v="3"/>
    <m/>
    <m/>
  </r>
  <r>
    <x v="11"/>
    <s v="Los Angeles Lakers"/>
    <n v="110"/>
    <n v="116"/>
    <n v="-6"/>
    <m/>
    <m/>
  </r>
  <r>
    <x v="10"/>
    <s v="Miami Heat"/>
    <n v="116"/>
    <n v="147"/>
    <n v="-31"/>
    <m/>
    <m/>
  </r>
  <r>
    <x v="25"/>
    <s v="Sacramento Kings"/>
    <n v="139"/>
    <n v="116"/>
    <n v="23"/>
    <m/>
    <m/>
  </r>
  <r>
    <x v="29"/>
    <s v="Golden State Warriors"/>
    <n v="85"/>
    <n v="111"/>
    <n v="-26"/>
    <m/>
    <m/>
  </r>
  <r>
    <x v="0"/>
    <s v="Toronto Raptors"/>
    <n v="101"/>
    <n v="103"/>
    <n v="-2"/>
    <m/>
    <m/>
  </r>
  <r>
    <x v="24"/>
    <s v="New Orleans Pelicans"/>
    <n v="95"/>
    <n v="104"/>
    <n v="-9"/>
    <m/>
    <m/>
  </r>
  <r>
    <x v="13"/>
    <s v="Miami Heat"/>
    <n v="102"/>
    <n v="111"/>
    <n v="-9"/>
    <m/>
    <m/>
  </r>
  <r>
    <x v="21"/>
    <s v="Brooklyn Nets"/>
    <n v="126"/>
    <n v="89"/>
    <n v="37"/>
    <m/>
    <m/>
  </r>
  <r>
    <x v="6"/>
    <s v="Indiana Pacers"/>
    <n v="132"/>
    <n v="116"/>
    <n v="16"/>
    <m/>
    <m/>
  </r>
  <r>
    <x v="2"/>
    <s v="Philadelphia 76ers"/>
    <n v="130"/>
    <n v="93"/>
    <n v="37"/>
    <m/>
    <m/>
  </r>
  <r>
    <x v="28"/>
    <s v="Orlando Magic"/>
    <n v="114"/>
    <n v="98"/>
    <n v="16"/>
    <m/>
    <m/>
  </r>
  <r>
    <x v="5"/>
    <s v="Portland Trail Blazers"/>
    <n v="102"/>
    <n v="94"/>
    <n v="8"/>
    <m/>
    <m/>
  </r>
  <r>
    <x v="7"/>
    <s v="Los Angeles Lakers"/>
    <n v="118"/>
    <n v="129"/>
    <n v="-11"/>
    <m/>
    <m/>
  </r>
  <r>
    <x v="18"/>
    <s v="Memphis Grizzlies"/>
    <n v="108"/>
    <n v="99"/>
    <n v="9"/>
    <m/>
    <m/>
  </r>
  <r>
    <x v="29"/>
    <s v="Golden State Warriors"/>
    <n v="108"/>
    <n v="83"/>
    <n v="25"/>
    <m/>
    <m/>
  </r>
  <r>
    <x v="26"/>
    <s v="Portland Trail Blazers"/>
    <n v="115"/>
    <n v="111"/>
    <n v="4"/>
    <m/>
    <m/>
  </r>
  <r>
    <x v="3"/>
    <s v="Sacramento Kings"/>
    <n v="103"/>
    <n v="87"/>
    <n v="16"/>
    <m/>
    <m/>
  </r>
  <r>
    <x v="0"/>
    <s v="New Orleans Pelicans"/>
    <n v="104"/>
    <n v="95"/>
    <n v="9"/>
    <m/>
    <m/>
  </r>
  <r>
    <x v="22"/>
    <s v="Milwaukee Bucks"/>
    <n v="139"/>
    <n v="122"/>
    <n v="17"/>
    <m/>
    <m/>
  </r>
  <r>
    <x v="23"/>
    <s v="Detroit Pistons"/>
    <n v="107"/>
    <n v="109"/>
    <n v="-2"/>
    <m/>
    <m/>
  </r>
  <r>
    <x v="13"/>
    <s v="Brooklyn Nets"/>
    <n v="106"/>
    <n v="102"/>
    <n v="4"/>
    <m/>
    <m/>
  </r>
  <r>
    <x v="10"/>
    <s v="Los Angeles Clippers"/>
    <n v="103"/>
    <n v="115"/>
    <n v="-12"/>
    <m/>
    <m/>
  </r>
  <r>
    <x v="28"/>
    <s v="Los Angeles Lakers"/>
    <n v="129"/>
    <n v="99"/>
    <n v="30"/>
    <m/>
    <m/>
  </r>
  <r>
    <x v="14"/>
    <s v="Chicago Bulls"/>
    <n v="113"/>
    <n v="110"/>
    <n v="3"/>
    <m/>
    <m/>
  </r>
  <r>
    <x v="5"/>
    <s v="Atlanta Hawks"/>
    <n v="106"/>
    <n v="117"/>
    <n v="-11"/>
    <m/>
    <m/>
  </r>
  <r>
    <x v="27"/>
    <s v="Orlando Magic"/>
    <n v="124"/>
    <n v="133"/>
    <n v="-9"/>
    <m/>
    <m/>
  </r>
  <r>
    <x v="16"/>
    <s v="New York Knicks"/>
    <n v="92"/>
    <n v="119"/>
    <n v="-27"/>
    <m/>
    <m/>
  </r>
  <r>
    <x v="8"/>
    <s v="Charlotte Hornets"/>
    <n v="97"/>
    <n v="112"/>
    <n v="-15"/>
    <m/>
    <m/>
  </r>
  <r>
    <x v="11"/>
    <s v="Minnesota Timberwolves"/>
    <n v="105"/>
    <n v="118"/>
    <n v="-13"/>
    <m/>
    <m/>
  </r>
  <r>
    <x v="10"/>
    <s v="Golden State Warriors"/>
    <n v="124"/>
    <n v="140"/>
    <n v="-16"/>
    <m/>
    <m/>
  </r>
  <r>
    <x v="18"/>
    <s v="San Antonio Spurs"/>
    <n v="99"/>
    <n v="111"/>
    <n v="-12"/>
    <m/>
    <m/>
  </r>
  <r>
    <x v="22"/>
    <s v="Sacramento Kings"/>
    <n v="113"/>
    <n v="111"/>
    <n v="2"/>
    <m/>
    <m/>
  </r>
  <r>
    <x v="26"/>
    <s v="Milwaukee Bucks"/>
    <n v="109"/>
    <n v="99"/>
    <n v="10"/>
    <m/>
    <m/>
  </r>
  <r>
    <x v="6"/>
    <s v="Houston Rockets"/>
    <n v="86"/>
    <n v="104"/>
    <n v="-18"/>
    <m/>
    <m/>
  </r>
  <r>
    <x v="7"/>
    <s v="Miami Heat"/>
    <n v="113"/>
    <n v="116"/>
    <n v="-3"/>
    <m/>
    <m/>
  </r>
  <r>
    <x v="11"/>
    <s v="Charlotte Hornets"/>
    <n v="121"/>
    <n v="123"/>
    <n v="-2"/>
    <m/>
    <m/>
  </r>
  <r>
    <x v="23"/>
    <s v="Brooklyn Nets"/>
    <n v="107"/>
    <n v="103"/>
    <n v="4"/>
    <m/>
    <m/>
  </r>
  <r>
    <x v="13"/>
    <s v="Detroit Pistons"/>
    <n v="114"/>
    <n v="96"/>
    <n v="18"/>
    <m/>
    <m/>
  </r>
  <r>
    <x v="29"/>
    <s v="Oklahoma City Thunder"/>
    <n v="123"/>
    <n v="111"/>
    <n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379DD-5694-4F43-98E5-8A13B5C1913B}" name="PivotTable1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M40" firstHeaderRow="1" firstDataRow="1" firstDataCol="1"/>
  <pivotFields count="7">
    <pivotField axis="axisRow" showAll="0">
      <items count="31">
        <item x="6"/>
        <item x="5"/>
        <item x="17"/>
        <item x="2"/>
        <item x="7"/>
        <item x="28"/>
        <item x="11"/>
        <item x="23"/>
        <item x="25"/>
        <item x="15"/>
        <item x="18"/>
        <item x="14"/>
        <item x="21"/>
        <item x="1"/>
        <item x="8"/>
        <item x="27"/>
        <item x="9"/>
        <item x="29"/>
        <item x="19"/>
        <item x="3"/>
        <item x="0"/>
        <item x="4"/>
        <item x="22"/>
        <item x="13"/>
        <item x="12"/>
        <item x="20"/>
        <item x="24"/>
        <item x="16"/>
        <item x="10"/>
        <item x="2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E3ED3-8F82-844C-B7F4-D947D4C39EB4}" autoFormatId="16" applyNumberFormats="0" applyBorderFormats="0" applyFontFormats="0" applyPatternFormats="0" applyAlignmentFormats="0" applyWidthHeightFormats="0">
  <queryTableRefresh nextId="6">
    <queryTableFields count="5">
      <queryTableField id="1" name="Home Team" tableColumnId="1"/>
      <queryTableField id="2" name="Away Team" tableColumnId="2"/>
      <queryTableField id="3" name="Home Points" tableColumnId="3"/>
      <queryTableField id="4" name="Away Points" tableColumnId="4"/>
      <queryTableField id="5" name="Home Margi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FAF8A7-E1F2-7144-B3F0-6D027B9E6660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Home Team" tableColumnId="1"/>
      <queryTableField id="2" name="Away Team" tableColumnId="2"/>
      <queryTableField id="3" name="Home Points" tableColumnId="3"/>
      <queryTableField id="4" name="Away Points" tableColumnId="4"/>
      <queryTableField id="5" name="Home Margin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4467E-710B-D54B-BBF7-08A801E4311C}" name="NBA_2026_Results" displayName="NBA_2026_Results" ref="A1:E716" tableType="queryTable" totalsRowShown="0">
  <autoFilter ref="A1:E716" xr:uid="{E474467E-710B-D54B-BBF7-08A801E4311C}"/>
  <tableColumns count="5">
    <tableColumn id="1" xr3:uid="{A85548CC-77D7-CA44-A9A9-E03120611326}" uniqueName="1" name="Home Team" queryTableFieldId="1" dataDxfId="8"/>
    <tableColumn id="2" xr3:uid="{933533C0-DEA1-5B4D-9AFB-E0369D9F28B3}" uniqueName="2" name="Away Team" queryTableFieldId="2" dataDxfId="7"/>
    <tableColumn id="3" xr3:uid="{F50354E1-40B0-874C-8807-81FEA8704F3E}" uniqueName="3" name="Home Points" queryTableFieldId="3"/>
    <tableColumn id="4" xr3:uid="{78B306EB-7A62-B344-8F05-8387B6207E28}" uniqueName="4" name="Away Points" queryTableFieldId="4"/>
    <tableColumn id="5" xr3:uid="{A1D5F448-B60B-1043-9430-49DB4035DA52}" uniqueName="5" name="Home Margin" queryTableFieldId="5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59863-CD73-3A47-B1E5-D2690405C3BB}" name="NBA_2026_Results3" displayName="NBA_2026_Results3" ref="D6:J721" tableType="queryTable" totalsRowShown="0">
  <autoFilter ref="D6:J721" xr:uid="{A4459863-CD73-3A47-B1E5-D2690405C3BB}"/>
  <tableColumns count="7">
    <tableColumn id="1" xr3:uid="{94C47F55-05F7-8247-8B2A-004347A89564}" uniqueName="1" name="Home Team" queryTableFieldId="1" dataDxfId="6"/>
    <tableColumn id="2" xr3:uid="{43B5660B-0FE1-9041-A280-E0A438AAB911}" uniqueName="2" name="Away Team" queryTableFieldId="2" dataDxfId="5"/>
    <tableColumn id="3" xr3:uid="{98407DCC-D62F-3A47-A81A-BD279A3059C9}" uniqueName="3" name="Home Points" queryTableFieldId="3"/>
    <tableColumn id="4" xr3:uid="{21E5B6F4-B83F-064D-A03A-85545A209D40}" uniqueName="4" name="Away Points" queryTableFieldId="4"/>
    <tableColumn id="5" xr3:uid="{3B7E2564-CC29-0840-A60C-3C379C2E8D99}" uniqueName="5" name="Home Margin" queryTableFieldId="5"/>
    <tableColumn id="6" xr3:uid="{4EA8318C-57E9-C142-985B-DE16D412F755}" uniqueName="6" name="Home Forecast" queryTableFieldId="6" dataDxfId="4">
      <calculatedColumnFormula>VLOOKUP(NBA_2026_Results3[[#This Row],[Home Team]], TeamRating, 2, FALSE) - VLOOKUP(NBA_2026_Results3[[#This Row],[Away Team]], TeamRating, 2, FALSE)+HomeEdge</calculatedColumnFormula>
    </tableColumn>
    <tableColumn id="7" xr3:uid="{944770FA-6FC1-1749-B768-E28D1F3318C7}" uniqueName="7" name="Squared Error" queryTableFieldId="7" dataDxfId="3">
      <calculatedColumnFormula>(NBA_2026_Results3[[#This Row],[Home Margin]]-NBA_2026_Results3[[#This Row],[Home Forecast]])^2</calculatedColumnFormula>
    </tableColumn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C9767-4E07-EF41-9E2E-B905DC271846}" name="Table3" displayName="Table3" ref="E1:F4" totalsRowShown="0" headerRowDxfId="2">
  <autoFilter ref="E1:F4" xr:uid="{1C8C9767-4E07-EF41-9E2E-B905DC271846}"/>
  <tableColumns count="2">
    <tableColumn id="1" xr3:uid="{E3CF0FE2-5E31-6A4A-A011-68A5AA2D600D}" name="Choosen Team"/>
    <tableColumn id="2" xr3:uid="{0731BD38-422D-894A-89D5-A7A429AFF935}" name="Rating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CAA134-9367-294F-9F24-1B40E8C0F985}" name="Table4" displayName="Table4" ref="M1:N5" totalsRowShown="0" headerRowDxfId="1">
  <autoFilter ref="M1:N5" xr:uid="{1DCAA134-9367-294F-9F24-1B40E8C0F985}"/>
  <tableColumns count="2">
    <tableColumn id="1" xr3:uid="{17E65A80-3546-3A48-AE1D-46B05801F9A8}" name="Metric" dataDxfId="0"/>
    <tableColumn id="2" xr3:uid="{E1E472D6-DB44-B54D-ADAD-4BFFE5FA5B3A}" name="Valu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CA2A-DFF7-BC4A-8B17-2CA30AC3E2B5}">
  <dimension ref="A1:E716"/>
  <sheetViews>
    <sheetView workbookViewId="0">
      <selection sqref="A1:E716"/>
    </sheetView>
  </sheetViews>
  <sheetFormatPr baseColWidth="10" defaultRowHeight="16" x14ac:dyDescent="0.2"/>
  <cols>
    <col min="1" max="5" width="2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125</v>
      </c>
      <c r="D2">
        <v>124</v>
      </c>
      <c r="E2">
        <v>1</v>
      </c>
    </row>
    <row r="3" spans="1:5" x14ac:dyDescent="0.2">
      <c r="A3" t="s">
        <v>7</v>
      </c>
      <c r="B3" t="s">
        <v>8</v>
      </c>
      <c r="C3">
        <v>109</v>
      </c>
      <c r="D3">
        <v>119</v>
      </c>
      <c r="E3">
        <v>-10</v>
      </c>
    </row>
    <row r="4" spans="1:5" x14ac:dyDescent="0.2">
      <c r="A4" t="s">
        <v>9</v>
      </c>
      <c r="B4" t="s">
        <v>10</v>
      </c>
      <c r="C4">
        <v>136</v>
      </c>
      <c r="D4">
        <v>117</v>
      </c>
      <c r="E4">
        <v>19</v>
      </c>
    </row>
    <row r="5" spans="1:5" x14ac:dyDescent="0.2">
      <c r="A5" t="s">
        <v>11</v>
      </c>
      <c r="B5" t="s">
        <v>12</v>
      </c>
      <c r="C5">
        <v>119</v>
      </c>
      <c r="D5">
        <v>111</v>
      </c>
      <c r="E5">
        <v>8</v>
      </c>
    </row>
    <row r="6" spans="1:5" x14ac:dyDescent="0.2">
      <c r="A6" t="s">
        <v>13</v>
      </c>
      <c r="B6" t="s">
        <v>14</v>
      </c>
      <c r="C6">
        <v>125</v>
      </c>
      <c r="D6">
        <v>121</v>
      </c>
      <c r="E6">
        <v>4</v>
      </c>
    </row>
    <row r="7" spans="1:5" x14ac:dyDescent="0.2">
      <c r="A7" t="s">
        <v>15</v>
      </c>
      <c r="B7" t="s">
        <v>16</v>
      </c>
      <c r="C7">
        <v>116</v>
      </c>
      <c r="D7">
        <v>117</v>
      </c>
      <c r="E7">
        <v>-1</v>
      </c>
    </row>
    <row r="8" spans="1:5" x14ac:dyDescent="0.2">
      <c r="A8" t="s">
        <v>17</v>
      </c>
      <c r="B8" t="s">
        <v>18</v>
      </c>
      <c r="C8">
        <v>118</v>
      </c>
      <c r="D8">
        <v>138</v>
      </c>
      <c r="E8">
        <v>-20</v>
      </c>
    </row>
    <row r="9" spans="1:5" x14ac:dyDescent="0.2">
      <c r="A9" t="s">
        <v>19</v>
      </c>
      <c r="B9" t="s">
        <v>20</v>
      </c>
      <c r="C9">
        <v>115</v>
      </c>
      <c r="D9">
        <v>111</v>
      </c>
      <c r="E9">
        <v>4</v>
      </c>
    </row>
    <row r="10" spans="1:5" x14ac:dyDescent="0.2">
      <c r="A10" t="s">
        <v>21</v>
      </c>
      <c r="B10" t="s">
        <v>22</v>
      </c>
      <c r="C10">
        <v>128</v>
      </c>
      <c r="D10">
        <v>122</v>
      </c>
      <c r="E10">
        <v>6</v>
      </c>
    </row>
    <row r="11" spans="1:5" x14ac:dyDescent="0.2">
      <c r="A11" t="s">
        <v>23</v>
      </c>
      <c r="B11" t="s">
        <v>24</v>
      </c>
      <c r="C11">
        <v>133</v>
      </c>
      <c r="D11">
        <v>120</v>
      </c>
      <c r="E11">
        <v>13</v>
      </c>
    </row>
    <row r="12" spans="1:5" x14ac:dyDescent="0.2">
      <c r="A12" t="s">
        <v>25</v>
      </c>
      <c r="B12" t="s">
        <v>26</v>
      </c>
      <c r="C12">
        <v>129</v>
      </c>
      <c r="D12">
        <v>108</v>
      </c>
      <c r="E12">
        <v>21</v>
      </c>
    </row>
    <row r="13" spans="1:5" x14ac:dyDescent="0.2">
      <c r="A13" t="s">
        <v>27</v>
      </c>
      <c r="B13" t="s">
        <v>28</v>
      </c>
      <c r="C13">
        <v>92</v>
      </c>
      <c r="D13">
        <v>125</v>
      </c>
      <c r="E13">
        <v>-33</v>
      </c>
    </row>
    <row r="14" spans="1:5" x14ac:dyDescent="0.2">
      <c r="A14" t="s">
        <v>29</v>
      </c>
      <c r="B14" t="s">
        <v>30</v>
      </c>
      <c r="C14">
        <v>114</v>
      </c>
      <c r="D14">
        <v>118</v>
      </c>
      <c r="E14">
        <v>-4</v>
      </c>
    </row>
    <row r="15" spans="1:5" x14ac:dyDescent="0.2">
      <c r="A15" t="s">
        <v>31</v>
      </c>
      <c r="B15" t="s">
        <v>32</v>
      </c>
      <c r="C15">
        <v>120</v>
      </c>
      <c r="D15">
        <v>116</v>
      </c>
      <c r="E15">
        <v>4</v>
      </c>
    </row>
    <row r="16" spans="1:5" x14ac:dyDescent="0.2">
      <c r="A16" t="s">
        <v>33</v>
      </c>
      <c r="B16" t="s">
        <v>5</v>
      </c>
      <c r="C16">
        <v>135</v>
      </c>
      <c r="D16">
        <v>141</v>
      </c>
      <c r="E16">
        <v>-6</v>
      </c>
    </row>
    <row r="17" spans="1:5" x14ac:dyDescent="0.2">
      <c r="A17" t="s">
        <v>8</v>
      </c>
      <c r="B17" t="s">
        <v>34</v>
      </c>
      <c r="C17">
        <v>137</v>
      </c>
      <c r="D17">
        <v>131</v>
      </c>
      <c r="E17">
        <v>6</v>
      </c>
    </row>
    <row r="18" spans="1:5" x14ac:dyDescent="0.2">
      <c r="A18" t="s">
        <v>18</v>
      </c>
      <c r="B18" t="s">
        <v>23</v>
      </c>
      <c r="C18">
        <v>116</v>
      </c>
      <c r="D18">
        <v>122</v>
      </c>
      <c r="E18">
        <v>-6</v>
      </c>
    </row>
    <row r="19" spans="1:5" x14ac:dyDescent="0.2">
      <c r="A19" t="s">
        <v>13</v>
      </c>
      <c r="B19" t="s">
        <v>17</v>
      </c>
      <c r="C19">
        <v>107</v>
      </c>
      <c r="D19">
        <v>111</v>
      </c>
      <c r="E19">
        <v>-4</v>
      </c>
    </row>
    <row r="20" spans="1:5" x14ac:dyDescent="0.2">
      <c r="A20" t="s">
        <v>10</v>
      </c>
      <c r="B20" t="s">
        <v>12</v>
      </c>
      <c r="C20">
        <v>124</v>
      </c>
      <c r="D20">
        <v>131</v>
      </c>
      <c r="E20">
        <v>-7</v>
      </c>
    </row>
    <row r="21" spans="1:5" x14ac:dyDescent="0.2">
      <c r="A21" t="s">
        <v>11</v>
      </c>
      <c r="B21" t="s">
        <v>15</v>
      </c>
      <c r="C21">
        <v>105</v>
      </c>
      <c r="D21">
        <v>95</v>
      </c>
      <c r="E21">
        <v>10</v>
      </c>
    </row>
    <row r="22" spans="1:5" x14ac:dyDescent="0.2">
      <c r="A22" t="s">
        <v>6</v>
      </c>
      <c r="B22" t="s">
        <v>20</v>
      </c>
      <c r="C22">
        <v>111</v>
      </c>
      <c r="D22">
        <v>115</v>
      </c>
      <c r="E22">
        <v>-4</v>
      </c>
    </row>
    <row r="23" spans="1:5" x14ac:dyDescent="0.2">
      <c r="A23" t="s">
        <v>22</v>
      </c>
      <c r="B23" t="s">
        <v>28</v>
      </c>
      <c r="C23">
        <v>116</v>
      </c>
      <c r="D23">
        <v>120</v>
      </c>
      <c r="E23">
        <v>-4</v>
      </c>
    </row>
    <row r="24" spans="1:5" x14ac:dyDescent="0.2">
      <c r="A24" t="s">
        <v>21</v>
      </c>
      <c r="B24" t="s">
        <v>14</v>
      </c>
      <c r="C24">
        <v>114</v>
      </c>
      <c r="D24">
        <v>146</v>
      </c>
      <c r="E24">
        <v>-32</v>
      </c>
    </row>
    <row r="25" spans="1:5" x14ac:dyDescent="0.2">
      <c r="A25" t="s">
        <v>27</v>
      </c>
      <c r="B25" t="s">
        <v>24</v>
      </c>
      <c r="C25">
        <v>107</v>
      </c>
      <c r="D25">
        <v>117</v>
      </c>
      <c r="E25">
        <v>-10</v>
      </c>
    </row>
    <row r="26" spans="1:5" x14ac:dyDescent="0.2">
      <c r="A26" t="s">
        <v>7</v>
      </c>
      <c r="B26" t="s">
        <v>30</v>
      </c>
      <c r="C26">
        <v>128</v>
      </c>
      <c r="D26">
        <v>110</v>
      </c>
      <c r="E26">
        <v>18</v>
      </c>
    </row>
    <row r="27" spans="1:5" x14ac:dyDescent="0.2">
      <c r="A27" t="s">
        <v>29</v>
      </c>
      <c r="B27" t="s">
        <v>8</v>
      </c>
      <c r="C27">
        <v>139</v>
      </c>
      <c r="D27">
        <v>119</v>
      </c>
      <c r="E27">
        <v>20</v>
      </c>
    </row>
    <row r="28" spans="1:5" x14ac:dyDescent="0.2">
      <c r="A28" t="s">
        <v>32</v>
      </c>
      <c r="B28" t="s">
        <v>25</v>
      </c>
      <c r="C28">
        <v>105</v>
      </c>
      <c r="D28">
        <v>104</v>
      </c>
      <c r="E28">
        <v>1</v>
      </c>
    </row>
    <row r="29" spans="1:5" x14ac:dyDescent="0.2">
      <c r="A29" t="s">
        <v>26</v>
      </c>
      <c r="B29" t="s">
        <v>31</v>
      </c>
      <c r="C29">
        <v>129</v>
      </c>
      <c r="D29">
        <v>102</v>
      </c>
      <c r="E29">
        <v>27</v>
      </c>
    </row>
    <row r="30" spans="1:5" x14ac:dyDescent="0.2">
      <c r="A30" t="s">
        <v>13</v>
      </c>
      <c r="B30" t="s">
        <v>19</v>
      </c>
      <c r="C30">
        <v>98</v>
      </c>
      <c r="D30">
        <v>110</v>
      </c>
      <c r="E30">
        <v>-12</v>
      </c>
    </row>
    <row r="31" spans="1:5" x14ac:dyDescent="0.2">
      <c r="A31" t="s">
        <v>17</v>
      </c>
      <c r="B31" t="s">
        <v>5</v>
      </c>
      <c r="C31">
        <v>100</v>
      </c>
      <c r="D31">
        <v>117</v>
      </c>
      <c r="E31">
        <v>-17</v>
      </c>
    </row>
    <row r="32" spans="1:5" x14ac:dyDescent="0.2">
      <c r="A32" t="s">
        <v>16</v>
      </c>
      <c r="B32" t="s">
        <v>9</v>
      </c>
      <c r="C32">
        <v>125</v>
      </c>
      <c r="D32">
        <v>121</v>
      </c>
      <c r="E32">
        <v>4</v>
      </c>
    </row>
    <row r="33" spans="1:5" x14ac:dyDescent="0.2">
      <c r="A33" t="s">
        <v>21</v>
      </c>
      <c r="B33" t="s">
        <v>33</v>
      </c>
      <c r="C33">
        <v>128</v>
      </c>
      <c r="D33">
        <v>103</v>
      </c>
      <c r="E33">
        <v>25</v>
      </c>
    </row>
    <row r="34" spans="1:5" x14ac:dyDescent="0.2">
      <c r="A34" t="s">
        <v>34</v>
      </c>
      <c r="B34" t="s">
        <v>31</v>
      </c>
      <c r="C34">
        <v>133</v>
      </c>
      <c r="D34">
        <v>111</v>
      </c>
      <c r="E34">
        <v>22</v>
      </c>
    </row>
    <row r="35" spans="1:5" x14ac:dyDescent="0.2">
      <c r="A35" t="s">
        <v>28</v>
      </c>
      <c r="B35" t="s">
        <v>10</v>
      </c>
      <c r="C35">
        <v>118</v>
      </c>
      <c r="D35">
        <v>107</v>
      </c>
      <c r="E35">
        <v>11</v>
      </c>
    </row>
    <row r="36" spans="1:5" x14ac:dyDescent="0.2">
      <c r="A36" t="s">
        <v>20</v>
      </c>
      <c r="B36" t="s">
        <v>15</v>
      </c>
      <c r="C36">
        <v>119</v>
      </c>
      <c r="D36">
        <v>113</v>
      </c>
      <c r="E36">
        <v>6</v>
      </c>
    </row>
    <row r="37" spans="1:5" x14ac:dyDescent="0.2">
      <c r="A37" t="s">
        <v>24</v>
      </c>
      <c r="B37" t="s">
        <v>9</v>
      </c>
      <c r="C37">
        <v>113</v>
      </c>
      <c r="D37">
        <v>139</v>
      </c>
      <c r="E37">
        <v>-26</v>
      </c>
    </row>
    <row r="38" spans="1:5" x14ac:dyDescent="0.2">
      <c r="A38" t="s">
        <v>14</v>
      </c>
      <c r="B38" t="s">
        <v>11</v>
      </c>
      <c r="C38">
        <v>115</v>
      </c>
      <c r="D38">
        <v>107</v>
      </c>
      <c r="E38">
        <v>8</v>
      </c>
    </row>
    <row r="39" spans="1:5" x14ac:dyDescent="0.2">
      <c r="A39" t="s">
        <v>12</v>
      </c>
      <c r="B39" t="s">
        <v>23</v>
      </c>
      <c r="C39">
        <v>118</v>
      </c>
      <c r="D39">
        <v>113</v>
      </c>
      <c r="E39">
        <v>5</v>
      </c>
    </row>
    <row r="40" spans="1:5" x14ac:dyDescent="0.2">
      <c r="A40" t="s">
        <v>30</v>
      </c>
      <c r="B40" t="s">
        <v>33</v>
      </c>
      <c r="C40">
        <v>114</v>
      </c>
      <c r="D40">
        <v>110</v>
      </c>
      <c r="E40">
        <v>4</v>
      </c>
    </row>
    <row r="41" spans="1:5" x14ac:dyDescent="0.2">
      <c r="A41" t="s">
        <v>27</v>
      </c>
      <c r="B41" t="s">
        <v>18</v>
      </c>
      <c r="C41">
        <v>139</v>
      </c>
      <c r="D41">
        <v>129</v>
      </c>
      <c r="E41">
        <v>10</v>
      </c>
    </row>
    <row r="42" spans="1:5" x14ac:dyDescent="0.2">
      <c r="A42" t="s">
        <v>32</v>
      </c>
      <c r="B42" t="s">
        <v>7</v>
      </c>
      <c r="C42">
        <v>120</v>
      </c>
      <c r="D42">
        <v>127</v>
      </c>
      <c r="E42">
        <v>-7</v>
      </c>
    </row>
    <row r="43" spans="1:5" x14ac:dyDescent="0.2">
      <c r="A43" t="s">
        <v>26</v>
      </c>
      <c r="B43" t="s">
        <v>29</v>
      </c>
      <c r="C43">
        <v>114</v>
      </c>
      <c r="D43">
        <v>107</v>
      </c>
      <c r="E43">
        <v>7</v>
      </c>
    </row>
    <row r="44" spans="1:5" x14ac:dyDescent="0.2">
      <c r="A44" t="s">
        <v>20</v>
      </c>
      <c r="B44" t="s">
        <v>12</v>
      </c>
      <c r="C44">
        <v>95</v>
      </c>
      <c r="D44">
        <v>116</v>
      </c>
      <c r="E44">
        <v>-21</v>
      </c>
    </row>
    <row r="45" spans="1:5" x14ac:dyDescent="0.2">
      <c r="A45" t="s">
        <v>16</v>
      </c>
      <c r="B45" t="s">
        <v>13</v>
      </c>
      <c r="C45">
        <v>136</v>
      </c>
      <c r="D45">
        <v>124</v>
      </c>
      <c r="E45">
        <v>12</v>
      </c>
    </row>
    <row r="46" spans="1:5" x14ac:dyDescent="0.2">
      <c r="A46" t="s">
        <v>19</v>
      </c>
      <c r="B46" t="s">
        <v>17</v>
      </c>
      <c r="C46">
        <v>128</v>
      </c>
      <c r="D46">
        <v>123</v>
      </c>
      <c r="E46">
        <v>5</v>
      </c>
    </row>
    <row r="47" spans="1:5" x14ac:dyDescent="0.2">
      <c r="A47" t="s">
        <v>6</v>
      </c>
      <c r="B47" t="s">
        <v>10</v>
      </c>
      <c r="C47">
        <v>137</v>
      </c>
      <c r="D47">
        <v>109</v>
      </c>
      <c r="E47">
        <v>28</v>
      </c>
    </row>
    <row r="48" spans="1:5" x14ac:dyDescent="0.2">
      <c r="A48" t="s">
        <v>22</v>
      </c>
      <c r="B48" t="s">
        <v>15</v>
      </c>
      <c r="C48">
        <v>90</v>
      </c>
      <c r="D48">
        <v>122</v>
      </c>
      <c r="E48">
        <v>-32</v>
      </c>
    </row>
    <row r="49" spans="1:5" x14ac:dyDescent="0.2">
      <c r="A49" t="s">
        <v>28</v>
      </c>
      <c r="B49" t="s">
        <v>18</v>
      </c>
      <c r="C49">
        <v>121</v>
      </c>
      <c r="D49">
        <v>103</v>
      </c>
      <c r="E49">
        <v>18</v>
      </c>
    </row>
    <row r="50" spans="1:5" x14ac:dyDescent="0.2">
      <c r="A50" t="s">
        <v>27</v>
      </c>
      <c r="B50" t="s">
        <v>5</v>
      </c>
      <c r="C50">
        <v>94</v>
      </c>
      <c r="D50">
        <v>101</v>
      </c>
      <c r="E50">
        <v>-7</v>
      </c>
    </row>
    <row r="51" spans="1:5" x14ac:dyDescent="0.2">
      <c r="A51" t="s">
        <v>25</v>
      </c>
      <c r="B51" t="s">
        <v>31</v>
      </c>
      <c r="C51">
        <v>138</v>
      </c>
      <c r="D51">
        <v>134</v>
      </c>
      <c r="E51">
        <v>4</v>
      </c>
    </row>
    <row r="52" spans="1:5" x14ac:dyDescent="0.2">
      <c r="A52" t="s">
        <v>30</v>
      </c>
      <c r="B52" t="s">
        <v>34</v>
      </c>
      <c r="C52">
        <v>114</v>
      </c>
      <c r="D52">
        <v>127</v>
      </c>
      <c r="E52">
        <v>-13</v>
      </c>
    </row>
    <row r="53" spans="1:5" x14ac:dyDescent="0.2">
      <c r="A53" t="s">
        <v>8</v>
      </c>
      <c r="B53" t="s">
        <v>21</v>
      </c>
      <c r="C53">
        <v>131</v>
      </c>
      <c r="D53">
        <v>118</v>
      </c>
      <c r="E53">
        <v>13</v>
      </c>
    </row>
    <row r="54" spans="1:5" x14ac:dyDescent="0.2">
      <c r="A54" t="s">
        <v>7</v>
      </c>
      <c r="B54" t="s">
        <v>29</v>
      </c>
      <c r="C54">
        <v>108</v>
      </c>
      <c r="D54">
        <v>122</v>
      </c>
      <c r="E54">
        <v>-14</v>
      </c>
    </row>
    <row r="55" spans="1:5" x14ac:dyDescent="0.2">
      <c r="A55" t="s">
        <v>24</v>
      </c>
      <c r="B55" t="s">
        <v>16</v>
      </c>
      <c r="C55">
        <v>134</v>
      </c>
      <c r="D55">
        <v>139</v>
      </c>
      <c r="E55">
        <v>-5</v>
      </c>
    </row>
    <row r="56" spans="1:5" x14ac:dyDescent="0.2">
      <c r="A56" t="s">
        <v>14</v>
      </c>
      <c r="B56" t="s">
        <v>9</v>
      </c>
      <c r="C56">
        <v>144</v>
      </c>
      <c r="D56">
        <v>117</v>
      </c>
      <c r="E56">
        <v>27</v>
      </c>
    </row>
    <row r="57" spans="1:5" x14ac:dyDescent="0.2">
      <c r="A57" t="s">
        <v>23</v>
      </c>
      <c r="B57" t="s">
        <v>11</v>
      </c>
      <c r="C57">
        <v>121</v>
      </c>
      <c r="D57">
        <v>111</v>
      </c>
      <c r="E57">
        <v>10</v>
      </c>
    </row>
    <row r="58" spans="1:5" x14ac:dyDescent="0.2">
      <c r="A58" t="s">
        <v>5</v>
      </c>
      <c r="B58" t="s">
        <v>32</v>
      </c>
      <c r="C58">
        <v>107</v>
      </c>
      <c r="D58">
        <v>101</v>
      </c>
      <c r="E58">
        <v>6</v>
      </c>
    </row>
    <row r="59" spans="1:5" x14ac:dyDescent="0.2">
      <c r="A59" t="s">
        <v>8</v>
      </c>
      <c r="B59" t="s">
        <v>26</v>
      </c>
      <c r="C59">
        <v>98</v>
      </c>
      <c r="D59">
        <v>79</v>
      </c>
      <c r="E59">
        <v>19</v>
      </c>
    </row>
    <row r="60" spans="1:5" x14ac:dyDescent="0.2">
      <c r="A60" t="s">
        <v>18</v>
      </c>
      <c r="B60" t="s">
        <v>6</v>
      </c>
      <c r="C60">
        <v>121</v>
      </c>
      <c r="D60">
        <v>139</v>
      </c>
      <c r="E60">
        <v>-18</v>
      </c>
    </row>
    <row r="61" spans="1:5" x14ac:dyDescent="0.2">
      <c r="A61" t="s">
        <v>15</v>
      </c>
      <c r="B61" t="s">
        <v>12</v>
      </c>
      <c r="C61">
        <v>125</v>
      </c>
      <c r="D61">
        <v>105</v>
      </c>
      <c r="E61">
        <v>20</v>
      </c>
    </row>
    <row r="62" spans="1:5" x14ac:dyDescent="0.2">
      <c r="A62" t="s">
        <v>20</v>
      </c>
      <c r="B62" t="s">
        <v>13</v>
      </c>
      <c r="C62">
        <v>135</v>
      </c>
      <c r="D62">
        <v>116</v>
      </c>
      <c r="E62">
        <v>19</v>
      </c>
    </row>
    <row r="63" spans="1:5" x14ac:dyDescent="0.2">
      <c r="A63" t="s">
        <v>10</v>
      </c>
      <c r="B63" t="s">
        <v>17</v>
      </c>
      <c r="C63">
        <v>112</v>
      </c>
      <c r="D63">
        <v>117</v>
      </c>
      <c r="E63">
        <v>-5</v>
      </c>
    </row>
    <row r="64" spans="1:5" x14ac:dyDescent="0.2">
      <c r="A64" t="s">
        <v>19</v>
      </c>
      <c r="B64" t="s">
        <v>32</v>
      </c>
      <c r="C64">
        <v>126</v>
      </c>
      <c r="D64">
        <v>113</v>
      </c>
      <c r="E64">
        <v>13</v>
      </c>
    </row>
    <row r="65" spans="1:5" x14ac:dyDescent="0.2">
      <c r="A65" t="s">
        <v>27</v>
      </c>
      <c r="B65" t="s">
        <v>33</v>
      </c>
      <c r="C65">
        <v>107</v>
      </c>
      <c r="D65">
        <v>105</v>
      </c>
      <c r="E65">
        <v>2</v>
      </c>
    </row>
    <row r="66" spans="1:5" x14ac:dyDescent="0.2">
      <c r="A66" t="s">
        <v>25</v>
      </c>
      <c r="B66" t="s">
        <v>29</v>
      </c>
      <c r="C66">
        <v>134</v>
      </c>
      <c r="D66">
        <v>136</v>
      </c>
      <c r="E66">
        <v>-2</v>
      </c>
    </row>
    <row r="67" spans="1:5" x14ac:dyDescent="0.2">
      <c r="A67" t="s">
        <v>34</v>
      </c>
      <c r="B67" t="s">
        <v>22</v>
      </c>
      <c r="C67">
        <v>122</v>
      </c>
      <c r="D67">
        <v>88</v>
      </c>
      <c r="E67">
        <v>34</v>
      </c>
    </row>
    <row r="68" spans="1:5" x14ac:dyDescent="0.2">
      <c r="A68" t="s">
        <v>30</v>
      </c>
      <c r="B68" t="s">
        <v>7</v>
      </c>
      <c r="C68">
        <v>115</v>
      </c>
      <c r="D68">
        <v>116</v>
      </c>
      <c r="E68">
        <v>-1</v>
      </c>
    </row>
    <row r="69" spans="1:5" x14ac:dyDescent="0.2">
      <c r="A69" t="s">
        <v>31</v>
      </c>
      <c r="B69" t="s">
        <v>21</v>
      </c>
      <c r="C69">
        <v>113</v>
      </c>
      <c r="D69">
        <v>114</v>
      </c>
      <c r="E69">
        <v>-1</v>
      </c>
    </row>
    <row r="70" spans="1:5" x14ac:dyDescent="0.2">
      <c r="A70" t="s">
        <v>9</v>
      </c>
      <c r="B70" t="s">
        <v>13</v>
      </c>
      <c r="C70">
        <v>107</v>
      </c>
      <c r="D70">
        <v>123</v>
      </c>
      <c r="E70">
        <v>-16</v>
      </c>
    </row>
    <row r="71" spans="1:5" x14ac:dyDescent="0.2">
      <c r="A71" t="s">
        <v>23</v>
      </c>
      <c r="B71" t="s">
        <v>8</v>
      </c>
      <c r="C71">
        <v>120</v>
      </c>
      <c r="D71">
        <v>110</v>
      </c>
      <c r="E71">
        <v>10</v>
      </c>
    </row>
    <row r="72" spans="1:5" x14ac:dyDescent="0.2">
      <c r="A72" t="s">
        <v>5</v>
      </c>
      <c r="B72" t="s">
        <v>24</v>
      </c>
      <c r="C72">
        <v>127</v>
      </c>
      <c r="D72">
        <v>108</v>
      </c>
      <c r="E72">
        <v>19</v>
      </c>
    </row>
    <row r="73" spans="1:5" x14ac:dyDescent="0.2">
      <c r="A73" t="s">
        <v>28</v>
      </c>
      <c r="B73" t="s">
        <v>14</v>
      </c>
      <c r="C73">
        <v>107</v>
      </c>
      <c r="D73">
        <v>101</v>
      </c>
      <c r="E73">
        <v>6</v>
      </c>
    </row>
    <row r="74" spans="1:5" x14ac:dyDescent="0.2">
      <c r="A74" t="s">
        <v>33</v>
      </c>
      <c r="B74" t="s">
        <v>17</v>
      </c>
      <c r="C74">
        <v>108</v>
      </c>
      <c r="D74">
        <v>128</v>
      </c>
      <c r="E74">
        <v>-20</v>
      </c>
    </row>
    <row r="75" spans="1:5" x14ac:dyDescent="0.2">
      <c r="A75" t="s">
        <v>16</v>
      </c>
      <c r="B75" t="s">
        <v>15</v>
      </c>
      <c r="C75">
        <v>108</v>
      </c>
      <c r="D75">
        <v>109</v>
      </c>
      <c r="E75">
        <v>-1</v>
      </c>
    </row>
    <row r="76" spans="1:5" x14ac:dyDescent="0.2">
      <c r="A76" t="s">
        <v>12</v>
      </c>
      <c r="B76" t="s">
        <v>18</v>
      </c>
      <c r="C76">
        <v>101</v>
      </c>
      <c r="D76">
        <v>112</v>
      </c>
      <c r="E76">
        <v>-11</v>
      </c>
    </row>
    <row r="77" spans="1:5" x14ac:dyDescent="0.2">
      <c r="A77" t="s">
        <v>19</v>
      </c>
      <c r="B77" t="s">
        <v>11</v>
      </c>
      <c r="C77">
        <v>135</v>
      </c>
      <c r="D77">
        <v>125</v>
      </c>
      <c r="E77">
        <v>10</v>
      </c>
    </row>
    <row r="78" spans="1:5" x14ac:dyDescent="0.2">
      <c r="A78" t="s">
        <v>21</v>
      </c>
      <c r="B78" t="s">
        <v>7</v>
      </c>
      <c r="C78">
        <v>112</v>
      </c>
      <c r="D78">
        <v>117</v>
      </c>
      <c r="E78">
        <v>-5</v>
      </c>
    </row>
    <row r="79" spans="1:5" x14ac:dyDescent="0.2">
      <c r="A79" t="s">
        <v>31</v>
      </c>
      <c r="B79" t="s">
        <v>25</v>
      </c>
      <c r="C79">
        <v>118</v>
      </c>
      <c r="D79">
        <v>96</v>
      </c>
      <c r="E79">
        <v>22</v>
      </c>
    </row>
    <row r="80" spans="1:5" x14ac:dyDescent="0.2">
      <c r="A80" t="s">
        <v>29</v>
      </c>
      <c r="B80" t="s">
        <v>34</v>
      </c>
      <c r="C80">
        <v>109</v>
      </c>
      <c r="D80">
        <v>107</v>
      </c>
      <c r="E80">
        <v>2</v>
      </c>
    </row>
    <row r="81" spans="1:5" x14ac:dyDescent="0.2">
      <c r="A81" t="s">
        <v>26</v>
      </c>
      <c r="B81" t="s">
        <v>22</v>
      </c>
      <c r="C81">
        <v>126</v>
      </c>
      <c r="D81">
        <v>124</v>
      </c>
      <c r="E81">
        <v>2</v>
      </c>
    </row>
    <row r="82" spans="1:5" x14ac:dyDescent="0.2">
      <c r="A82" t="s">
        <v>23</v>
      </c>
      <c r="B82" t="s">
        <v>32</v>
      </c>
      <c r="C82">
        <v>133</v>
      </c>
      <c r="D82">
        <v>135</v>
      </c>
      <c r="E82">
        <v>-2</v>
      </c>
    </row>
    <row r="83" spans="1:5" x14ac:dyDescent="0.2">
      <c r="A83" t="s">
        <v>9</v>
      </c>
      <c r="B83" t="s">
        <v>30</v>
      </c>
      <c r="C83">
        <v>105</v>
      </c>
      <c r="D83">
        <v>122</v>
      </c>
      <c r="E83">
        <v>-17</v>
      </c>
    </row>
    <row r="84" spans="1:5" x14ac:dyDescent="0.2">
      <c r="A84" t="s">
        <v>33</v>
      </c>
      <c r="B84" t="s">
        <v>8</v>
      </c>
      <c r="C84">
        <v>114</v>
      </c>
      <c r="D84">
        <v>109</v>
      </c>
      <c r="E84">
        <v>5</v>
      </c>
    </row>
    <row r="85" spans="1:5" x14ac:dyDescent="0.2">
      <c r="A85" t="s">
        <v>24</v>
      </c>
      <c r="B85" t="s">
        <v>13</v>
      </c>
      <c r="C85">
        <v>94</v>
      </c>
      <c r="D85">
        <v>125</v>
      </c>
      <c r="E85">
        <v>-31</v>
      </c>
    </row>
    <row r="86" spans="1:5" x14ac:dyDescent="0.2">
      <c r="A86" t="s">
        <v>15</v>
      </c>
      <c r="B86" t="s">
        <v>6</v>
      </c>
      <c r="C86">
        <v>101</v>
      </c>
      <c r="D86">
        <v>128</v>
      </c>
      <c r="E86">
        <v>-27</v>
      </c>
    </row>
    <row r="87" spans="1:5" x14ac:dyDescent="0.2">
      <c r="A87" t="s">
        <v>20</v>
      </c>
      <c r="B87" t="s">
        <v>27</v>
      </c>
      <c r="C87">
        <v>122</v>
      </c>
      <c r="D87">
        <v>110</v>
      </c>
      <c r="E87">
        <v>12</v>
      </c>
    </row>
    <row r="88" spans="1:5" x14ac:dyDescent="0.2">
      <c r="A88" t="s">
        <v>5</v>
      </c>
      <c r="B88" t="s">
        <v>22</v>
      </c>
      <c r="C88">
        <v>137</v>
      </c>
      <c r="D88">
        <v>106</v>
      </c>
      <c r="E88">
        <v>31</v>
      </c>
    </row>
    <row r="89" spans="1:5" x14ac:dyDescent="0.2">
      <c r="A89" t="s">
        <v>10</v>
      </c>
      <c r="B89" t="s">
        <v>16</v>
      </c>
      <c r="C89">
        <v>105</v>
      </c>
      <c r="D89">
        <v>129</v>
      </c>
      <c r="E89">
        <v>-24</v>
      </c>
    </row>
    <row r="90" spans="1:5" x14ac:dyDescent="0.2">
      <c r="A90" t="s">
        <v>9</v>
      </c>
      <c r="B90" t="s">
        <v>25</v>
      </c>
      <c r="C90">
        <v>126</v>
      </c>
      <c r="D90">
        <v>103</v>
      </c>
      <c r="E90">
        <v>23</v>
      </c>
    </row>
    <row r="91" spans="1:5" x14ac:dyDescent="0.2">
      <c r="A91" t="s">
        <v>12</v>
      </c>
      <c r="B91" t="s">
        <v>17</v>
      </c>
      <c r="C91">
        <v>117</v>
      </c>
      <c r="D91">
        <v>109</v>
      </c>
      <c r="E91">
        <v>8</v>
      </c>
    </row>
    <row r="92" spans="1:5" x14ac:dyDescent="0.2">
      <c r="A92" t="s">
        <v>18</v>
      </c>
      <c r="B92" t="s">
        <v>21</v>
      </c>
      <c r="C92">
        <v>117</v>
      </c>
      <c r="D92">
        <v>104</v>
      </c>
      <c r="E92">
        <v>13</v>
      </c>
    </row>
    <row r="93" spans="1:5" x14ac:dyDescent="0.2">
      <c r="A93" t="s">
        <v>11</v>
      </c>
      <c r="B93" t="s">
        <v>19</v>
      </c>
      <c r="C93">
        <v>128</v>
      </c>
      <c r="D93">
        <v>116</v>
      </c>
      <c r="E93">
        <v>12</v>
      </c>
    </row>
    <row r="94" spans="1:5" x14ac:dyDescent="0.2">
      <c r="A94" t="s">
        <v>31</v>
      </c>
      <c r="B94" t="s">
        <v>28</v>
      </c>
      <c r="C94">
        <v>130</v>
      </c>
      <c r="D94">
        <v>118</v>
      </c>
      <c r="E94">
        <v>12</v>
      </c>
    </row>
    <row r="95" spans="1:5" x14ac:dyDescent="0.2">
      <c r="A95" t="s">
        <v>7</v>
      </c>
      <c r="B95" t="s">
        <v>14</v>
      </c>
      <c r="C95">
        <v>130</v>
      </c>
      <c r="D95">
        <v>120</v>
      </c>
      <c r="E95">
        <v>10</v>
      </c>
    </row>
    <row r="96" spans="1:5" x14ac:dyDescent="0.2">
      <c r="A96" t="s">
        <v>10</v>
      </c>
      <c r="B96" t="s">
        <v>30</v>
      </c>
      <c r="C96">
        <v>109</v>
      </c>
      <c r="D96">
        <v>125</v>
      </c>
      <c r="E96">
        <v>-16</v>
      </c>
    </row>
    <row r="97" spans="1:5" x14ac:dyDescent="0.2">
      <c r="A97" t="s">
        <v>33</v>
      </c>
      <c r="B97" t="s">
        <v>23</v>
      </c>
      <c r="C97">
        <v>115</v>
      </c>
      <c r="D97">
        <v>117</v>
      </c>
      <c r="E97">
        <v>-2</v>
      </c>
    </row>
    <row r="98" spans="1:5" x14ac:dyDescent="0.2">
      <c r="A98" t="s">
        <v>15</v>
      </c>
      <c r="B98" t="s">
        <v>25</v>
      </c>
      <c r="C98">
        <v>103</v>
      </c>
      <c r="D98">
        <v>105</v>
      </c>
      <c r="E98">
        <v>-2</v>
      </c>
    </row>
    <row r="99" spans="1:5" x14ac:dyDescent="0.2">
      <c r="A99" t="s">
        <v>11</v>
      </c>
      <c r="B99" t="s">
        <v>24</v>
      </c>
      <c r="C99">
        <v>119</v>
      </c>
      <c r="D99">
        <v>102</v>
      </c>
      <c r="E99">
        <v>17</v>
      </c>
    </row>
    <row r="100" spans="1:5" x14ac:dyDescent="0.2">
      <c r="A100" t="s">
        <v>6</v>
      </c>
      <c r="B100" t="s">
        <v>27</v>
      </c>
      <c r="C100">
        <v>110</v>
      </c>
      <c r="D100">
        <v>102</v>
      </c>
      <c r="E100">
        <v>8</v>
      </c>
    </row>
    <row r="101" spans="1:5" x14ac:dyDescent="0.2">
      <c r="A101" t="s">
        <v>21</v>
      </c>
      <c r="B101" t="s">
        <v>20</v>
      </c>
      <c r="C101">
        <v>106</v>
      </c>
      <c r="D101">
        <v>114</v>
      </c>
      <c r="E101">
        <v>-8</v>
      </c>
    </row>
    <row r="102" spans="1:5" x14ac:dyDescent="0.2">
      <c r="A102" t="s">
        <v>34</v>
      </c>
      <c r="B102" t="s">
        <v>32</v>
      </c>
      <c r="C102">
        <v>130</v>
      </c>
      <c r="D102">
        <v>124</v>
      </c>
      <c r="E102">
        <v>6</v>
      </c>
    </row>
    <row r="103" spans="1:5" x14ac:dyDescent="0.2">
      <c r="A103" t="s">
        <v>29</v>
      </c>
      <c r="B103" t="s">
        <v>7</v>
      </c>
      <c r="C103">
        <v>115</v>
      </c>
      <c r="D103">
        <v>123</v>
      </c>
      <c r="E103">
        <v>-8</v>
      </c>
    </row>
    <row r="104" spans="1:5" x14ac:dyDescent="0.2">
      <c r="A104" t="s">
        <v>26</v>
      </c>
      <c r="B104" t="s">
        <v>14</v>
      </c>
      <c r="C104">
        <v>119</v>
      </c>
      <c r="D104">
        <v>120</v>
      </c>
      <c r="E104">
        <v>-1</v>
      </c>
    </row>
    <row r="105" spans="1:5" x14ac:dyDescent="0.2">
      <c r="A105" t="s">
        <v>18</v>
      </c>
      <c r="B105" t="s">
        <v>23</v>
      </c>
      <c r="C105">
        <v>128</v>
      </c>
      <c r="D105">
        <v>100</v>
      </c>
      <c r="E105">
        <v>28</v>
      </c>
    </row>
    <row r="106" spans="1:5" x14ac:dyDescent="0.2">
      <c r="A106" t="s">
        <v>17</v>
      </c>
      <c r="B106" t="s">
        <v>13</v>
      </c>
      <c r="C106">
        <v>127</v>
      </c>
      <c r="D106">
        <v>112</v>
      </c>
      <c r="E106">
        <v>15</v>
      </c>
    </row>
    <row r="107" spans="1:5" x14ac:dyDescent="0.2">
      <c r="A107" t="s">
        <v>19</v>
      </c>
      <c r="B107" t="s">
        <v>16</v>
      </c>
      <c r="C107">
        <v>113</v>
      </c>
      <c r="D107">
        <v>111</v>
      </c>
      <c r="E107">
        <v>2</v>
      </c>
    </row>
    <row r="108" spans="1:5" x14ac:dyDescent="0.2">
      <c r="A108" t="s">
        <v>22</v>
      </c>
      <c r="B108" t="s">
        <v>9</v>
      </c>
      <c r="C108">
        <v>116</v>
      </c>
      <c r="D108">
        <v>112</v>
      </c>
      <c r="E108">
        <v>4</v>
      </c>
    </row>
    <row r="109" spans="1:5" x14ac:dyDescent="0.2">
      <c r="A109" t="s">
        <v>8</v>
      </c>
      <c r="B109" t="s">
        <v>31</v>
      </c>
      <c r="C109">
        <v>118</v>
      </c>
      <c r="D109">
        <v>107</v>
      </c>
      <c r="E109">
        <v>11</v>
      </c>
    </row>
    <row r="110" spans="1:5" x14ac:dyDescent="0.2">
      <c r="A110" t="s">
        <v>26</v>
      </c>
      <c r="B110" t="s">
        <v>5</v>
      </c>
      <c r="C110">
        <v>107</v>
      </c>
      <c r="D110">
        <v>126</v>
      </c>
      <c r="E110">
        <v>-19</v>
      </c>
    </row>
    <row r="111" spans="1:5" x14ac:dyDescent="0.2">
      <c r="A111" t="s">
        <v>12</v>
      </c>
      <c r="B111" t="s">
        <v>16</v>
      </c>
      <c r="C111">
        <v>132</v>
      </c>
      <c r="D111">
        <v>121</v>
      </c>
      <c r="E111">
        <v>11</v>
      </c>
    </row>
    <row r="112" spans="1:5" x14ac:dyDescent="0.2">
      <c r="A112" t="s">
        <v>20</v>
      </c>
      <c r="B112" t="s">
        <v>25</v>
      </c>
      <c r="C112">
        <v>114</v>
      </c>
      <c r="D112">
        <v>103</v>
      </c>
      <c r="E112">
        <v>11</v>
      </c>
    </row>
    <row r="113" spans="1:5" x14ac:dyDescent="0.2">
      <c r="A113" t="s">
        <v>33</v>
      </c>
      <c r="B113" t="s">
        <v>10</v>
      </c>
      <c r="C113">
        <v>103</v>
      </c>
      <c r="D113">
        <v>112</v>
      </c>
      <c r="E113">
        <v>-9</v>
      </c>
    </row>
    <row r="114" spans="1:5" x14ac:dyDescent="0.2">
      <c r="A114" t="s">
        <v>15</v>
      </c>
      <c r="B114" t="s">
        <v>24</v>
      </c>
      <c r="C114">
        <v>136</v>
      </c>
      <c r="D114">
        <v>107</v>
      </c>
      <c r="E114">
        <v>29</v>
      </c>
    </row>
    <row r="115" spans="1:5" x14ac:dyDescent="0.2">
      <c r="A115" t="s">
        <v>11</v>
      </c>
      <c r="B115" t="s">
        <v>30</v>
      </c>
      <c r="C115">
        <v>137</v>
      </c>
      <c r="D115">
        <v>114</v>
      </c>
      <c r="E115">
        <v>23</v>
      </c>
    </row>
    <row r="116" spans="1:5" x14ac:dyDescent="0.2">
      <c r="A116" t="s">
        <v>21</v>
      </c>
      <c r="B116" t="s">
        <v>6</v>
      </c>
      <c r="C116">
        <v>109</v>
      </c>
      <c r="D116">
        <v>124</v>
      </c>
      <c r="E116">
        <v>-15</v>
      </c>
    </row>
    <row r="117" spans="1:5" x14ac:dyDescent="0.2">
      <c r="A117" t="s">
        <v>27</v>
      </c>
      <c r="B117" t="s">
        <v>22</v>
      </c>
      <c r="C117">
        <v>99</v>
      </c>
      <c r="D117">
        <v>101</v>
      </c>
      <c r="E117">
        <v>-2</v>
      </c>
    </row>
    <row r="118" spans="1:5" x14ac:dyDescent="0.2">
      <c r="A118" t="s">
        <v>34</v>
      </c>
      <c r="B118" t="s">
        <v>14</v>
      </c>
      <c r="C118">
        <v>122</v>
      </c>
      <c r="D118">
        <v>112</v>
      </c>
      <c r="E118">
        <v>10</v>
      </c>
    </row>
    <row r="119" spans="1:5" x14ac:dyDescent="0.2">
      <c r="A119" t="s">
        <v>7</v>
      </c>
      <c r="B119" t="s">
        <v>28</v>
      </c>
      <c r="C119">
        <v>118</v>
      </c>
      <c r="D119">
        <v>116</v>
      </c>
      <c r="E119">
        <v>2</v>
      </c>
    </row>
    <row r="120" spans="1:5" x14ac:dyDescent="0.2">
      <c r="A120" t="s">
        <v>29</v>
      </c>
      <c r="B120" t="s">
        <v>5</v>
      </c>
      <c r="C120">
        <v>121</v>
      </c>
      <c r="D120">
        <v>119</v>
      </c>
      <c r="E120">
        <v>2</v>
      </c>
    </row>
    <row r="121" spans="1:5" x14ac:dyDescent="0.2">
      <c r="A121" t="s">
        <v>32</v>
      </c>
      <c r="B121" t="s">
        <v>8</v>
      </c>
      <c r="C121">
        <v>121</v>
      </c>
      <c r="D121">
        <v>116</v>
      </c>
      <c r="E121">
        <v>5</v>
      </c>
    </row>
    <row r="122" spans="1:5" x14ac:dyDescent="0.2">
      <c r="A122" t="s">
        <v>31</v>
      </c>
      <c r="B122" t="s">
        <v>26</v>
      </c>
      <c r="C122">
        <v>115</v>
      </c>
      <c r="D122">
        <v>102</v>
      </c>
      <c r="E122">
        <v>13</v>
      </c>
    </row>
    <row r="123" spans="1:5" x14ac:dyDescent="0.2">
      <c r="A123" t="s">
        <v>13</v>
      </c>
      <c r="B123" t="s">
        <v>15</v>
      </c>
      <c r="C123">
        <v>123</v>
      </c>
      <c r="D123">
        <v>110</v>
      </c>
      <c r="E123">
        <v>13</v>
      </c>
    </row>
    <row r="124" spans="1:5" x14ac:dyDescent="0.2">
      <c r="A124" t="s">
        <v>24</v>
      </c>
      <c r="B124" t="s">
        <v>12</v>
      </c>
      <c r="C124">
        <v>115</v>
      </c>
      <c r="D124">
        <v>148</v>
      </c>
      <c r="E124">
        <v>-33</v>
      </c>
    </row>
    <row r="125" spans="1:5" x14ac:dyDescent="0.2">
      <c r="A125" t="s">
        <v>17</v>
      </c>
      <c r="B125" t="s">
        <v>18</v>
      </c>
      <c r="C125">
        <v>97</v>
      </c>
      <c r="D125">
        <v>109</v>
      </c>
      <c r="E125">
        <v>-12</v>
      </c>
    </row>
    <row r="126" spans="1:5" x14ac:dyDescent="0.2">
      <c r="A126" t="s">
        <v>10</v>
      </c>
      <c r="B126" t="s">
        <v>20</v>
      </c>
      <c r="C126">
        <v>107</v>
      </c>
      <c r="D126">
        <v>125</v>
      </c>
      <c r="E126">
        <v>-18</v>
      </c>
    </row>
    <row r="127" spans="1:5" x14ac:dyDescent="0.2">
      <c r="A127" t="s">
        <v>28</v>
      </c>
      <c r="B127" t="s">
        <v>6</v>
      </c>
      <c r="C127">
        <v>121</v>
      </c>
      <c r="D127">
        <v>110</v>
      </c>
      <c r="E127">
        <v>11</v>
      </c>
    </row>
    <row r="128" spans="1:5" x14ac:dyDescent="0.2">
      <c r="A128" t="s">
        <v>21</v>
      </c>
      <c r="B128" t="s">
        <v>27</v>
      </c>
      <c r="C128">
        <v>118</v>
      </c>
      <c r="D128">
        <v>104</v>
      </c>
      <c r="E128">
        <v>14</v>
      </c>
    </row>
    <row r="129" spans="1:5" x14ac:dyDescent="0.2">
      <c r="A129" t="s">
        <v>14</v>
      </c>
      <c r="B129" t="s">
        <v>9</v>
      </c>
      <c r="C129">
        <v>126</v>
      </c>
      <c r="D129">
        <v>108</v>
      </c>
      <c r="E129">
        <v>18</v>
      </c>
    </row>
    <row r="130" spans="1:5" x14ac:dyDescent="0.2">
      <c r="A130" t="s">
        <v>23</v>
      </c>
      <c r="B130" t="s">
        <v>19</v>
      </c>
      <c r="C130">
        <v>126</v>
      </c>
      <c r="D130">
        <v>110</v>
      </c>
      <c r="E130">
        <v>16</v>
      </c>
    </row>
    <row r="131" spans="1:5" x14ac:dyDescent="0.2">
      <c r="A131" t="s">
        <v>30</v>
      </c>
      <c r="B131" t="s">
        <v>25</v>
      </c>
      <c r="C131">
        <v>137</v>
      </c>
      <c r="D131">
        <v>97</v>
      </c>
      <c r="E131">
        <v>40</v>
      </c>
    </row>
    <row r="132" spans="1:5" x14ac:dyDescent="0.2">
      <c r="A132" t="s">
        <v>34</v>
      </c>
      <c r="B132" t="s">
        <v>8</v>
      </c>
      <c r="C132">
        <v>129</v>
      </c>
      <c r="D132">
        <v>104</v>
      </c>
      <c r="E132">
        <v>25</v>
      </c>
    </row>
    <row r="133" spans="1:5" x14ac:dyDescent="0.2">
      <c r="A133" t="s">
        <v>32</v>
      </c>
      <c r="B133" t="s">
        <v>5</v>
      </c>
      <c r="C133">
        <v>101</v>
      </c>
      <c r="D133">
        <v>132</v>
      </c>
      <c r="E133">
        <v>-31</v>
      </c>
    </row>
    <row r="134" spans="1:5" x14ac:dyDescent="0.2">
      <c r="A134" t="s">
        <v>24</v>
      </c>
      <c r="B134" t="s">
        <v>27</v>
      </c>
      <c r="C134">
        <v>105</v>
      </c>
      <c r="D134">
        <v>111</v>
      </c>
      <c r="E134">
        <v>-6</v>
      </c>
    </row>
    <row r="135" spans="1:5" x14ac:dyDescent="0.2">
      <c r="A135" t="s">
        <v>16</v>
      </c>
      <c r="B135" t="s">
        <v>18</v>
      </c>
      <c r="C135">
        <v>130</v>
      </c>
      <c r="D135">
        <v>120</v>
      </c>
      <c r="E135">
        <v>10</v>
      </c>
    </row>
    <row r="136" spans="1:5" x14ac:dyDescent="0.2">
      <c r="A136" t="s">
        <v>17</v>
      </c>
      <c r="B136" t="s">
        <v>7</v>
      </c>
      <c r="C136">
        <v>122</v>
      </c>
      <c r="D136">
        <v>102</v>
      </c>
      <c r="E136">
        <v>20</v>
      </c>
    </row>
    <row r="137" spans="1:5" x14ac:dyDescent="0.2">
      <c r="A137" t="s">
        <v>12</v>
      </c>
      <c r="B137" t="s">
        <v>19</v>
      </c>
      <c r="C137">
        <v>128</v>
      </c>
      <c r="D137">
        <v>122</v>
      </c>
      <c r="E137">
        <v>6</v>
      </c>
    </row>
    <row r="138" spans="1:5" x14ac:dyDescent="0.2">
      <c r="A138" t="s">
        <v>14</v>
      </c>
      <c r="B138" t="s">
        <v>29</v>
      </c>
      <c r="C138">
        <v>136</v>
      </c>
      <c r="D138">
        <v>131</v>
      </c>
      <c r="E138">
        <v>5</v>
      </c>
    </row>
    <row r="139" spans="1:5" x14ac:dyDescent="0.2">
      <c r="A139" t="s">
        <v>28</v>
      </c>
      <c r="B139" t="s">
        <v>22</v>
      </c>
      <c r="C139">
        <v>126</v>
      </c>
      <c r="D139">
        <v>119</v>
      </c>
      <c r="E139">
        <v>7</v>
      </c>
    </row>
    <row r="140" spans="1:5" x14ac:dyDescent="0.2">
      <c r="A140" t="s">
        <v>34</v>
      </c>
      <c r="B140" t="s">
        <v>33</v>
      </c>
      <c r="C140">
        <v>117</v>
      </c>
      <c r="D140">
        <v>100</v>
      </c>
      <c r="E140">
        <v>17</v>
      </c>
    </row>
    <row r="141" spans="1:5" x14ac:dyDescent="0.2">
      <c r="A141" t="s">
        <v>26</v>
      </c>
      <c r="B141" t="s">
        <v>31</v>
      </c>
      <c r="C141">
        <v>103</v>
      </c>
      <c r="D141">
        <v>114</v>
      </c>
      <c r="E141">
        <v>-11</v>
      </c>
    </row>
    <row r="142" spans="1:5" x14ac:dyDescent="0.2">
      <c r="A142" t="s">
        <v>23</v>
      </c>
      <c r="B142" t="s">
        <v>6</v>
      </c>
      <c r="C142">
        <v>115</v>
      </c>
      <c r="D142">
        <v>122</v>
      </c>
      <c r="E142">
        <v>-7</v>
      </c>
    </row>
    <row r="143" spans="1:5" x14ac:dyDescent="0.2">
      <c r="A143" t="s">
        <v>21</v>
      </c>
      <c r="B143" t="s">
        <v>5</v>
      </c>
      <c r="C143">
        <v>100</v>
      </c>
      <c r="D143">
        <v>114</v>
      </c>
      <c r="E143">
        <v>-14</v>
      </c>
    </row>
    <row r="144" spans="1:5" x14ac:dyDescent="0.2">
      <c r="A144" t="s">
        <v>11</v>
      </c>
      <c r="B144" t="s">
        <v>10</v>
      </c>
      <c r="C144">
        <v>134</v>
      </c>
      <c r="D144">
        <v>98</v>
      </c>
      <c r="E144">
        <v>36</v>
      </c>
    </row>
    <row r="145" spans="1:5" x14ac:dyDescent="0.2">
      <c r="A145" t="s">
        <v>13</v>
      </c>
      <c r="B145" t="s">
        <v>15</v>
      </c>
      <c r="C145">
        <v>107</v>
      </c>
      <c r="D145">
        <v>111</v>
      </c>
      <c r="E145">
        <v>-4</v>
      </c>
    </row>
    <row r="146" spans="1:5" x14ac:dyDescent="0.2">
      <c r="A146" t="s">
        <v>16</v>
      </c>
      <c r="B146" t="s">
        <v>20</v>
      </c>
      <c r="C146">
        <v>108</v>
      </c>
      <c r="D146">
        <v>111</v>
      </c>
      <c r="E146">
        <v>-3</v>
      </c>
    </row>
    <row r="147" spans="1:5" x14ac:dyDescent="0.2">
      <c r="A147" t="s">
        <v>8</v>
      </c>
      <c r="B147" t="s">
        <v>33</v>
      </c>
      <c r="C147">
        <v>114</v>
      </c>
      <c r="D147">
        <v>83</v>
      </c>
      <c r="E147">
        <v>31</v>
      </c>
    </row>
    <row r="148" spans="1:5" x14ac:dyDescent="0.2">
      <c r="A148" t="s">
        <v>32</v>
      </c>
      <c r="B148" t="s">
        <v>30</v>
      </c>
      <c r="C148">
        <v>117</v>
      </c>
      <c r="D148">
        <v>144</v>
      </c>
      <c r="E148">
        <v>-27</v>
      </c>
    </row>
    <row r="149" spans="1:5" x14ac:dyDescent="0.2">
      <c r="A149" t="s">
        <v>9</v>
      </c>
      <c r="B149" t="s">
        <v>7</v>
      </c>
      <c r="C149">
        <v>111</v>
      </c>
      <c r="D149">
        <v>121</v>
      </c>
      <c r="E149">
        <v>-10</v>
      </c>
    </row>
    <row r="150" spans="1:5" x14ac:dyDescent="0.2">
      <c r="A150" t="s">
        <v>20</v>
      </c>
      <c r="B150" t="s">
        <v>24</v>
      </c>
      <c r="C150">
        <v>137</v>
      </c>
      <c r="D150">
        <v>135</v>
      </c>
      <c r="E150">
        <v>2</v>
      </c>
    </row>
    <row r="151" spans="1:5" x14ac:dyDescent="0.2">
      <c r="A151" t="s">
        <v>13</v>
      </c>
      <c r="B151" t="s">
        <v>29</v>
      </c>
      <c r="C151">
        <v>115</v>
      </c>
      <c r="D151">
        <v>112</v>
      </c>
      <c r="E151">
        <v>3</v>
      </c>
    </row>
    <row r="152" spans="1:5" x14ac:dyDescent="0.2">
      <c r="A152" t="s">
        <v>14</v>
      </c>
      <c r="B152" t="s">
        <v>12</v>
      </c>
      <c r="C152">
        <v>140</v>
      </c>
      <c r="D152">
        <v>138</v>
      </c>
      <c r="E152">
        <v>2</v>
      </c>
    </row>
    <row r="153" spans="1:5" x14ac:dyDescent="0.2">
      <c r="A153" t="s">
        <v>19</v>
      </c>
      <c r="B153" t="s">
        <v>28</v>
      </c>
      <c r="C153">
        <v>117</v>
      </c>
      <c r="D153">
        <v>121</v>
      </c>
      <c r="E153">
        <v>-4</v>
      </c>
    </row>
    <row r="154" spans="1:5" x14ac:dyDescent="0.2">
      <c r="A154" t="s">
        <v>27</v>
      </c>
      <c r="B154" t="s">
        <v>23</v>
      </c>
      <c r="C154">
        <v>114</v>
      </c>
      <c r="D154">
        <v>116</v>
      </c>
      <c r="E154">
        <v>-2</v>
      </c>
    </row>
    <row r="155" spans="1:5" x14ac:dyDescent="0.2">
      <c r="A155" t="s">
        <v>31</v>
      </c>
      <c r="B155" t="s">
        <v>22</v>
      </c>
      <c r="C155">
        <v>121</v>
      </c>
      <c r="D155">
        <v>98</v>
      </c>
      <c r="E155">
        <v>23</v>
      </c>
    </row>
    <row r="156" spans="1:5" x14ac:dyDescent="0.2">
      <c r="A156" t="s">
        <v>25</v>
      </c>
      <c r="B156" t="s">
        <v>30</v>
      </c>
      <c r="C156">
        <v>113</v>
      </c>
      <c r="D156">
        <v>120</v>
      </c>
      <c r="E156">
        <v>-7</v>
      </c>
    </row>
    <row r="157" spans="1:5" x14ac:dyDescent="0.2">
      <c r="A157" t="s">
        <v>26</v>
      </c>
      <c r="B157" t="s">
        <v>17</v>
      </c>
      <c r="C157">
        <v>102</v>
      </c>
      <c r="D157">
        <v>105</v>
      </c>
      <c r="E157">
        <v>-3</v>
      </c>
    </row>
    <row r="158" spans="1:5" x14ac:dyDescent="0.2">
      <c r="A158" t="s">
        <v>10</v>
      </c>
      <c r="B158" t="s">
        <v>18</v>
      </c>
      <c r="C158">
        <v>109</v>
      </c>
      <c r="D158">
        <v>119</v>
      </c>
      <c r="E158">
        <v>-10</v>
      </c>
    </row>
    <row r="159" spans="1:5" x14ac:dyDescent="0.2">
      <c r="A159" t="s">
        <v>11</v>
      </c>
      <c r="B159" t="s">
        <v>21</v>
      </c>
      <c r="C159">
        <v>133</v>
      </c>
      <c r="D159">
        <v>120</v>
      </c>
      <c r="E159">
        <v>13</v>
      </c>
    </row>
    <row r="160" spans="1:5" x14ac:dyDescent="0.2">
      <c r="A160" t="s">
        <v>5</v>
      </c>
      <c r="B160" t="s">
        <v>8</v>
      </c>
      <c r="C160">
        <v>126</v>
      </c>
      <c r="D160">
        <v>102</v>
      </c>
      <c r="E160">
        <v>24</v>
      </c>
    </row>
    <row r="161" spans="1:5" x14ac:dyDescent="0.2">
      <c r="A161" t="s">
        <v>16</v>
      </c>
      <c r="B161" t="s">
        <v>15</v>
      </c>
      <c r="C161">
        <v>102</v>
      </c>
      <c r="D161">
        <v>100</v>
      </c>
      <c r="E161">
        <v>2</v>
      </c>
    </row>
    <row r="162" spans="1:5" x14ac:dyDescent="0.2">
      <c r="A162" t="s">
        <v>25</v>
      </c>
      <c r="B162" t="s">
        <v>33</v>
      </c>
      <c r="C162">
        <v>152</v>
      </c>
      <c r="D162">
        <v>128</v>
      </c>
      <c r="E162">
        <v>24</v>
      </c>
    </row>
    <row r="163" spans="1:5" x14ac:dyDescent="0.2">
      <c r="A163" t="s">
        <v>32</v>
      </c>
      <c r="B163" t="s">
        <v>34</v>
      </c>
      <c r="C163">
        <v>108</v>
      </c>
      <c r="D163">
        <v>122</v>
      </c>
      <c r="E163">
        <v>-14</v>
      </c>
    </row>
    <row r="164" spans="1:5" x14ac:dyDescent="0.2">
      <c r="A164" t="s">
        <v>9</v>
      </c>
      <c r="B164" t="s">
        <v>23</v>
      </c>
      <c r="C164">
        <v>111</v>
      </c>
      <c r="D164">
        <v>100</v>
      </c>
      <c r="E164">
        <v>11</v>
      </c>
    </row>
    <row r="165" spans="1:5" x14ac:dyDescent="0.2">
      <c r="A165" t="s">
        <v>20</v>
      </c>
      <c r="B165" t="s">
        <v>19</v>
      </c>
      <c r="C165">
        <v>124</v>
      </c>
      <c r="D165">
        <v>113</v>
      </c>
      <c r="E165">
        <v>11</v>
      </c>
    </row>
    <row r="166" spans="1:5" x14ac:dyDescent="0.2">
      <c r="A166" t="s">
        <v>11</v>
      </c>
      <c r="B166" t="s">
        <v>13</v>
      </c>
      <c r="C166">
        <v>107</v>
      </c>
      <c r="D166">
        <v>124</v>
      </c>
      <c r="E166">
        <v>-17</v>
      </c>
    </row>
    <row r="167" spans="1:5" x14ac:dyDescent="0.2">
      <c r="A167" t="s">
        <v>15</v>
      </c>
      <c r="B167" t="s">
        <v>21</v>
      </c>
      <c r="C167">
        <v>131</v>
      </c>
      <c r="D167">
        <v>95</v>
      </c>
      <c r="E167">
        <v>36</v>
      </c>
    </row>
    <row r="168" spans="1:5" x14ac:dyDescent="0.2">
      <c r="A168" t="s">
        <v>14</v>
      </c>
      <c r="B168" t="s">
        <v>12</v>
      </c>
      <c r="C168">
        <v>116</v>
      </c>
      <c r="D168">
        <v>130</v>
      </c>
      <c r="E168">
        <v>-14</v>
      </c>
    </row>
    <row r="169" spans="1:5" x14ac:dyDescent="0.2">
      <c r="A169" t="s">
        <v>6</v>
      </c>
      <c r="B169" t="s">
        <v>24</v>
      </c>
      <c r="C169">
        <v>135</v>
      </c>
      <c r="D169">
        <v>112</v>
      </c>
      <c r="E169">
        <v>23</v>
      </c>
    </row>
    <row r="170" spans="1:5" x14ac:dyDescent="0.2">
      <c r="A170" t="s">
        <v>22</v>
      </c>
      <c r="B170" t="s">
        <v>29</v>
      </c>
      <c r="C170">
        <v>117</v>
      </c>
      <c r="D170">
        <v>125</v>
      </c>
      <c r="E170">
        <v>-8</v>
      </c>
    </row>
    <row r="171" spans="1:5" x14ac:dyDescent="0.2">
      <c r="A171" t="s">
        <v>28</v>
      </c>
      <c r="B171" t="s">
        <v>8</v>
      </c>
      <c r="C171">
        <v>120</v>
      </c>
      <c r="D171">
        <v>125</v>
      </c>
      <c r="E171">
        <v>-5</v>
      </c>
    </row>
    <row r="172" spans="1:5" x14ac:dyDescent="0.2">
      <c r="A172" t="s">
        <v>27</v>
      </c>
      <c r="B172" t="s">
        <v>31</v>
      </c>
      <c r="C172">
        <v>114</v>
      </c>
      <c r="D172">
        <v>123</v>
      </c>
      <c r="E172">
        <v>-9</v>
      </c>
    </row>
    <row r="173" spans="1:5" x14ac:dyDescent="0.2">
      <c r="A173" t="s">
        <v>5</v>
      </c>
      <c r="B173" t="s">
        <v>7</v>
      </c>
      <c r="C173">
        <v>121</v>
      </c>
      <c r="D173">
        <v>92</v>
      </c>
      <c r="E173">
        <v>29</v>
      </c>
    </row>
    <row r="174" spans="1:5" x14ac:dyDescent="0.2">
      <c r="A174" t="s">
        <v>32</v>
      </c>
      <c r="B174" t="s">
        <v>17</v>
      </c>
      <c r="C174">
        <v>100</v>
      </c>
      <c r="D174">
        <v>133</v>
      </c>
      <c r="E174">
        <v>-33</v>
      </c>
    </row>
    <row r="175" spans="1:5" x14ac:dyDescent="0.2">
      <c r="A175" t="s">
        <v>26</v>
      </c>
      <c r="B175" t="s">
        <v>34</v>
      </c>
      <c r="C175">
        <v>116</v>
      </c>
      <c r="D175">
        <v>130</v>
      </c>
      <c r="E175">
        <v>-14</v>
      </c>
    </row>
    <row r="176" spans="1:5" x14ac:dyDescent="0.2">
      <c r="A176" t="s">
        <v>12</v>
      </c>
      <c r="B176" t="s">
        <v>18</v>
      </c>
      <c r="C176">
        <v>113</v>
      </c>
      <c r="D176">
        <v>126</v>
      </c>
      <c r="E176">
        <v>-13</v>
      </c>
    </row>
    <row r="177" spans="1:5" x14ac:dyDescent="0.2">
      <c r="A177" t="s">
        <v>31</v>
      </c>
      <c r="B177" t="s">
        <v>33</v>
      </c>
      <c r="C177">
        <v>133</v>
      </c>
      <c r="D177">
        <v>98</v>
      </c>
      <c r="E177">
        <v>35</v>
      </c>
    </row>
    <row r="178" spans="1:5" x14ac:dyDescent="0.2">
      <c r="A178" t="s">
        <v>25</v>
      </c>
      <c r="B178" t="s">
        <v>17</v>
      </c>
      <c r="C178">
        <v>122</v>
      </c>
      <c r="D178">
        <v>132</v>
      </c>
      <c r="E178">
        <v>-10</v>
      </c>
    </row>
    <row r="179" spans="1:5" x14ac:dyDescent="0.2">
      <c r="A179" t="s">
        <v>11</v>
      </c>
      <c r="B179" t="s">
        <v>14</v>
      </c>
      <c r="C179">
        <v>140</v>
      </c>
      <c r="D179">
        <v>132</v>
      </c>
      <c r="E179">
        <v>8</v>
      </c>
    </row>
    <row r="180" spans="1:5" x14ac:dyDescent="0.2">
      <c r="A180" t="s">
        <v>13</v>
      </c>
      <c r="B180" t="s">
        <v>10</v>
      </c>
      <c r="C180">
        <v>105</v>
      </c>
      <c r="D180">
        <v>98</v>
      </c>
      <c r="E180">
        <v>7</v>
      </c>
    </row>
    <row r="181" spans="1:5" x14ac:dyDescent="0.2">
      <c r="A181" t="s">
        <v>20</v>
      </c>
      <c r="B181" t="s">
        <v>16</v>
      </c>
      <c r="C181">
        <v>114</v>
      </c>
      <c r="D181">
        <v>105</v>
      </c>
      <c r="E181">
        <v>9</v>
      </c>
    </row>
    <row r="182" spans="1:5" x14ac:dyDescent="0.2">
      <c r="A182" t="s">
        <v>6</v>
      </c>
      <c r="B182" t="s">
        <v>29</v>
      </c>
      <c r="C182">
        <v>140</v>
      </c>
      <c r="D182">
        <v>116</v>
      </c>
      <c r="E182">
        <v>24</v>
      </c>
    </row>
    <row r="183" spans="1:5" x14ac:dyDescent="0.2">
      <c r="A183" t="s">
        <v>23</v>
      </c>
      <c r="B183" t="s">
        <v>9</v>
      </c>
      <c r="C183">
        <v>147</v>
      </c>
      <c r="D183">
        <v>134</v>
      </c>
      <c r="E183">
        <v>13</v>
      </c>
    </row>
    <row r="184" spans="1:5" x14ac:dyDescent="0.2">
      <c r="A184" t="s">
        <v>30</v>
      </c>
      <c r="B184" t="s">
        <v>32</v>
      </c>
      <c r="C184">
        <v>124</v>
      </c>
      <c r="D184">
        <v>110</v>
      </c>
      <c r="E184">
        <v>14</v>
      </c>
    </row>
    <row r="185" spans="1:5" x14ac:dyDescent="0.2">
      <c r="A185" t="s">
        <v>22</v>
      </c>
      <c r="B185" t="s">
        <v>7</v>
      </c>
      <c r="C185">
        <v>104</v>
      </c>
      <c r="D185">
        <v>118</v>
      </c>
      <c r="E185">
        <v>-14</v>
      </c>
    </row>
    <row r="186" spans="1:5" x14ac:dyDescent="0.2">
      <c r="A186" t="s">
        <v>27</v>
      </c>
      <c r="B186" t="s">
        <v>26</v>
      </c>
      <c r="C186">
        <v>127</v>
      </c>
      <c r="D186">
        <v>133</v>
      </c>
      <c r="E186">
        <v>-6</v>
      </c>
    </row>
    <row r="187" spans="1:5" x14ac:dyDescent="0.2">
      <c r="A187" t="s">
        <v>28</v>
      </c>
      <c r="B187" t="s">
        <v>8</v>
      </c>
      <c r="C187">
        <v>108</v>
      </c>
      <c r="D187">
        <v>109</v>
      </c>
      <c r="E187">
        <v>-1</v>
      </c>
    </row>
    <row r="188" spans="1:5" x14ac:dyDescent="0.2">
      <c r="A188" t="s">
        <v>12</v>
      </c>
      <c r="B188" t="s">
        <v>21</v>
      </c>
      <c r="C188">
        <v>108</v>
      </c>
      <c r="D188">
        <v>100</v>
      </c>
      <c r="E188">
        <v>8</v>
      </c>
    </row>
    <row r="189" spans="1:5" x14ac:dyDescent="0.2">
      <c r="A189" t="s">
        <v>9</v>
      </c>
      <c r="B189" t="s">
        <v>5</v>
      </c>
      <c r="C189">
        <v>96</v>
      </c>
      <c r="D189">
        <v>109</v>
      </c>
      <c r="E189">
        <v>-13</v>
      </c>
    </row>
    <row r="190" spans="1:5" x14ac:dyDescent="0.2">
      <c r="A190" t="s">
        <v>33</v>
      </c>
      <c r="B190" t="s">
        <v>18</v>
      </c>
      <c r="C190">
        <v>111</v>
      </c>
      <c r="D190">
        <v>129</v>
      </c>
      <c r="E190">
        <v>-18</v>
      </c>
    </row>
    <row r="191" spans="1:5" x14ac:dyDescent="0.2">
      <c r="A191" t="s">
        <v>23</v>
      </c>
      <c r="B191" t="s">
        <v>7</v>
      </c>
      <c r="C191">
        <v>95</v>
      </c>
      <c r="D191">
        <v>119</v>
      </c>
      <c r="E191">
        <v>-24</v>
      </c>
    </row>
    <row r="192" spans="1:5" x14ac:dyDescent="0.2">
      <c r="A192" t="s">
        <v>30</v>
      </c>
      <c r="B192" t="s">
        <v>34</v>
      </c>
      <c r="C192">
        <v>112</v>
      </c>
      <c r="D192">
        <v>123</v>
      </c>
      <c r="E192">
        <v>-11</v>
      </c>
    </row>
    <row r="193" spans="1:5" x14ac:dyDescent="0.2">
      <c r="A193" t="s">
        <v>15</v>
      </c>
      <c r="B193" t="s">
        <v>26</v>
      </c>
      <c r="C193">
        <v>121</v>
      </c>
      <c r="D193">
        <v>118</v>
      </c>
      <c r="E193">
        <v>3</v>
      </c>
    </row>
    <row r="194" spans="1:5" x14ac:dyDescent="0.2">
      <c r="A194" t="s">
        <v>28</v>
      </c>
      <c r="B194" t="s">
        <v>32</v>
      </c>
      <c r="C194">
        <v>123</v>
      </c>
      <c r="D194">
        <v>110</v>
      </c>
      <c r="E194">
        <v>13</v>
      </c>
    </row>
    <row r="195" spans="1:5" x14ac:dyDescent="0.2">
      <c r="A195" t="s">
        <v>24</v>
      </c>
      <c r="B195" t="s">
        <v>10</v>
      </c>
      <c r="C195">
        <v>106</v>
      </c>
      <c r="D195">
        <v>129</v>
      </c>
      <c r="E195">
        <v>-23</v>
      </c>
    </row>
    <row r="196" spans="1:5" x14ac:dyDescent="0.2">
      <c r="A196" t="s">
        <v>6</v>
      </c>
      <c r="B196" t="s">
        <v>13</v>
      </c>
      <c r="C196">
        <v>117</v>
      </c>
      <c r="D196">
        <v>113</v>
      </c>
      <c r="E196">
        <v>4</v>
      </c>
    </row>
    <row r="197" spans="1:5" x14ac:dyDescent="0.2">
      <c r="A197" t="s">
        <v>22</v>
      </c>
      <c r="B197" t="s">
        <v>8</v>
      </c>
      <c r="C197">
        <v>106</v>
      </c>
      <c r="D197">
        <v>124</v>
      </c>
      <c r="E197">
        <v>-18</v>
      </c>
    </row>
    <row r="198" spans="1:5" x14ac:dyDescent="0.2">
      <c r="A198" t="s">
        <v>27</v>
      </c>
      <c r="B198" t="s">
        <v>29</v>
      </c>
      <c r="C198">
        <v>138</v>
      </c>
      <c r="D198">
        <v>133</v>
      </c>
      <c r="E198">
        <v>5</v>
      </c>
    </row>
    <row r="199" spans="1:5" x14ac:dyDescent="0.2">
      <c r="A199" t="s">
        <v>31</v>
      </c>
      <c r="B199" t="s">
        <v>17</v>
      </c>
      <c r="C199">
        <v>122</v>
      </c>
      <c r="D199">
        <v>124</v>
      </c>
      <c r="E199">
        <v>-2</v>
      </c>
    </row>
    <row r="200" spans="1:5" x14ac:dyDescent="0.2">
      <c r="A200" t="s">
        <v>25</v>
      </c>
      <c r="B200" t="s">
        <v>19</v>
      </c>
      <c r="C200">
        <v>150</v>
      </c>
      <c r="D200">
        <v>147</v>
      </c>
      <c r="E200">
        <v>3</v>
      </c>
    </row>
    <row r="201" spans="1:5" x14ac:dyDescent="0.2">
      <c r="A201" t="s">
        <v>12</v>
      </c>
      <c r="B201" t="s">
        <v>23</v>
      </c>
      <c r="C201">
        <v>118</v>
      </c>
      <c r="D201">
        <v>106</v>
      </c>
      <c r="E201">
        <v>12</v>
      </c>
    </row>
    <row r="202" spans="1:5" x14ac:dyDescent="0.2">
      <c r="A202" t="s">
        <v>20</v>
      </c>
      <c r="B202" t="s">
        <v>33</v>
      </c>
      <c r="C202">
        <v>127</v>
      </c>
      <c r="D202">
        <v>112</v>
      </c>
      <c r="E202">
        <v>15</v>
      </c>
    </row>
    <row r="203" spans="1:5" x14ac:dyDescent="0.2">
      <c r="A203" t="s">
        <v>16</v>
      </c>
      <c r="B203" t="s">
        <v>26</v>
      </c>
      <c r="C203">
        <v>110</v>
      </c>
      <c r="D203">
        <v>108</v>
      </c>
      <c r="E203">
        <v>2</v>
      </c>
    </row>
    <row r="204" spans="1:5" x14ac:dyDescent="0.2">
      <c r="A204" t="s">
        <v>14</v>
      </c>
      <c r="B204" t="s">
        <v>11</v>
      </c>
      <c r="C204">
        <v>115</v>
      </c>
      <c r="D204">
        <v>113</v>
      </c>
      <c r="E204">
        <v>2</v>
      </c>
    </row>
    <row r="205" spans="1:5" x14ac:dyDescent="0.2">
      <c r="A205" t="s">
        <v>18</v>
      </c>
      <c r="B205" t="s">
        <v>9</v>
      </c>
      <c r="C205">
        <v>110</v>
      </c>
      <c r="D205">
        <v>108</v>
      </c>
      <c r="E205">
        <v>2</v>
      </c>
    </row>
    <row r="206" spans="1:5" x14ac:dyDescent="0.2">
      <c r="A206" t="s">
        <v>30</v>
      </c>
      <c r="B206" t="s">
        <v>27</v>
      </c>
      <c r="C206">
        <v>120</v>
      </c>
      <c r="D206">
        <v>96</v>
      </c>
      <c r="E206">
        <v>24</v>
      </c>
    </row>
    <row r="207" spans="1:5" x14ac:dyDescent="0.2">
      <c r="A207" t="s">
        <v>22</v>
      </c>
      <c r="B207" t="s">
        <v>5</v>
      </c>
      <c r="C207">
        <v>109</v>
      </c>
      <c r="D207">
        <v>126</v>
      </c>
      <c r="E207">
        <v>-17</v>
      </c>
    </row>
    <row r="208" spans="1:5" x14ac:dyDescent="0.2">
      <c r="A208" t="s">
        <v>34</v>
      </c>
      <c r="B208" t="s">
        <v>19</v>
      </c>
      <c r="C208">
        <v>127</v>
      </c>
      <c r="D208">
        <v>130</v>
      </c>
      <c r="E208">
        <v>-3</v>
      </c>
    </row>
    <row r="209" spans="1:5" x14ac:dyDescent="0.2">
      <c r="A209" t="s">
        <v>13</v>
      </c>
      <c r="B209" t="s">
        <v>8</v>
      </c>
      <c r="C209">
        <v>121</v>
      </c>
      <c r="D209">
        <v>113</v>
      </c>
      <c r="E209">
        <v>8</v>
      </c>
    </row>
    <row r="210" spans="1:5" x14ac:dyDescent="0.2">
      <c r="A210" t="s">
        <v>17</v>
      </c>
      <c r="B210" t="s">
        <v>20</v>
      </c>
      <c r="C210">
        <v>112</v>
      </c>
      <c r="D210">
        <v>120</v>
      </c>
      <c r="E210">
        <v>-8</v>
      </c>
    </row>
    <row r="211" spans="1:5" x14ac:dyDescent="0.2">
      <c r="A211" t="s">
        <v>10</v>
      </c>
      <c r="B211" t="s">
        <v>15</v>
      </c>
      <c r="C211">
        <v>99</v>
      </c>
      <c r="D211">
        <v>113</v>
      </c>
      <c r="E211">
        <v>-14</v>
      </c>
    </row>
    <row r="212" spans="1:5" x14ac:dyDescent="0.2">
      <c r="A212" t="s">
        <v>28</v>
      </c>
      <c r="B212" t="s">
        <v>21</v>
      </c>
      <c r="C212">
        <v>111</v>
      </c>
      <c r="D212">
        <v>101</v>
      </c>
      <c r="E212">
        <v>10</v>
      </c>
    </row>
    <row r="213" spans="1:5" x14ac:dyDescent="0.2">
      <c r="A213" t="s">
        <v>7</v>
      </c>
      <c r="B213" t="s">
        <v>25</v>
      </c>
      <c r="C213">
        <v>140</v>
      </c>
      <c r="D213">
        <v>126</v>
      </c>
      <c r="E213">
        <v>14</v>
      </c>
    </row>
    <row r="214" spans="1:5" x14ac:dyDescent="0.2">
      <c r="A214" t="s">
        <v>29</v>
      </c>
      <c r="B214" t="s">
        <v>31</v>
      </c>
      <c r="C214">
        <v>110</v>
      </c>
      <c r="D214">
        <v>127</v>
      </c>
      <c r="E214">
        <v>-17</v>
      </c>
    </row>
    <row r="215" spans="1:5" x14ac:dyDescent="0.2">
      <c r="A215" t="s">
        <v>12</v>
      </c>
      <c r="B215" t="s">
        <v>6</v>
      </c>
      <c r="C215">
        <v>104</v>
      </c>
      <c r="D215">
        <v>114</v>
      </c>
      <c r="E215">
        <v>-10</v>
      </c>
    </row>
    <row r="216" spans="1:5" x14ac:dyDescent="0.2">
      <c r="A216" t="s">
        <v>33</v>
      </c>
      <c r="B216" t="s">
        <v>9</v>
      </c>
      <c r="C216">
        <v>127</v>
      </c>
      <c r="D216">
        <v>118</v>
      </c>
      <c r="E216">
        <v>9</v>
      </c>
    </row>
    <row r="217" spans="1:5" x14ac:dyDescent="0.2">
      <c r="A217" t="s">
        <v>16</v>
      </c>
      <c r="B217" t="s">
        <v>18</v>
      </c>
      <c r="C217">
        <v>112</v>
      </c>
      <c r="D217">
        <v>121</v>
      </c>
      <c r="E217">
        <v>-9</v>
      </c>
    </row>
    <row r="218" spans="1:5" x14ac:dyDescent="0.2">
      <c r="A218" t="s">
        <v>14</v>
      </c>
      <c r="B218" t="s">
        <v>8</v>
      </c>
      <c r="C218">
        <v>110</v>
      </c>
      <c r="D218">
        <v>96</v>
      </c>
      <c r="E218">
        <v>14</v>
      </c>
    </row>
    <row r="219" spans="1:5" x14ac:dyDescent="0.2">
      <c r="A219" t="s">
        <v>30</v>
      </c>
      <c r="B219" t="s">
        <v>24</v>
      </c>
      <c r="C219">
        <v>120</v>
      </c>
      <c r="D219">
        <v>109</v>
      </c>
      <c r="E219">
        <v>11</v>
      </c>
    </row>
    <row r="220" spans="1:5" x14ac:dyDescent="0.2">
      <c r="A220" t="s">
        <v>22</v>
      </c>
      <c r="B220" t="s">
        <v>34</v>
      </c>
      <c r="C220">
        <v>118</v>
      </c>
      <c r="D220">
        <v>125</v>
      </c>
      <c r="E220">
        <v>-7</v>
      </c>
    </row>
    <row r="221" spans="1:5" x14ac:dyDescent="0.2">
      <c r="A221" t="s">
        <v>5</v>
      </c>
      <c r="B221" t="s">
        <v>32</v>
      </c>
      <c r="C221">
        <v>113</v>
      </c>
      <c r="D221">
        <v>99</v>
      </c>
      <c r="E221">
        <v>14</v>
      </c>
    </row>
    <row r="222" spans="1:5" x14ac:dyDescent="0.2">
      <c r="A222" t="s">
        <v>27</v>
      </c>
      <c r="B222" t="s">
        <v>11</v>
      </c>
      <c r="C222">
        <v>111</v>
      </c>
      <c r="D222">
        <v>113</v>
      </c>
      <c r="E222">
        <v>-2</v>
      </c>
    </row>
    <row r="223" spans="1:5" x14ac:dyDescent="0.2">
      <c r="A223" t="s">
        <v>29</v>
      </c>
      <c r="B223" t="s">
        <v>19</v>
      </c>
      <c r="C223">
        <v>121</v>
      </c>
      <c r="D223">
        <v>122</v>
      </c>
      <c r="E223">
        <v>-1</v>
      </c>
    </row>
    <row r="224" spans="1:5" x14ac:dyDescent="0.2">
      <c r="A224" t="s">
        <v>13</v>
      </c>
      <c r="B224" t="s">
        <v>26</v>
      </c>
      <c r="C224">
        <v>129</v>
      </c>
      <c r="D224">
        <v>101</v>
      </c>
      <c r="E224">
        <v>28</v>
      </c>
    </row>
    <row r="225" spans="1:5" x14ac:dyDescent="0.2">
      <c r="A225" t="s">
        <v>21</v>
      </c>
      <c r="B225" t="s">
        <v>32</v>
      </c>
      <c r="C225">
        <v>137</v>
      </c>
      <c r="D225">
        <v>96</v>
      </c>
      <c r="E225">
        <v>41</v>
      </c>
    </row>
    <row r="226" spans="1:5" x14ac:dyDescent="0.2">
      <c r="A226" t="s">
        <v>23</v>
      </c>
      <c r="B226" t="s">
        <v>16</v>
      </c>
      <c r="C226">
        <v>114</v>
      </c>
      <c r="D226">
        <v>123</v>
      </c>
      <c r="E226">
        <v>-9</v>
      </c>
    </row>
    <row r="227" spans="1:5" x14ac:dyDescent="0.2">
      <c r="A227" t="s">
        <v>28</v>
      </c>
      <c r="B227" t="s">
        <v>17</v>
      </c>
      <c r="C227">
        <v>135</v>
      </c>
      <c r="D227">
        <v>126</v>
      </c>
      <c r="E227">
        <v>9</v>
      </c>
    </row>
    <row r="228" spans="1:5" x14ac:dyDescent="0.2">
      <c r="A228" t="s">
        <v>12</v>
      </c>
      <c r="B228" t="s">
        <v>33</v>
      </c>
      <c r="C228">
        <v>120</v>
      </c>
      <c r="D228">
        <v>109</v>
      </c>
      <c r="E228">
        <v>11</v>
      </c>
    </row>
    <row r="229" spans="1:5" x14ac:dyDescent="0.2">
      <c r="A229" t="s">
        <v>15</v>
      </c>
      <c r="B229" t="s">
        <v>10</v>
      </c>
      <c r="C229">
        <v>105</v>
      </c>
      <c r="D229">
        <v>113</v>
      </c>
      <c r="E229">
        <v>-8</v>
      </c>
    </row>
    <row r="230" spans="1:5" x14ac:dyDescent="0.2">
      <c r="A230" t="s">
        <v>18</v>
      </c>
      <c r="B230" t="s">
        <v>24</v>
      </c>
      <c r="C230">
        <v>140</v>
      </c>
      <c r="D230">
        <v>110</v>
      </c>
      <c r="E230">
        <v>30</v>
      </c>
    </row>
    <row r="231" spans="1:5" x14ac:dyDescent="0.2">
      <c r="A231" t="s">
        <v>19</v>
      </c>
      <c r="B231" t="s">
        <v>14</v>
      </c>
      <c r="C231">
        <v>107</v>
      </c>
      <c r="D231">
        <v>143</v>
      </c>
      <c r="E231">
        <v>-36</v>
      </c>
    </row>
    <row r="232" spans="1:5" x14ac:dyDescent="0.2">
      <c r="A232" t="s">
        <v>27</v>
      </c>
      <c r="B232" t="s">
        <v>22</v>
      </c>
      <c r="C232">
        <v>118</v>
      </c>
      <c r="D232">
        <v>115</v>
      </c>
      <c r="E232">
        <v>3</v>
      </c>
    </row>
    <row r="233" spans="1:5" x14ac:dyDescent="0.2">
      <c r="A233" t="s">
        <v>31</v>
      </c>
      <c r="B233" t="s">
        <v>30</v>
      </c>
      <c r="C233">
        <v>114</v>
      </c>
      <c r="D233">
        <v>113</v>
      </c>
      <c r="E233">
        <v>1</v>
      </c>
    </row>
    <row r="234" spans="1:5" x14ac:dyDescent="0.2">
      <c r="A234" t="s">
        <v>6</v>
      </c>
      <c r="B234" t="s">
        <v>34</v>
      </c>
      <c r="C234">
        <v>109</v>
      </c>
      <c r="D234">
        <v>112</v>
      </c>
      <c r="E234">
        <v>-3</v>
      </c>
    </row>
    <row r="235" spans="1:5" x14ac:dyDescent="0.2">
      <c r="A235" t="s">
        <v>8</v>
      </c>
      <c r="B235" t="s">
        <v>29</v>
      </c>
      <c r="C235">
        <v>123</v>
      </c>
      <c r="D235">
        <v>127</v>
      </c>
      <c r="E235">
        <v>-4</v>
      </c>
    </row>
    <row r="236" spans="1:5" x14ac:dyDescent="0.2">
      <c r="A236" t="s">
        <v>25</v>
      </c>
      <c r="B236" t="s">
        <v>5</v>
      </c>
      <c r="C236">
        <v>112</v>
      </c>
      <c r="D236">
        <v>144</v>
      </c>
      <c r="E236">
        <v>-32</v>
      </c>
    </row>
    <row r="237" spans="1:5" x14ac:dyDescent="0.2">
      <c r="A237" t="s">
        <v>9</v>
      </c>
      <c r="B237" t="s">
        <v>26</v>
      </c>
      <c r="C237">
        <v>116</v>
      </c>
      <c r="D237">
        <v>131</v>
      </c>
      <c r="E237">
        <v>-15</v>
      </c>
    </row>
    <row r="238" spans="1:5" x14ac:dyDescent="0.2">
      <c r="A238" t="s">
        <v>13</v>
      </c>
      <c r="B238" t="s">
        <v>11</v>
      </c>
      <c r="C238">
        <v>133</v>
      </c>
      <c r="D238">
        <v>121</v>
      </c>
      <c r="E238">
        <v>12</v>
      </c>
    </row>
    <row r="239" spans="1:5" x14ac:dyDescent="0.2">
      <c r="A239" t="s">
        <v>22</v>
      </c>
      <c r="B239" t="s">
        <v>17</v>
      </c>
      <c r="C239">
        <v>98</v>
      </c>
      <c r="D239">
        <v>115</v>
      </c>
      <c r="E239">
        <v>-17</v>
      </c>
    </row>
    <row r="240" spans="1:5" x14ac:dyDescent="0.2">
      <c r="A240" t="s">
        <v>19</v>
      </c>
      <c r="B240" t="s">
        <v>24</v>
      </c>
      <c r="C240">
        <v>121</v>
      </c>
      <c r="D240">
        <v>120</v>
      </c>
      <c r="E240">
        <v>1</v>
      </c>
    </row>
    <row r="241" spans="1:5" x14ac:dyDescent="0.2">
      <c r="A241" t="s">
        <v>23</v>
      </c>
      <c r="B241" t="s">
        <v>20</v>
      </c>
      <c r="C241">
        <v>116</v>
      </c>
      <c r="D241">
        <v>129</v>
      </c>
      <c r="E241">
        <v>-13</v>
      </c>
    </row>
    <row r="242" spans="1:5" x14ac:dyDescent="0.2">
      <c r="A242" t="s">
        <v>27</v>
      </c>
      <c r="B242" t="s">
        <v>21</v>
      </c>
      <c r="C242">
        <v>96</v>
      </c>
      <c r="D242">
        <v>102</v>
      </c>
      <c r="E242">
        <v>-6</v>
      </c>
    </row>
    <row r="243" spans="1:5" x14ac:dyDescent="0.2">
      <c r="A243" t="s">
        <v>34</v>
      </c>
      <c r="B243" t="s">
        <v>32</v>
      </c>
      <c r="C243">
        <v>123</v>
      </c>
      <c r="D243">
        <v>128</v>
      </c>
      <c r="E243">
        <v>-5</v>
      </c>
    </row>
    <row r="244" spans="1:5" x14ac:dyDescent="0.2">
      <c r="A244" t="s">
        <v>16</v>
      </c>
      <c r="B244" t="s">
        <v>14</v>
      </c>
      <c r="C244">
        <v>117</v>
      </c>
      <c r="D244">
        <v>127</v>
      </c>
      <c r="E244">
        <v>-10</v>
      </c>
    </row>
    <row r="245" spans="1:5" x14ac:dyDescent="0.2">
      <c r="A245" t="s">
        <v>17</v>
      </c>
      <c r="B245" t="s">
        <v>9</v>
      </c>
      <c r="C245">
        <v>113</v>
      </c>
      <c r="D245">
        <v>110</v>
      </c>
      <c r="E245">
        <v>3</v>
      </c>
    </row>
    <row r="246" spans="1:5" x14ac:dyDescent="0.2">
      <c r="A246" t="s">
        <v>15</v>
      </c>
      <c r="B246" t="s">
        <v>13</v>
      </c>
      <c r="C246">
        <v>138</v>
      </c>
      <c r="D246">
        <v>129</v>
      </c>
      <c r="E246">
        <v>9</v>
      </c>
    </row>
    <row r="247" spans="1:5" x14ac:dyDescent="0.2">
      <c r="A247" t="s">
        <v>12</v>
      </c>
      <c r="B247" t="s">
        <v>26</v>
      </c>
      <c r="C247">
        <v>120</v>
      </c>
      <c r="D247">
        <v>105</v>
      </c>
      <c r="E247">
        <v>15</v>
      </c>
    </row>
    <row r="248" spans="1:5" x14ac:dyDescent="0.2">
      <c r="A248" t="s">
        <v>18</v>
      </c>
      <c r="B248" t="s">
        <v>10</v>
      </c>
      <c r="C248">
        <v>119</v>
      </c>
      <c r="D248">
        <v>109</v>
      </c>
      <c r="E248">
        <v>10</v>
      </c>
    </row>
    <row r="249" spans="1:5" x14ac:dyDescent="0.2">
      <c r="A249" t="s">
        <v>5</v>
      </c>
      <c r="B249" t="s">
        <v>29</v>
      </c>
      <c r="C249">
        <v>122</v>
      </c>
      <c r="D249">
        <v>95</v>
      </c>
      <c r="E249">
        <v>27</v>
      </c>
    </row>
    <row r="250" spans="1:5" x14ac:dyDescent="0.2">
      <c r="A250" t="s">
        <v>31</v>
      </c>
      <c r="B250" t="s">
        <v>28</v>
      </c>
      <c r="C250">
        <v>111</v>
      </c>
      <c r="D250">
        <v>102</v>
      </c>
      <c r="E250">
        <v>9</v>
      </c>
    </row>
    <row r="251" spans="1:5" x14ac:dyDescent="0.2">
      <c r="A251" t="s">
        <v>25</v>
      </c>
      <c r="B251" t="s">
        <v>7</v>
      </c>
      <c r="C251">
        <v>106</v>
      </c>
      <c r="D251">
        <v>108</v>
      </c>
      <c r="E251">
        <v>-2</v>
      </c>
    </row>
    <row r="252" spans="1:5" x14ac:dyDescent="0.2">
      <c r="A252" t="s">
        <v>33</v>
      </c>
      <c r="B252" t="s">
        <v>20</v>
      </c>
      <c r="C252">
        <v>117</v>
      </c>
      <c r="D252">
        <v>122</v>
      </c>
      <c r="E252">
        <v>-5</v>
      </c>
    </row>
    <row r="253" spans="1:5" x14ac:dyDescent="0.2">
      <c r="A253" t="s">
        <v>18</v>
      </c>
      <c r="B253" t="s">
        <v>12</v>
      </c>
      <c r="C253">
        <v>110</v>
      </c>
      <c r="D253">
        <v>99</v>
      </c>
      <c r="E253">
        <v>11</v>
      </c>
    </row>
    <row r="254" spans="1:5" x14ac:dyDescent="0.2">
      <c r="A254" t="s">
        <v>10</v>
      </c>
      <c r="B254" t="s">
        <v>11</v>
      </c>
      <c r="C254">
        <v>100</v>
      </c>
      <c r="D254">
        <v>113</v>
      </c>
      <c r="E254">
        <v>-13</v>
      </c>
    </row>
    <row r="255" spans="1:5" x14ac:dyDescent="0.2">
      <c r="A255" t="s">
        <v>14</v>
      </c>
      <c r="B255" t="s">
        <v>27</v>
      </c>
      <c r="C255">
        <v>106</v>
      </c>
      <c r="D255">
        <v>102</v>
      </c>
      <c r="E255">
        <v>4</v>
      </c>
    </row>
    <row r="256" spans="1:5" x14ac:dyDescent="0.2">
      <c r="A256" t="s">
        <v>21</v>
      </c>
      <c r="B256" t="s">
        <v>34</v>
      </c>
      <c r="C256">
        <v>115</v>
      </c>
      <c r="D256">
        <v>125</v>
      </c>
      <c r="E256">
        <v>-10</v>
      </c>
    </row>
    <row r="257" spans="1:5" x14ac:dyDescent="0.2">
      <c r="A257" t="s">
        <v>23</v>
      </c>
      <c r="B257" t="s">
        <v>29</v>
      </c>
      <c r="C257">
        <v>103</v>
      </c>
      <c r="D257">
        <v>115</v>
      </c>
      <c r="E257">
        <v>-12</v>
      </c>
    </row>
    <row r="258" spans="1:5" x14ac:dyDescent="0.2">
      <c r="A258" t="s">
        <v>22</v>
      </c>
      <c r="B258" t="s">
        <v>19</v>
      </c>
      <c r="C258">
        <v>143</v>
      </c>
      <c r="D258">
        <v>130</v>
      </c>
      <c r="E258">
        <v>13</v>
      </c>
    </row>
    <row r="259" spans="1:5" x14ac:dyDescent="0.2">
      <c r="A259" t="s">
        <v>31</v>
      </c>
      <c r="B259" t="s">
        <v>6</v>
      </c>
      <c r="C259">
        <v>92</v>
      </c>
      <c r="D259">
        <v>114</v>
      </c>
      <c r="E259">
        <v>-22</v>
      </c>
    </row>
    <row r="260" spans="1:5" x14ac:dyDescent="0.2">
      <c r="A260" t="s">
        <v>8</v>
      </c>
      <c r="B260" t="s">
        <v>25</v>
      </c>
      <c r="C260">
        <v>134</v>
      </c>
      <c r="D260">
        <v>117</v>
      </c>
      <c r="E260">
        <v>17</v>
      </c>
    </row>
    <row r="261" spans="1:5" x14ac:dyDescent="0.2">
      <c r="A261" t="s">
        <v>32</v>
      </c>
      <c r="B261" t="s">
        <v>30</v>
      </c>
      <c r="C261">
        <v>117</v>
      </c>
      <c r="D261">
        <v>112</v>
      </c>
      <c r="E261">
        <v>5</v>
      </c>
    </row>
    <row r="262" spans="1:5" x14ac:dyDescent="0.2">
      <c r="A262" t="s">
        <v>24</v>
      </c>
      <c r="B262" t="s">
        <v>17</v>
      </c>
      <c r="C262">
        <v>132</v>
      </c>
      <c r="D262">
        <v>113</v>
      </c>
      <c r="E262">
        <v>19</v>
      </c>
    </row>
    <row r="263" spans="1:5" x14ac:dyDescent="0.2">
      <c r="A263" t="s">
        <v>16</v>
      </c>
      <c r="B263" t="s">
        <v>13</v>
      </c>
      <c r="C263">
        <v>103</v>
      </c>
      <c r="D263">
        <v>144</v>
      </c>
      <c r="E263">
        <v>-41</v>
      </c>
    </row>
    <row r="264" spans="1:5" x14ac:dyDescent="0.2">
      <c r="A264" t="s">
        <v>7</v>
      </c>
      <c r="B264" t="s">
        <v>26</v>
      </c>
      <c r="C264">
        <v>135</v>
      </c>
      <c r="D264">
        <v>118</v>
      </c>
      <c r="E264">
        <v>17</v>
      </c>
    </row>
    <row r="265" spans="1:5" x14ac:dyDescent="0.2">
      <c r="A265" t="s">
        <v>15</v>
      </c>
      <c r="B265" t="s">
        <v>20</v>
      </c>
      <c r="C265">
        <v>117</v>
      </c>
      <c r="D265">
        <v>114</v>
      </c>
      <c r="E265">
        <v>3</v>
      </c>
    </row>
    <row r="266" spans="1:5" x14ac:dyDescent="0.2">
      <c r="A266" t="s">
        <v>9</v>
      </c>
      <c r="B266" t="s">
        <v>11</v>
      </c>
      <c r="C266">
        <v>101</v>
      </c>
      <c r="D266">
        <v>129</v>
      </c>
      <c r="E266">
        <v>-28</v>
      </c>
    </row>
    <row r="267" spans="1:5" x14ac:dyDescent="0.2">
      <c r="A267" t="s">
        <v>14</v>
      </c>
      <c r="B267" t="s">
        <v>23</v>
      </c>
      <c r="C267">
        <v>106</v>
      </c>
      <c r="D267">
        <v>103</v>
      </c>
      <c r="E267">
        <v>3</v>
      </c>
    </row>
    <row r="268" spans="1:5" x14ac:dyDescent="0.2">
      <c r="A268" t="s">
        <v>5</v>
      </c>
      <c r="B268" t="s">
        <v>30</v>
      </c>
      <c r="C268">
        <v>113</v>
      </c>
      <c r="D268">
        <v>105</v>
      </c>
      <c r="E268">
        <v>8</v>
      </c>
    </row>
    <row r="269" spans="1:5" x14ac:dyDescent="0.2">
      <c r="A269" t="s">
        <v>18</v>
      </c>
      <c r="B269" t="s">
        <v>33</v>
      </c>
      <c r="C269">
        <v>97</v>
      </c>
      <c r="D269">
        <v>95</v>
      </c>
      <c r="E269">
        <v>2</v>
      </c>
    </row>
    <row r="270" spans="1:5" x14ac:dyDescent="0.2">
      <c r="A270" t="s">
        <v>22</v>
      </c>
      <c r="B270" t="s">
        <v>21</v>
      </c>
      <c r="C270">
        <v>128</v>
      </c>
      <c r="D270">
        <v>133</v>
      </c>
      <c r="E270">
        <v>-5</v>
      </c>
    </row>
    <row r="271" spans="1:5" x14ac:dyDescent="0.2">
      <c r="A271" t="s">
        <v>8</v>
      </c>
      <c r="B271" t="s">
        <v>6</v>
      </c>
      <c r="C271">
        <v>100</v>
      </c>
      <c r="D271">
        <v>104</v>
      </c>
      <c r="E271">
        <v>-4</v>
      </c>
    </row>
    <row r="272" spans="1:5" x14ac:dyDescent="0.2">
      <c r="A272" t="s">
        <v>29</v>
      </c>
      <c r="B272" t="s">
        <v>28</v>
      </c>
      <c r="C272">
        <v>102</v>
      </c>
      <c r="D272">
        <v>115</v>
      </c>
      <c r="E272">
        <v>-13</v>
      </c>
    </row>
    <row r="273" spans="1:5" x14ac:dyDescent="0.2">
      <c r="A273" t="s">
        <v>32</v>
      </c>
      <c r="B273" t="s">
        <v>31</v>
      </c>
      <c r="C273">
        <v>100</v>
      </c>
      <c r="D273">
        <v>112</v>
      </c>
      <c r="E273">
        <v>-12</v>
      </c>
    </row>
    <row r="274" spans="1:5" x14ac:dyDescent="0.2">
      <c r="A274" t="s">
        <v>17</v>
      </c>
      <c r="B274" t="s">
        <v>12</v>
      </c>
      <c r="C274">
        <v>130</v>
      </c>
      <c r="D274">
        <v>123</v>
      </c>
      <c r="E274">
        <v>7</v>
      </c>
    </row>
    <row r="275" spans="1:5" x14ac:dyDescent="0.2">
      <c r="A275" t="s">
        <v>10</v>
      </c>
      <c r="B275" t="s">
        <v>16</v>
      </c>
      <c r="C275">
        <v>103</v>
      </c>
      <c r="D275">
        <v>115</v>
      </c>
      <c r="E275">
        <v>-12</v>
      </c>
    </row>
    <row r="276" spans="1:5" x14ac:dyDescent="0.2">
      <c r="A276" t="s">
        <v>9</v>
      </c>
      <c r="B276" t="s">
        <v>19</v>
      </c>
      <c r="C276">
        <v>123</v>
      </c>
      <c r="D276">
        <v>116</v>
      </c>
      <c r="E276">
        <v>7</v>
      </c>
    </row>
    <row r="277" spans="1:5" x14ac:dyDescent="0.2">
      <c r="A277" t="s">
        <v>20</v>
      </c>
      <c r="B277" t="s">
        <v>13</v>
      </c>
      <c r="C277">
        <v>109</v>
      </c>
      <c r="D277">
        <v>112</v>
      </c>
      <c r="E277">
        <v>-3</v>
      </c>
    </row>
    <row r="278" spans="1:5" x14ac:dyDescent="0.2">
      <c r="A278" t="s">
        <v>33</v>
      </c>
      <c r="B278" t="s">
        <v>24</v>
      </c>
      <c r="C278">
        <v>119</v>
      </c>
      <c r="D278">
        <v>86</v>
      </c>
      <c r="E278">
        <v>33</v>
      </c>
    </row>
    <row r="279" spans="1:5" x14ac:dyDescent="0.2">
      <c r="A279" t="s">
        <v>11</v>
      </c>
      <c r="B279" t="s">
        <v>23</v>
      </c>
      <c r="C279">
        <v>118</v>
      </c>
      <c r="D279">
        <v>109</v>
      </c>
      <c r="E279">
        <v>9</v>
      </c>
    </row>
    <row r="280" spans="1:5" x14ac:dyDescent="0.2">
      <c r="A280" t="s">
        <v>34</v>
      </c>
      <c r="B280" t="s">
        <v>28</v>
      </c>
      <c r="C280">
        <v>136</v>
      </c>
      <c r="D280">
        <v>139</v>
      </c>
      <c r="E280">
        <v>-3</v>
      </c>
    </row>
    <row r="281" spans="1:5" x14ac:dyDescent="0.2">
      <c r="A281" t="s">
        <v>5</v>
      </c>
      <c r="B281" t="s">
        <v>31</v>
      </c>
      <c r="C281">
        <v>123</v>
      </c>
      <c r="D281">
        <v>119</v>
      </c>
      <c r="E281">
        <v>4</v>
      </c>
    </row>
    <row r="282" spans="1:5" x14ac:dyDescent="0.2">
      <c r="A282" t="s">
        <v>25</v>
      </c>
      <c r="B282" t="s">
        <v>32</v>
      </c>
      <c r="C282">
        <v>128</v>
      </c>
      <c r="D282">
        <v>119</v>
      </c>
      <c r="E282">
        <v>9</v>
      </c>
    </row>
    <row r="283" spans="1:5" x14ac:dyDescent="0.2">
      <c r="A283" t="s">
        <v>26</v>
      </c>
      <c r="B283" t="s">
        <v>21</v>
      </c>
      <c r="C283">
        <v>107</v>
      </c>
      <c r="D283">
        <v>112</v>
      </c>
      <c r="E283">
        <v>-5</v>
      </c>
    </row>
    <row r="284" spans="1:5" x14ac:dyDescent="0.2">
      <c r="A284" t="s">
        <v>7</v>
      </c>
      <c r="B284" t="s">
        <v>27</v>
      </c>
      <c r="C284">
        <v>129</v>
      </c>
      <c r="D284">
        <v>119</v>
      </c>
      <c r="E284">
        <v>10</v>
      </c>
    </row>
    <row r="285" spans="1:5" x14ac:dyDescent="0.2">
      <c r="A285" t="s">
        <v>30</v>
      </c>
      <c r="B285" t="s">
        <v>15</v>
      </c>
      <c r="C285">
        <v>119</v>
      </c>
      <c r="D285">
        <v>115</v>
      </c>
      <c r="E285">
        <v>4</v>
      </c>
    </row>
    <row r="286" spans="1:5" x14ac:dyDescent="0.2">
      <c r="A286" t="s">
        <v>9</v>
      </c>
      <c r="B286" t="s">
        <v>18</v>
      </c>
      <c r="C286">
        <v>118</v>
      </c>
      <c r="D286">
        <v>111</v>
      </c>
      <c r="E286">
        <v>7</v>
      </c>
    </row>
    <row r="287" spans="1:5" x14ac:dyDescent="0.2">
      <c r="A287" t="s">
        <v>33</v>
      </c>
      <c r="B287" t="s">
        <v>19</v>
      </c>
      <c r="C287">
        <v>103</v>
      </c>
      <c r="D287">
        <v>101</v>
      </c>
      <c r="E287">
        <v>2</v>
      </c>
    </row>
    <row r="288" spans="1:5" x14ac:dyDescent="0.2">
      <c r="A288" t="s">
        <v>14</v>
      </c>
      <c r="B288" t="s">
        <v>20</v>
      </c>
      <c r="C288">
        <v>135</v>
      </c>
      <c r="D288">
        <v>138</v>
      </c>
      <c r="E288">
        <v>-3</v>
      </c>
    </row>
    <row r="289" spans="1:5" x14ac:dyDescent="0.2">
      <c r="A289" t="s">
        <v>23</v>
      </c>
      <c r="B289" t="s">
        <v>10</v>
      </c>
      <c r="C289">
        <v>116</v>
      </c>
      <c r="D289">
        <v>99</v>
      </c>
      <c r="E289">
        <v>17</v>
      </c>
    </row>
    <row r="290" spans="1:5" x14ac:dyDescent="0.2">
      <c r="A290" t="s">
        <v>8</v>
      </c>
      <c r="B290" t="s">
        <v>22</v>
      </c>
      <c r="C290">
        <v>104</v>
      </c>
      <c r="D290">
        <v>96</v>
      </c>
      <c r="E290">
        <v>8</v>
      </c>
    </row>
    <row r="291" spans="1:5" x14ac:dyDescent="0.2">
      <c r="A291" t="s">
        <v>31</v>
      </c>
      <c r="B291" t="s">
        <v>34</v>
      </c>
      <c r="C291">
        <v>112</v>
      </c>
      <c r="D291">
        <v>130</v>
      </c>
      <c r="E291">
        <v>-18</v>
      </c>
    </row>
    <row r="292" spans="1:5" x14ac:dyDescent="0.2">
      <c r="A292" t="s">
        <v>26</v>
      </c>
      <c r="B292" t="s">
        <v>27</v>
      </c>
      <c r="C292">
        <v>110</v>
      </c>
      <c r="D292">
        <v>114</v>
      </c>
      <c r="E292">
        <v>-4</v>
      </c>
    </row>
    <row r="293" spans="1:5" x14ac:dyDescent="0.2">
      <c r="A293" t="s">
        <v>25</v>
      </c>
      <c r="B293" t="s">
        <v>6</v>
      </c>
      <c r="C293">
        <v>101</v>
      </c>
      <c r="D293">
        <v>129</v>
      </c>
      <c r="E293">
        <v>-28</v>
      </c>
    </row>
    <row r="294" spans="1:5" x14ac:dyDescent="0.2">
      <c r="A294" t="s">
        <v>12</v>
      </c>
      <c r="B294" t="s">
        <v>15</v>
      </c>
      <c r="C294">
        <v>115</v>
      </c>
      <c r="D294">
        <v>117</v>
      </c>
      <c r="E294">
        <v>-2</v>
      </c>
    </row>
    <row r="295" spans="1:5" x14ac:dyDescent="0.2">
      <c r="A295" t="s">
        <v>11</v>
      </c>
      <c r="B295" t="s">
        <v>18</v>
      </c>
      <c r="C295">
        <v>116</v>
      </c>
      <c r="D295">
        <v>94</v>
      </c>
      <c r="E295">
        <v>22</v>
      </c>
    </row>
    <row r="296" spans="1:5" x14ac:dyDescent="0.2">
      <c r="A296" t="s">
        <v>16</v>
      </c>
      <c r="B296" t="s">
        <v>17</v>
      </c>
      <c r="C296">
        <v>134</v>
      </c>
      <c r="D296">
        <v>142</v>
      </c>
      <c r="E296">
        <v>-8</v>
      </c>
    </row>
    <row r="297" spans="1:5" x14ac:dyDescent="0.2">
      <c r="A297" t="s">
        <v>29</v>
      </c>
      <c r="B297" t="s">
        <v>5</v>
      </c>
      <c r="C297">
        <v>115</v>
      </c>
      <c r="D297">
        <v>123</v>
      </c>
      <c r="E297">
        <v>-8</v>
      </c>
    </row>
    <row r="298" spans="1:5" x14ac:dyDescent="0.2">
      <c r="A298" t="s">
        <v>30</v>
      </c>
      <c r="B298" t="s">
        <v>28</v>
      </c>
      <c r="C298">
        <v>125</v>
      </c>
      <c r="D298">
        <v>112</v>
      </c>
      <c r="E298">
        <v>13</v>
      </c>
    </row>
    <row r="299" spans="1:5" x14ac:dyDescent="0.2">
      <c r="A299" t="s">
        <v>32</v>
      </c>
      <c r="B299" t="s">
        <v>21</v>
      </c>
      <c r="C299">
        <v>107</v>
      </c>
      <c r="D299">
        <v>115</v>
      </c>
      <c r="E299">
        <v>-8</v>
      </c>
    </row>
    <row r="300" spans="1:5" x14ac:dyDescent="0.2">
      <c r="A300" t="s">
        <v>7</v>
      </c>
      <c r="B300" t="s">
        <v>22</v>
      </c>
      <c r="C300">
        <v>133</v>
      </c>
      <c r="D300">
        <v>121</v>
      </c>
      <c r="E300">
        <v>12</v>
      </c>
    </row>
    <row r="301" spans="1:5" x14ac:dyDescent="0.2">
      <c r="A301" t="s">
        <v>20</v>
      </c>
      <c r="B301" t="s">
        <v>17</v>
      </c>
      <c r="C301">
        <v>99</v>
      </c>
      <c r="D301">
        <v>98</v>
      </c>
      <c r="E301">
        <v>1</v>
      </c>
    </row>
    <row r="302" spans="1:5" x14ac:dyDescent="0.2">
      <c r="A302" t="s">
        <v>33</v>
      </c>
      <c r="B302" t="s">
        <v>12</v>
      </c>
      <c r="C302">
        <v>119</v>
      </c>
      <c r="D302">
        <v>135</v>
      </c>
      <c r="E302">
        <v>-16</v>
      </c>
    </row>
    <row r="303" spans="1:5" x14ac:dyDescent="0.2">
      <c r="A303" t="s">
        <v>24</v>
      </c>
      <c r="B303" t="s">
        <v>23</v>
      </c>
      <c r="C303">
        <v>129</v>
      </c>
      <c r="D303">
        <v>126</v>
      </c>
      <c r="E303">
        <v>3</v>
      </c>
    </row>
    <row r="304" spans="1:5" x14ac:dyDescent="0.2">
      <c r="A304" t="s">
        <v>10</v>
      </c>
      <c r="B304" t="s">
        <v>9</v>
      </c>
      <c r="C304">
        <v>116</v>
      </c>
      <c r="D304">
        <v>103</v>
      </c>
      <c r="E304">
        <v>13</v>
      </c>
    </row>
    <row r="305" spans="1:5" x14ac:dyDescent="0.2">
      <c r="A305" t="s">
        <v>14</v>
      </c>
      <c r="B305" t="s">
        <v>26</v>
      </c>
      <c r="C305">
        <v>140</v>
      </c>
      <c r="D305">
        <v>123</v>
      </c>
      <c r="E305">
        <v>17</v>
      </c>
    </row>
    <row r="306" spans="1:5" x14ac:dyDescent="0.2">
      <c r="A306" t="s">
        <v>13</v>
      </c>
      <c r="B306" t="s">
        <v>19</v>
      </c>
      <c r="C306">
        <v>125</v>
      </c>
      <c r="D306">
        <v>120</v>
      </c>
      <c r="E306">
        <v>5</v>
      </c>
    </row>
    <row r="307" spans="1:5" x14ac:dyDescent="0.2">
      <c r="A307" t="s">
        <v>34</v>
      </c>
      <c r="B307" t="s">
        <v>27</v>
      </c>
      <c r="C307">
        <v>121</v>
      </c>
      <c r="D307">
        <v>131</v>
      </c>
      <c r="E307">
        <v>-10</v>
      </c>
    </row>
    <row r="308" spans="1:5" x14ac:dyDescent="0.2">
      <c r="A308" t="s">
        <v>25</v>
      </c>
      <c r="B308" t="s">
        <v>6</v>
      </c>
      <c r="C308">
        <v>133</v>
      </c>
      <c r="D308">
        <v>125</v>
      </c>
      <c r="E308">
        <v>8</v>
      </c>
    </row>
    <row r="309" spans="1:5" x14ac:dyDescent="0.2">
      <c r="A309" t="s">
        <v>7</v>
      </c>
      <c r="B309" t="s">
        <v>31</v>
      </c>
      <c r="C309">
        <v>108</v>
      </c>
      <c r="D309">
        <v>125</v>
      </c>
      <c r="E309">
        <v>-17</v>
      </c>
    </row>
    <row r="310" spans="1:5" x14ac:dyDescent="0.2">
      <c r="A310" t="s">
        <v>16</v>
      </c>
      <c r="B310" t="s">
        <v>24</v>
      </c>
      <c r="C310">
        <v>121</v>
      </c>
      <c r="D310">
        <v>102</v>
      </c>
      <c r="E310">
        <v>19</v>
      </c>
    </row>
    <row r="311" spans="1:5" x14ac:dyDescent="0.2">
      <c r="A311" t="s">
        <v>18</v>
      </c>
      <c r="B311" t="s">
        <v>29</v>
      </c>
      <c r="C311">
        <v>121</v>
      </c>
      <c r="D311">
        <v>118</v>
      </c>
      <c r="E311">
        <v>3</v>
      </c>
    </row>
    <row r="312" spans="1:5" x14ac:dyDescent="0.2">
      <c r="A312" t="s">
        <v>15</v>
      </c>
      <c r="B312" t="s">
        <v>11</v>
      </c>
      <c r="C312">
        <v>123</v>
      </c>
      <c r="D312">
        <v>117</v>
      </c>
      <c r="E312">
        <v>6</v>
      </c>
    </row>
    <row r="313" spans="1:5" x14ac:dyDescent="0.2">
      <c r="A313" t="s">
        <v>22</v>
      </c>
      <c r="B313" t="s">
        <v>30</v>
      </c>
      <c r="C313">
        <v>142</v>
      </c>
      <c r="D313">
        <v>149</v>
      </c>
      <c r="E313">
        <v>-7</v>
      </c>
    </row>
    <row r="314" spans="1:5" x14ac:dyDescent="0.2">
      <c r="A314" t="s">
        <v>28</v>
      </c>
      <c r="B314" t="s">
        <v>21</v>
      </c>
      <c r="C314">
        <v>126</v>
      </c>
      <c r="D314">
        <v>119</v>
      </c>
      <c r="E314">
        <v>7</v>
      </c>
    </row>
    <row r="315" spans="1:5" x14ac:dyDescent="0.2">
      <c r="A315" t="s">
        <v>8</v>
      </c>
      <c r="B315" t="s">
        <v>5</v>
      </c>
      <c r="C315">
        <v>112</v>
      </c>
      <c r="D315">
        <v>124</v>
      </c>
      <c r="E315">
        <v>-12</v>
      </c>
    </row>
    <row r="316" spans="1:5" x14ac:dyDescent="0.2">
      <c r="A316" t="s">
        <v>12</v>
      </c>
      <c r="B316" t="s">
        <v>29</v>
      </c>
      <c r="C316">
        <v>110</v>
      </c>
      <c r="D316">
        <v>122</v>
      </c>
      <c r="E316">
        <v>-12</v>
      </c>
    </row>
    <row r="317" spans="1:5" x14ac:dyDescent="0.2">
      <c r="A317" t="s">
        <v>33</v>
      </c>
      <c r="B317" t="s">
        <v>34</v>
      </c>
      <c r="C317">
        <v>120</v>
      </c>
      <c r="D317">
        <v>135</v>
      </c>
      <c r="E317">
        <v>-15</v>
      </c>
    </row>
    <row r="318" spans="1:5" x14ac:dyDescent="0.2">
      <c r="A318" t="s">
        <v>13</v>
      </c>
      <c r="B318" t="s">
        <v>28</v>
      </c>
      <c r="C318">
        <v>112</v>
      </c>
      <c r="D318">
        <v>114</v>
      </c>
      <c r="E318">
        <v>-2</v>
      </c>
    </row>
    <row r="319" spans="1:5" x14ac:dyDescent="0.2">
      <c r="A319" t="s">
        <v>17</v>
      </c>
      <c r="B319" t="s">
        <v>26</v>
      </c>
      <c r="C319">
        <v>92</v>
      </c>
      <c r="D319">
        <v>115</v>
      </c>
      <c r="E319">
        <v>-23</v>
      </c>
    </row>
    <row r="320" spans="1:5" x14ac:dyDescent="0.2">
      <c r="A320" t="s">
        <v>11</v>
      </c>
      <c r="B320" t="s">
        <v>9</v>
      </c>
      <c r="C320">
        <v>119</v>
      </c>
      <c r="D320">
        <v>104</v>
      </c>
      <c r="E320">
        <v>15</v>
      </c>
    </row>
    <row r="321" spans="1:5" x14ac:dyDescent="0.2">
      <c r="A321" t="s">
        <v>19</v>
      </c>
      <c r="B321" t="s">
        <v>10</v>
      </c>
      <c r="C321">
        <v>103</v>
      </c>
      <c r="D321">
        <v>113</v>
      </c>
      <c r="E321">
        <v>-10</v>
      </c>
    </row>
    <row r="322" spans="1:5" x14ac:dyDescent="0.2">
      <c r="A322" t="s">
        <v>6</v>
      </c>
      <c r="B322" t="s">
        <v>32</v>
      </c>
      <c r="C322">
        <v>121</v>
      </c>
      <c r="D322">
        <v>95</v>
      </c>
      <c r="E322">
        <v>26</v>
      </c>
    </row>
    <row r="323" spans="1:5" x14ac:dyDescent="0.2">
      <c r="A323" t="s">
        <v>23</v>
      </c>
      <c r="B323" t="s">
        <v>20</v>
      </c>
      <c r="C323">
        <v>113</v>
      </c>
      <c r="D323">
        <v>109</v>
      </c>
      <c r="E323">
        <v>4</v>
      </c>
    </row>
    <row r="324" spans="1:5" x14ac:dyDescent="0.2">
      <c r="A324" t="s">
        <v>27</v>
      </c>
      <c r="B324" t="s">
        <v>14</v>
      </c>
      <c r="C324">
        <v>118</v>
      </c>
      <c r="D324">
        <v>108</v>
      </c>
      <c r="E324">
        <v>10</v>
      </c>
    </row>
    <row r="325" spans="1:5" x14ac:dyDescent="0.2">
      <c r="A325" t="s">
        <v>16</v>
      </c>
      <c r="B325" t="s">
        <v>8</v>
      </c>
      <c r="C325">
        <v>99</v>
      </c>
      <c r="D325">
        <v>98</v>
      </c>
      <c r="E325">
        <v>1</v>
      </c>
    </row>
    <row r="326" spans="1:5" x14ac:dyDescent="0.2">
      <c r="A326" t="s">
        <v>24</v>
      </c>
      <c r="B326" t="s">
        <v>15</v>
      </c>
      <c r="C326">
        <v>101</v>
      </c>
      <c r="D326">
        <v>146</v>
      </c>
      <c r="E326">
        <v>-45</v>
      </c>
    </row>
    <row r="327" spans="1:5" x14ac:dyDescent="0.2">
      <c r="A327" t="s">
        <v>10</v>
      </c>
      <c r="B327" t="s">
        <v>25</v>
      </c>
      <c r="C327">
        <v>110</v>
      </c>
      <c r="D327">
        <v>123</v>
      </c>
      <c r="E327">
        <v>-13</v>
      </c>
    </row>
    <row r="328" spans="1:5" x14ac:dyDescent="0.2">
      <c r="A328" t="s">
        <v>18</v>
      </c>
      <c r="B328" t="s">
        <v>7</v>
      </c>
      <c r="C328">
        <v>120</v>
      </c>
      <c r="D328">
        <v>123</v>
      </c>
      <c r="E328">
        <v>-3</v>
      </c>
    </row>
    <row r="329" spans="1:5" x14ac:dyDescent="0.2">
      <c r="A329" t="s">
        <v>22</v>
      </c>
      <c r="B329" t="s">
        <v>30</v>
      </c>
      <c r="C329">
        <v>116</v>
      </c>
      <c r="D329">
        <v>125</v>
      </c>
      <c r="E329">
        <v>-9</v>
      </c>
    </row>
    <row r="330" spans="1:5" x14ac:dyDescent="0.2">
      <c r="A330" t="s">
        <v>15</v>
      </c>
      <c r="B330" t="s">
        <v>7</v>
      </c>
      <c r="C330">
        <v>126</v>
      </c>
      <c r="D330">
        <v>105</v>
      </c>
      <c r="E330">
        <v>21</v>
      </c>
    </row>
    <row r="331" spans="1:5" x14ac:dyDescent="0.2">
      <c r="A331" t="s">
        <v>13</v>
      </c>
      <c r="B331" t="s">
        <v>14</v>
      </c>
      <c r="C331">
        <v>106</v>
      </c>
      <c r="D331">
        <v>105</v>
      </c>
      <c r="E331">
        <v>1</v>
      </c>
    </row>
    <row r="332" spans="1:5" x14ac:dyDescent="0.2">
      <c r="A332" t="s">
        <v>17</v>
      </c>
      <c r="B332" t="s">
        <v>34</v>
      </c>
      <c r="C332">
        <v>133</v>
      </c>
      <c r="D332">
        <v>134</v>
      </c>
      <c r="E332">
        <v>-1</v>
      </c>
    </row>
    <row r="333" spans="1:5" x14ac:dyDescent="0.2">
      <c r="A333" t="s">
        <v>12</v>
      </c>
      <c r="B333" t="s">
        <v>28</v>
      </c>
      <c r="C333">
        <v>130</v>
      </c>
      <c r="D333">
        <v>117</v>
      </c>
      <c r="E333">
        <v>13</v>
      </c>
    </row>
    <row r="334" spans="1:5" x14ac:dyDescent="0.2">
      <c r="A334" t="s">
        <v>20</v>
      </c>
      <c r="B334" t="s">
        <v>29</v>
      </c>
      <c r="C334">
        <v>122</v>
      </c>
      <c r="D334">
        <v>116</v>
      </c>
      <c r="E334">
        <v>6</v>
      </c>
    </row>
    <row r="335" spans="1:5" x14ac:dyDescent="0.2">
      <c r="A335" t="s">
        <v>11</v>
      </c>
      <c r="B335" t="s">
        <v>25</v>
      </c>
      <c r="C335">
        <v>146</v>
      </c>
      <c r="D335">
        <v>112</v>
      </c>
      <c r="E335">
        <v>34</v>
      </c>
    </row>
    <row r="336" spans="1:5" x14ac:dyDescent="0.2">
      <c r="A336" t="s">
        <v>18</v>
      </c>
      <c r="B336" t="s">
        <v>9</v>
      </c>
      <c r="C336">
        <v>86</v>
      </c>
      <c r="D336">
        <v>111</v>
      </c>
      <c r="E336">
        <v>-25</v>
      </c>
    </row>
    <row r="337" spans="1:5" x14ac:dyDescent="0.2">
      <c r="A337" t="s">
        <v>19</v>
      </c>
      <c r="B337" t="s">
        <v>33</v>
      </c>
      <c r="C337">
        <v>105</v>
      </c>
      <c r="D337">
        <v>120</v>
      </c>
      <c r="E337">
        <v>-15</v>
      </c>
    </row>
    <row r="338" spans="1:5" x14ac:dyDescent="0.2">
      <c r="A338" t="s">
        <v>6</v>
      </c>
      <c r="B338" t="s">
        <v>31</v>
      </c>
      <c r="C338">
        <v>117</v>
      </c>
      <c r="D338">
        <v>98</v>
      </c>
      <c r="E338">
        <v>19</v>
      </c>
    </row>
    <row r="339" spans="1:5" x14ac:dyDescent="0.2">
      <c r="A339" t="s">
        <v>21</v>
      </c>
      <c r="B339" t="s">
        <v>26</v>
      </c>
      <c r="C339">
        <v>107</v>
      </c>
      <c r="D339">
        <v>98</v>
      </c>
      <c r="E339">
        <v>9</v>
      </c>
    </row>
    <row r="340" spans="1:5" x14ac:dyDescent="0.2">
      <c r="A340" t="s">
        <v>23</v>
      </c>
      <c r="B340" t="s">
        <v>16</v>
      </c>
      <c r="C340">
        <v>101</v>
      </c>
      <c r="D340">
        <v>116</v>
      </c>
      <c r="E340">
        <v>-15</v>
      </c>
    </row>
    <row r="341" spans="1:5" x14ac:dyDescent="0.2">
      <c r="A341" t="s">
        <v>5</v>
      </c>
      <c r="B341" t="s">
        <v>27</v>
      </c>
      <c r="C341">
        <v>132</v>
      </c>
      <c r="D341">
        <v>111</v>
      </c>
      <c r="E341">
        <v>21</v>
      </c>
    </row>
    <row r="342" spans="1:5" x14ac:dyDescent="0.2">
      <c r="A342" t="s">
        <v>10</v>
      </c>
      <c r="B342" t="s">
        <v>22</v>
      </c>
      <c r="C342">
        <v>119</v>
      </c>
      <c r="D342">
        <v>101</v>
      </c>
      <c r="E342">
        <v>18</v>
      </c>
    </row>
    <row r="343" spans="1:5" x14ac:dyDescent="0.2">
      <c r="A343" t="s">
        <v>24</v>
      </c>
      <c r="B343" t="s">
        <v>17</v>
      </c>
      <c r="C343">
        <v>116</v>
      </c>
      <c r="D343">
        <v>131</v>
      </c>
      <c r="E343">
        <v>-15</v>
      </c>
    </row>
    <row r="344" spans="1:5" x14ac:dyDescent="0.2">
      <c r="A344" t="s">
        <v>12</v>
      </c>
      <c r="B344" t="s">
        <v>8</v>
      </c>
      <c r="C344">
        <v>94</v>
      </c>
      <c r="D344">
        <v>99</v>
      </c>
      <c r="E344">
        <v>-5</v>
      </c>
    </row>
    <row r="345" spans="1:5" x14ac:dyDescent="0.2">
      <c r="A345" t="s">
        <v>20</v>
      </c>
      <c r="B345" t="s">
        <v>23</v>
      </c>
      <c r="C345">
        <v>124</v>
      </c>
      <c r="D345">
        <v>112</v>
      </c>
      <c r="E345">
        <v>12</v>
      </c>
    </row>
    <row r="346" spans="1:5" x14ac:dyDescent="0.2">
      <c r="A346" t="s">
        <v>14</v>
      </c>
      <c r="B346" t="s">
        <v>32</v>
      </c>
      <c r="C346">
        <v>111</v>
      </c>
      <c r="D346">
        <v>127</v>
      </c>
      <c r="E346">
        <v>-16</v>
      </c>
    </row>
    <row r="347" spans="1:5" x14ac:dyDescent="0.2">
      <c r="A347" t="s">
        <v>30</v>
      </c>
      <c r="B347" t="s">
        <v>26</v>
      </c>
      <c r="C347">
        <v>109</v>
      </c>
      <c r="D347">
        <v>106</v>
      </c>
      <c r="E347">
        <v>3</v>
      </c>
    </row>
    <row r="348" spans="1:5" x14ac:dyDescent="0.2">
      <c r="A348" t="s">
        <v>27</v>
      </c>
      <c r="B348" t="s">
        <v>6</v>
      </c>
      <c r="C348">
        <v>122</v>
      </c>
      <c r="D348">
        <v>109</v>
      </c>
      <c r="E348">
        <v>13</v>
      </c>
    </row>
    <row r="349" spans="1:5" x14ac:dyDescent="0.2">
      <c r="A349" t="s">
        <v>11</v>
      </c>
      <c r="B349" t="s">
        <v>13</v>
      </c>
      <c r="C349">
        <v>106</v>
      </c>
      <c r="D349">
        <v>100</v>
      </c>
      <c r="E349">
        <v>6</v>
      </c>
    </row>
    <row r="350" spans="1:5" x14ac:dyDescent="0.2">
      <c r="A350" t="s">
        <v>18</v>
      </c>
      <c r="B350" t="s">
        <v>15</v>
      </c>
      <c r="C350">
        <v>113</v>
      </c>
      <c r="D350">
        <v>121</v>
      </c>
      <c r="E350">
        <v>-8</v>
      </c>
    </row>
    <row r="351" spans="1:5" x14ac:dyDescent="0.2">
      <c r="A351" t="s">
        <v>9</v>
      </c>
      <c r="B351" t="s">
        <v>34</v>
      </c>
      <c r="C351">
        <v>106</v>
      </c>
      <c r="D351">
        <v>115</v>
      </c>
      <c r="E351">
        <v>-9</v>
      </c>
    </row>
    <row r="352" spans="1:5" x14ac:dyDescent="0.2">
      <c r="A352" t="s">
        <v>21</v>
      </c>
      <c r="B352" t="s">
        <v>29</v>
      </c>
      <c r="C352">
        <v>119</v>
      </c>
      <c r="D352">
        <v>96</v>
      </c>
      <c r="E352">
        <v>23</v>
      </c>
    </row>
    <row r="353" spans="1:5" x14ac:dyDescent="0.2">
      <c r="A353" t="s">
        <v>19</v>
      </c>
      <c r="B353" t="s">
        <v>8</v>
      </c>
      <c r="C353">
        <v>91</v>
      </c>
      <c r="D353">
        <v>123</v>
      </c>
      <c r="E353">
        <v>-32</v>
      </c>
    </row>
    <row r="354" spans="1:5" x14ac:dyDescent="0.2">
      <c r="A354" t="s">
        <v>16</v>
      </c>
      <c r="B354" t="s">
        <v>7</v>
      </c>
      <c r="C354">
        <v>108</v>
      </c>
      <c r="D354">
        <v>112</v>
      </c>
      <c r="E354">
        <v>-4</v>
      </c>
    </row>
    <row r="355" spans="1:5" x14ac:dyDescent="0.2">
      <c r="A355" t="s">
        <v>25</v>
      </c>
      <c r="B355" t="s">
        <v>5</v>
      </c>
      <c r="C355">
        <v>101</v>
      </c>
      <c r="D355">
        <v>131</v>
      </c>
      <c r="E355">
        <v>-30</v>
      </c>
    </row>
    <row r="356" spans="1:5" x14ac:dyDescent="0.2">
      <c r="A356" t="s">
        <v>33</v>
      </c>
      <c r="B356" t="s">
        <v>32</v>
      </c>
      <c r="C356">
        <v>116</v>
      </c>
      <c r="D356">
        <v>105</v>
      </c>
      <c r="E356">
        <v>11</v>
      </c>
    </row>
    <row r="357" spans="1:5" x14ac:dyDescent="0.2">
      <c r="A357" t="s">
        <v>30</v>
      </c>
      <c r="B357" t="s">
        <v>31</v>
      </c>
      <c r="C357">
        <v>105</v>
      </c>
      <c r="D357">
        <v>108</v>
      </c>
      <c r="E357">
        <v>-3</v>
      </c>
    </row>
    <row r="358" spans="1:5" x14ac:dyDescent="0.2">
      <c r="A358" t="s">
        <v>22</v>
      </c>
      <c r="B358" t="s">
        <v>28</v>
      </c>
      <c r="C358">
        <v>132</v>
      </c>
      <c r="D358">
        <v>135</v>
      </c>
      <c r="E358">
        <v>-3</v>
      </c>
    </row>
    <row r="359" spans="1:5" x14ac:dyDescent="0.2">
      <c r="A359" t="s">
        <v>13</v>
      </c>
      <c r="B359" t="s">
        <v>14</v>
      </c>
      <c r="C359">
        <v>117</v>
      </c>
      <c r="D359">
        <v>108</v>
      </c>
      <c r="E359">
        <v>9</v>
      </c>
    </row>
    <row r="360" spans="1:5" x14ac:dyDescent="0.2">
      <c r="A360" t="s">
        <v>18</v>
      </c>
      <c r="B360" t="s">
        <v>11</v>
      </c>
      <c r="C360">
        <v>101</v>
      </c>
      <c r="D360">
        <v>117</v>
      </c>
      <c r="E360">
        <v>-16</v>
      </c>
    </row>
    <row r="361" spans="1:5" x14ac:dyDescent="0.2">
      <c r="A361" t="s">
        <v>5</v>
      </c>
      <c r="B361" t="s">
        <v>31</v>
      </c>
      <c r="C361">
        <v>138</v>
      </c>
      <c r="D361">
        <v>89</v>
      </c>
      <c r="E361">
        <v>49</v>
      </c>
    </row>
    <row r="362" spans="1:5" x14ac:dyDescent="0.2">
      <c r="A362" t="s">
        <v>7</v>
      </c>
      <c r="B362" t="s">
        <v>28</v>
      </c>
      <c r="C362">
        <v>119</v>
      </c>
      <c r="D362">
        <v>132</v>
      </c>
      <c r="E362">
        <v>-13</v>
      </c>
    </row>
    <row r="363" spans="1:5" x14ac:dyDescent="0.2">
      <c r="A363" t="s">
        <v>6</v>
      </c>
      <c r="B363" t="s">
        <v>26</v>
      </c>
      <c r="C363">
        <v>115</v>
      </c>
      <c r="D363">
        <v>113</v>
      </c>
      <c r="E363">
        <v>2</v>
      </c>
    </row>
    <row r="364" spans="1:5" x14ac:dyDescent="0.2">
      <c r="A364" t="s">
        <v>23</v>
      </c>
      <c r="B364" t="s">
        <v>15</v>
      </c>
      <c r="C364">
        <v>116</v>
      </c>
      <c r="D364">
        <v>101</v>
      </c>
      <c r="E364">
        <v>15</v>
      </c>
    </row>
    <row r="365" spans="1:5" x14ac:dyDescent="0.2">
      <c r="A365" t="s">
        <v>22</v>
      </c>
      <c r="B365" t="s">
        <v>29</v>
      </c>
      <c r="C365">
        <v>143</v>
      </c>
      <c r="D365">
        <v>120</v>
      </c>
      <c r="E365">
        <v>23</v>
      </c>
    </row>
    <row r="366" spans="1:5" x14ac:dyDescent="0.2">
      <c r="A366" t="s">
        <v>32</v>
      </c>
      <c r="B366" t="s">
        <v>34</v>
      </c>
      <c r="C366">
        <v>105</v>
      </c>
      <c r="D366">
        <v>136</v>
      </c>
      <c r="E366">
        <v>-31</v>
      </c>
    </row>
    <row r="367" spans="1:5" x14ac:dyDescent="0.2">
      <c r="A367" t="s">
        <v>9</v>
      </c>
      <c r="B367" t="s">
        <v>19</v>
      </c>
      <c r="C367">
        <v>126</v>
      </c>
      <c r="D367">
        <v>129</v>
      </c>
      <c r="E367">
        <v>-3</v>
      </c>
    </row>
    <row r="368" spans="1:5" x14ac:dyDescent="0.2">
      <c r="A368" t="s">
        <v>20</v>
      </c>
      <c r="B368" t="s">
        <v>17</v>
      </c>
      <c r="C368">
        <v>142</v>
      </c>
      <c r="D368">
        <v>115</v>
      </c>
      <c r="E368">
        <v>27</v>
      </c>
    </row>
    <row r="369" spans="1:5" x14ac:dyDescent="0.2">
      <c r="A369" t="s">
        <v>16</v>
      </c>
      <c r="B369" t="s">
        <v>33</v>
      </c>
      <c r="C369">
        <v>115</v>
      </c>
      <c r="D369">
        <v>105</v>
      </c>
      <c r="E369">
        <v>10</v>
      </c>
    </row>
    <row r="370" spans="1:5" x14ac:dyDescent="0.2">
      <c r="A370" t="s">
        <v>24</v>
      </c>
      <c r="B370" t="s">
        <v>12</v>
      </c>
      <c r="C370">
        <v>126</v>
      </c>
      <c r="D370">
        <v>130</v>
      </c>
      <c r="E370">
        <v>-4</v>
      </c>
    </row>
    <row r="371" spans="1:5" x14ac:dyDescent="0.2">
      <c r="A371" t="s">
        <v>21</v>
      </c>
      <c r="B371" t="s">
        <v>25</v>
      </c>
      <c r="C371">
        <v>126</v>
      </c>
      <c r="D371">
        <v>130</v>
      </c>
      <c r="E371">
        <v>-4</v>
      </c>
    </row>
    <row r="372" spans="1:5" x14ac:dyDescent="0.2">
      <c r="A372" t="s">
        <v>27</v>
      </c>
      <c r="B372" t="s">
        <v>10</v>
      </c>
      <c r="C372">
        <v>119</v>
      </c>
      <c r="D372">
        <v>111</v>
      </c>
      <c r="E372">
        <v>8</v>
      </c>
    </row>
    <row r="373" spans="1:5" x14ac:dyDescent="0.2">
      <c r="A373" t="s">
        <v>8</v>
      </c>
      <c r="B373" t="s">
        <v>30</v>
      </c>
      <c r="C373">
        <v>120</v>
      </c>
      <c r="D373">
        <v>127</v>
      </c>
      <c r="E373">
        <v>-7</v>
      </c>
    </row>
    <row r="374" spans="1:5" x14ac:dyDescent="0.2">
      <c r="A374" t="s">
        <v>13</v>
      </c>
      <c r="B374" t="s">
        <v>11</v>
      </c>
      <c r="C374">
        <v>120</v>
      </c>
      <c r="D374">
        <v>132</v>
      </c>
      <c r="E374">
        <v>-12</v>
      </c>
    </row>
    <row r="375" spans="1:5" x14ac:dyDescent="0.2">
      <c r="A375" t="s">
        <v>5</v>
      </c>
      <c r="B375" t="s">
        <v>28</v>
      </c>
      <c r="C375">
        <v>109</v>
      </c>
      <c r="D375">
        <v>111</v>
      </c>
      <c r="E375">
        <v>-2</v>
      </c>
    </row>
    <row r="376" spans="1:5" x14ac:dyDescent="0.2">
      <c r="A376" t="s">
        <v>33</v>
      </c>
      <c r="B376" t="s">
        <v>24</v>
      </c>
      <c r="C376">
        <v>89</v>
      </c>
      <c r="D376">
        <v>108</v>
      </c>
      <c r="E376">
        <v>-19</v>
      </c>
    </row>
    <row r="377" spans="1:5" x14ac:dyDescent="0.2">
      <c r="A377" t="s">
        <v>12</v>
      </c>
      <c r="B377" t="s">
        <v>9</v>
      </c>
      <c r="C377">
        <v>111</v>
      </c>
      <c r="D377">
        <v>119</v>
      </c>
      <c r="E377">
        <v>-8</v>
      </c>
    </row>
    <row r="378" spans="1:5" x14ac:dyDescent="0.2">
      <c r="A378" t="s">
        <v>17</v>
      </c>
      <c r="B378" t="s">
        <v>16</v>
      </c>
      <c r="C378">
        <v>120</v>
      </c>
      <c r="D378">
        <v>117</v>
      </c>
      <c r="E378">
        <v>3</v>
      </c>
    </row>
    <row r="379" spans="1:5" x14ac:dyDescent="0.2">
      <c r="A379" t="s">
        <v>10</v>
      </c>
      <c r="B379" t="s">
        <v>23</v>
      </c>
      <c r="C379">
        <v>127</v>
      </c>
      <c r="D379">
        <v>82</v>
      </c>
      <c r="E379">
        <v>45</v>
      </c>
    </row>
    <row r="380" spans="1:5" x14ac:dyDescent="0.2">
      <c r="A380" t="s">
        <v>19</v>
      </c>
      <c r="B380" t="s">
        <v>22</v>
      </c>
      <c r="C380">
        <v>104</v>
      </c>
      <c r="D380">
        <v>114</v>
      </c>
      <c r="E380">
        <v>-10</v>
      </c>
    </row>
    <row r="381" spans="1:5" x14ac:dyDescent="0.2">
      <c r="A381" t="s">
        <v>30</v>
      </c>
      <c r="B381" t="s">
        <v>32</v>
      </c>
      <c r="C381">
        <v>117</v>
      </c>
      <c r="D381">
        <v>103</v>
      </c>
      <c r="E381">
        <v>14</v>
      </c>
    </row>
    <row r="382" spans="1:5" x14ac:dyDescent="0.2">
      <c r="A382" t="s">
        <v>31</v>
      </c>
      <c r="B382" t="s">
        <v>7</v>
      </c>
      <c r="C382">
        <v>114</v>
      </c>
      <c r="D382">
        <v>116</v>
      </c>
      <c r="E382">
        <v>-2</v>
      </c>
    </row>
    <row r="383" spans="1:5" x14ac:dyDescent="0.2">
      <c r="A383" t="s">
        <v>29</v>
      </c>
      <c r="B383" t="s">
        <v>8</v>
      </c>
      <c r="C383">
        <v>136</v>
      </c>
      <c r="D383">
        <v>131</v>
      </c>
      <c r="E383">
        <v>5</v>
      </c>
    </row>
    <row r="384" spans="1:5" x14ac:dyDescent="0.2">
      <c r="A384" t="s">
        <v>15</v>
      </c>
      <c r="B384" t="s">
        <v>20</v>
      </c>
      <c r="C384">
        <v>105</v>
      </c>
      <c r="D384">
        <v>112</v>
      </c>
      <c r="E384">
        <v>-7</v>
      </c>
    </row>
    <row r="385" spans="1:5" x14ac:dyDescent="0.2">
      <c r="A385" t="s">
        <v>14</v>
      </c>
      <c r="B385" t="s">
        <v>18</v>
      </c>
      <c r="C385">
        <v>96</v>
      </c>
      <c r="D385">
        <v>106</v>
      </c>
      <c r="E385">
        <v>-10</v>
      </c>
    </row>
    <row r="386" spans="1:5" x14ac:dyDescent="0.2">
      <c r="A386" t="s">
        <v>25</v>
      </c>
      <c r="B386" t="s">
        <v>27</v>
      </c>
      <c r="C386">
        <v>140</v>
      </c>
      <c r="D386">
        <v>133</v>
      </c>
      <c r="E386">
        <v>7</v>
      </c>
    </row>
    <row r="387" spans="1:5" x14ac:dyDescent="0.2">
      <c r="A387" t="s">
        <v>34</v>
      </c>
      <c r="B387" t="s">
        <v>6</v>
      </c>
      <c r="C387">
        <v>128</v>
      </c>
      <c r="D387">
        <v>125</v>
      </c>
      <c r="E387">
        <v>3</v>
      </c>
    </row>
    <row r="388" spans="1:5" x14ac:dyDescent="0.2">
      <c r="A388" t="s">
        <v>26</v>
      </c>
      <c r="B388" t="s">
        <v>21</v>
      </c>
      <c r="C388">
        <v>103</v>
      </c>
      <c r="D388">
        <v>121</v>
      </c>
      <c r="E388">
        <v>-18</v>
      </c>
    </row>
    <row r="389" spans="1:5" x14ac:dyDescent="0.2">
      <c r="A389" t="s">
        <v>11</v>
      </c>
      <c r="B389" t="s">
        <v>28</v>
      </c>
      <c r="C389">
        <v>124</v>
      </c>
      <c r="D389">
        <v>113</v>
      </c>
      <c r="E389">
        <v>11</v>
      </c>
    </row>
    <row r="390" spans="1:5" x14ac:dyDescent="0.2">
      <c r="A390" t="s">
        <v>19</v>
      </c>
      <c r="B390" t="s">
        <v>12</v>
      </c>
      <c r="C390">
        <v>127</v>
      </c>
      <c r="D390">
        <v>111</v>
      </c>
      <c r="E390">
        <v>16</v>
      </c>
    </row>
    <row r="391" spans="1:5" x14ac:dyDescent="0.2">
      <c r="A391" t="s">
        <v>30</v>
      </c>
      <c r="B391" t="s">
        <v>21</v>
      </c>
      <c r="C391">
        <v>110</v>
      </c>
      <c r="D391">
        <v>116</v>
      </c>
      <c r="E391">
        <v>-6</v>
      </c>
    </row>
    <row r="392" spans="1:5" x14ac:dyDescent="0.2">
      <c r="A392" t="s">
        <v>9</v>
      </c>
      <c r="B392" t="s">
        <v>17</v>
      </c>
      <c r="C392">
        <v>133</v>
      </c>
      <c r="D392">
        <v>126</v>
      </c>
      <c r="E392">
        <v>7</v>
      </c>
    </row>
    <row r="393" spans="1:5" x14ac:dyDescent="0.2">
      <c r="A393" t="s">
        <v>33</v>
      </c>
      <c r="B393" t="s">
        <v>11</v>
      </c>
      <c r="C393">
        <v>113</v>
      </c>
      <c r="D393">
        <v>114</v>
      </c>
      <c r="E393">
        <v>-1</v>
      </c>
    </row>
    <row r="394" spans="1:5" x14ac:dyDescent="0.2">
      <c r="A394" t="s">
        <v>10</v>
      </c>
      <c r="B394" t="s">
        <v>14</v>
      </c>
      <c r="C394">
        <v>95</v>
      </c>
      <c r="D394">
        <v>106</v>
      </c>
      <c r="E394">
        <v>-11</v>
      </c>
    </row>
    <row r="395" spans="1:5" x14ac:dyDescent="0.2">
      <c r="A395" t="s">
        <v>23</v>
      </c>
      <c r="B395" t="s">
        <v>18</v>
      </c>
      <c r="C395">
        <v>105</v>
      </c>
      <c r="D395">
        <v>111</v>
      </c>
      <c r="E395">
        <v>-6</v>
      </c>
    </row>
    <row r="396" spans="1:5" x14ac:dyDescent="0.2">
      <c r="A396" t="s">
        <v>22</v>
      </c>
      <c r="B396" t="s">
        <v>6</v>
      </c>
      <c r="C396">
        <v>133</v>
      </c>
      <c r="D396">
        <v>128</v>
      </c>
      <c r="E396">
        <v>5</v>
      </c>
    </row>
    <row r="397" spans="1:5" x14ac:dyDescent="0.2">
      <c r="A397" t="s">
        <v>5</v>
      </c>
      <c r="B397" t="s">
        <v>26</v>
      </c>
      <c r="C397">
        <v>122</v>
      </c>
      <c r="D397">
        <v>101</v>
      </c>
      <c r="E397">
        <v>21</v>
      </c>
    </row>
    <row r="398" spans="1:5" x14ac:dyDescent="0.2">
      <c r="A398" t="s">
        <v>28</v>
      </c>
      <c r="B398" t="s">
        <v>24</v>
      </c>
      <c r="C398">
        <v>119</v>
      </c>
      <c r="D398">
        <v>94</v>
      </c>
      <c r="E398">
        <v>25</v>
      </c>
    </row>
    <row r="399" spans="1:5" x14ac:dyDescent="0.2">
      <c r="A399" t="s">
        <v>27</v>
      </c>
      <c r="B399" t="s">
        <v>20</v>
      </c>
      <c r="C399">
        <v>116</v>
      </c>
      <c r="D399">
        <v>114</v>
      </c>
      <c r="E399">
        <v>2</v>
      </c>
    </row>
    <row r="400" spans="1:5" x14ac:dyDescent="0.2">
      <c r="A400" t="s">
        <v>34</v>
      </c>
      <c r="B400" t="s">
        <v>13</v>
      </c>
      <c r="C400">
        <v>126</v>
      </c>
      <c r="D400">
        <v>115</v>
      </c>
      <c r="E400">
        <v>11</v>
      </c>
    </row>
    <row r="401" spans="1:5" x14ac:dyDescent="0.2">
      <c r="A401" t="s">
        <v>31</v>
      </c>
      <c r="B401" t="s">
        <v>8</v>
      </c>
      <c r="C401">
        <v>99</v>
      </c>
      <c r="D401">
        <v>98</v>
      </c>
      <c r="E401">
        <v>1</v>
      </c>
    </row>
    <row r="402" spans="1:5" x14ac:dyDescent="0.2">
      <c r="A402" t="s">
        <v>25</v>
      </c>
      <c r="B402" t="s">
        <v>7</v>
      </c>
      <c r="C402">
        <v>135</v>
      </c>
      <c r="D402">
        <v>143</v>
      </c>
      <c r="E402">
        <v>-8</v>
      </c>
    </row>
    <row r="403" spans="1:5" x14ac:dyDescent="0.2">
      <c r="A403" t="s">
        <v>29</v>
      </c>
      <c r="B403" t="s">
        <v>32</v>
      </c>
      <c r="C403">
        <v>134</v>
      </c>
      <c r="D403">
        <v>133</v>
      </c>
      <c r="E403">
        <v>1</v>
      </c>
    </row>
    <row r="404" spans="1:5" x14ac:dyDescent="0.2">
      <c r="A404" t="s">
        <v>15</v>
      </c>
      <c r="B404" t="s">
        <v>14</v>
      </c>
      <c r="C404">
        <v>129</v>
      </c>
      <c r="D404">
        <v>116</v>
      </c>
      <c r="E404">
        <v>13</v>
      </c>
    </row>
    <row r="405" spans="1:5" x14ac:dyDescent="0.2">
      <c r="A405" t="s">
        <v>11</v>
      </c>
      <c r="B405" t="s">
        <v>16</v>
      </c>
      <c r="C405">
        <v>107</v>
      </c>
      <c r="D405">
        <v>116</v>
      </c>
      <c r="E405">
        <v>-9</v>
      </c>
    </row>
    <row r="406" spans="1:5" x14ac:dyDescent="0.2">
      <c r="A406" t="s">
        <v>17</v>
      </c>
      <c r="B406" t="s">
        <v>28</v>
      </c>
      <c r="C406">
        <v>98</v>
      </c>
      <c r="D406">
        <v>126</v>
      </c>
      <c r="E406">
        <v>-28</v>
      </c>
    </row>
    <row r="407" spans="1:5" x14ac:dyDescent="0.2">
      <c r="A407" t="s">
        <v>12</v>
      </c>
      <c r="B407" t="s">
        <v>19</v>
      </c>
      <c r="C407">
        <v>125</v>
      </c>
      <c r="D407">
        <v>136</v>
      </c>
      <c r="E407">
        <v>-11</v>
      </c>
    </row>
    <row r="408" spans="1:5" x14ac:dyDescent="0.2">
      <c r="A408" t="s">
        <v>30</v>
      </c>
      <c r="B408" t="s">
        <v>5</v>
      </c>
      <c r="C408">
        <v>112</v>
      </c>
      <c r="D408">
        <v>107</v>
      </c>
      <c r="E408">
        <v>5</v>
      </c>
    </row>
    <row r="409" spans="1:5" x14ac:dyDescent="0.2">
      <c r="A409" t="s">
        <v>34</v>
      </c>
      <c r="B409" t="s">
        <v>6</v>
      </c>
      <c r="C409">
        <v>101</v>
      </c>
      <c r="D409">
        <v>115</v>
      </c>
      <c r="E409">
        <v>-14</v>
      </c>
    </row>
    <row r="410" spans="1:5" x14ac:dyDescent="0.2">
      <c r="A410" t="s">
        <v>22</v>
      </c>
      <c r="B410" t="s">
        <v>33</v>
      </c>
      <c r="C410">
        <v>128</v>
      </c>
      <c r="D410">
        <v>109</v>
      </c>
      <c r="E410">
        <v>19</v>
      </c>
    </row>
    <row r="411" spans="1:5" x14ac:dyDescent="0.2">
      <c r="A411" t="s">
        <v>16</v>
      </c>
      <c r="B411" t="s">
        <v>27</v>
      </c>
      <c r="C411">
        <v>121</v>
      </c>
      <c r="D411">
        <v>114</v>
      </c>
      <c r="E411">
        <v>7</v>
      </c>
    </row>
    <row r="412" spans="1:5" x14ac:dyDescent="0.2">
      <c r="A412" t="s">
        <v>18</v>
      </c>
      <c r="B412" t="s">
        <v>15</v>
      </c>
      <c r="C412">
        <v>96</v>
      </c>
      <c r="D412">
        <v>112</v>
      </c>
      <c r="E412">
        <v>-16</v>
      </c>
    </row>
    <row r="413" spans="1:5" x14ac:dyDescent="0.2">
      <c r="A413" t="s">
        <v>20</v>
      </c>
      <c r="B413" t="s">
        <v>9</v>
      </c>
      <c r="C413">
        <v>112</v>
      </c>
      <c r="D413">
        <v>86</v>
      </c>
      <c r="E413">
        <v>26</v>
      </c>
    </row>
    <row r="414" spans="1:5" x14ac:dyDescent="0.2">
      <c r="A414" t="s">
        <v>21</v>
      </c>
      <c r="B414" t="s">
        <v>24</v>
      </c>
      <c r="C414">
        <v>122</v>
      </c>
      <c r="D414">
        <v>130</v>
      </c>
      <c r="E414">
        <v>-8</v>
      </c>
    </row>
    <row r="415" spans="1:5" x14ac:dyDescent="0.2">
      <c r="A415" t="s">
        <v>8</v>
      </c>
      <c r="B415" t="s">
        <v>31</v>
      </c>
      <c r="C415">
        <v>119</v>
      </c>
      <c r="D415">
        <v>116</v>
      </c>
      <c r="E415">
        <v>3</v>
      </c>
    </row>
    <row r="416" spans="1:5" x14ac:dyDescent="0.2">
      <c r="A416" t="s">
        <v>25</v>
      </c>
      <c r="B416" t="s">
        <v>13</v>
      </c>
      <c r="C416">
        <v>127</v>
      </c>
      <c r="D416">
        <v>128</v>
      </c>
      <c r="E416">
        <v>-1</v>
      </c>
    </row>
    <row r="417" spans="1:5" x14ac:dyDescent="0.2">
      <c r="A417" t="s">
        <v>32</v>
      </c>
      <c r="B417" t="s">
        <v>29</v>
      </c>
      <c r="C417">
        <v>93</v>
      </c>
      <c r="D417">
        <v>98</v>
      </c>
      <c r="E417">
        <v>-5</v>
      </c>
    </row>
    <row r="418" spans="1:5" x14ac:dyDescent="0.2">
      <c r="A418" t="s">
        <v>26</v>
      </c>
      <c r="B418" t="s">
        <v>7</v>
      </c>
      <c r="C418">
        <v>103</v>
      </c>
      <c r="D418">
        <v>88</v>
      </c>
      <c r="E418">
        <v>15</v>
      </c>
    </row>
    <row r="419" spans="1:5" x14ac:dyDescent="0.2">
      <c r="A419" t="s">
        <v>17</v>
      </c>
      <c r="B419" t="s">
        <v>19</v>
      </c>
      <c r="C419">
        <v>150</v>
      </c>
      <c r="D419">
        <v>152</v>
      </c>
      <c r="E419">
        <v>-2</v>
      </c>
    </row>
    <row r="420" spans="1:5" x14ac:dyDescent="0.2">
      <c r="A420" t="s">
        <v>10</v>
      </c>
      <c r="B420" t="s">
        <v>18</v>
      </c>
      <c r="C420">
        <v>96</v>
      </c>
      <c r="D420">
        <v>81</v>
      </c>
      <c r="E420">
        <v>15</v>
      </c>
    </row>
    <row r="421" spans="1:5" x14ac:dyDescent="0.2">
      <c r="A421" t="s">
        <v>11</v>
      </c>
      <c r="B421" t="s">
        <v>14</v>
      </c>
      <c r="C421">
        <v>132</v>
      </c>
      <c r="D421">
        <v>125</v>
      </c>
      <c r="E421">
        <v>7</v>
      </c>
    </row>
    <row r="422" spans="1:5" x14ac:dyDescent="0.2">
      <c r="A422" t="s">
        <v>30</v>
      </c>
      <c r="B422" t="s">
        <v>23</v>
      </c>
      <c r="C422">
        <v>103</v>
      </c>
      <c r="D422">
        <v>100</v>
      </c>
      <c r="E422">
        <v>3</v>
      </c>
    </row>
    <row r="423" spans="1:5" x14ac:dyDescent="0.2">
      <c r="A423" t="s">
        <v>24</v>
      </c>
      <c r="B423" t="s">
        <v>28</v>
      </c>
      <c r="C423">
        <v>113</v>
      </c>
      <c r="D423">
        <v>124</v>
      </c>
      <c r="E423">
        <v>-11</v>
      </c>
    </row>
    <row r="424" spans="1:5" x14ac:dyDescent="0.2">
      <c r="A424" t="s">
        <v>32</v>
      </c>
      <c r="B424" t="s">
        <v>6</v>
      </c>
      <c r="C424">
        <v>125</v>
      </c>
      <c r="D424">
        <v>124</v>
      </c>
      <c r="E424">
        <v>1</v>
      </c>
    </row>
    <row r="425" spans="1:5" x14ac:dyDescent="0.2">
      <c r="A425" t="s">
        <v>12</v>
      </c>
      <c r="B425" t="s">
        <v>9</v>
      </c>
      <c r="C425">
        <v>139</v>
      </c>
      <c r="D425">
        <v>132</v>
      </c>
      <c r="E425">
        <v>7</v>
      </c>
    </row>
    <row r="426" spans="1:5" x14ac:dyDescent="0.2">
      <c r="A426" t="s">
        <v>15</v>
      </c>
      <c r="B426" t="s">
        <v>33</v>
      </c>
      <c r="C426">
        <v>103</v>
      </c>
      <c r="D426">
        <v>95</v>
      </c>
      <c r="E426">
        <v>8</v>
      </c>
    </row>
    <row r="427" spans="1:5" x14ac:dyDescent="0.2">
      <c r="A427" t="s">
        <v>22</v>
      </c>
      <c r="B427" t="s">
        <v>27</v>
      </c>
      <c r="C427">
        <v>119</v>
      </c>
      <c r="D427">
        <v>113</v>
      </c>
      <c r="E427">
        <v>6</v>
      </c>
    </row>
    <row r="428" spans="1:5" x14ac:dyDescent="0.2">
      <c r="A428" t="s">
        <v>34</v>
      </c>
      <c r="B428" t="s">
        <v>25</v>
      </c>
      <c r="C428">
        <v>135</v>
      </c>
      <c r="D428">
        <v>112</v>
      </c>
      <c r="E428">
        <v>23</v>
      </c>
    </row>
    <row r="429" spans="1:5" x14ac:dyDescent="0.2">
      <c r="A429" t="s">
        <v>5</v>
      </c>
      <c r="B429" t="s">
        <v>21</v>
      </c>
      <c r="C429">
        <v>119</v>
      </c>
      <c r="D429">
        <v>103</v>
      </c>
      <c r="E429">
        <v>16</v>
      </c>
    </row>
    <row r="430" spans="1:5" x14ac:dyDescent="0.2">
      <c r="A430" t="s">
        <v>8</v>
      </c>
      <c r="B430" t="s">
        <v>13</v>
      </c>
      <c r="C430">
        <v>120</v>
      </c>
      <c r="D430">
        <v>97</v>
      </c>
      <c r="E430">
        <v>23</v>
      </c>
    </row>
    <row r="431" spans="1:5" x14ac:dyDescent="0.2">
      <c r="A431" t="s">
        <v>29</v>
      </c>
      <c r="B431" t="s">
        <v>20</v>
      </c>
      <c r="C431">
        <v>102</v>
      </c>
      <c r="D431">
        <v>110</v>
      </c>
      <c r="E431">
        <v>-8</v>
      </c>
    </row>
    <row r="432" spans="1:5" x14ac:dyDescent="0.2">
      <c r="A432" t="s">
        <v>9</v>
      </c>
      <c r="B432" t="s">
        <v>24</v>
      </c>
      <c r="C432">
        <v>126</v>
      </c>
      <c r="D432">
        <v>109</v>
      </c>
      <c r="E432">
        <v>17</v>
      </c>
    </row>
    <row r="433" spans="1:5" x14ac:dyDescent="0.2">
      <c r="A433" t="s">
        <v>16</v>
      </c>
      <c r="B433" t="s">
        <v>10</v>
      </c>
      <c r="C433">
        <v>106</v>
      </c>
      <c r="D433">
        <v>114</v>
      </c>
      <c r="E433">
        <v>-8</v>
      </c>
    </row>
    <row r="434" spans="1:5" x14ac:dyDescent="0.2">
      <c r="A434" t="s">
        <v>17</v>
      </c>
      <c r="B434" t="s">
        <v>19</v>
      </c>
      <c r="C434">
        <v>123</v>
      </c>
      <c r="D434">
        <v>126</v>
      </c>
      <c r="E434">
        <v>-3</v>
      </c>
    </row>
    <row r="435" spans="1:5" x14ac:dyDescent="0.2">
      <c r="A435" t="s">
        <v>12</v>
      </c>
      <c r="B435" t="s">
        <v>22</v>
      </c>
      <c r="C435">
        <v>141</v>
      </c>
      <c r="D435">
        <v>118</v>
      </c>
      <c r="E435">
        <v>23</v>
      </c>
    </row>
    <row r="436" spans="1:5" x14ac:dyDescent="0.2">
      <c r="A436" t="s">
        <v>33</v>
      </c>
      <c r="B436" t="s">
        <v>23</v>
      </c>
      <c r="C436">
        <v>94</v>
      </c>
      <c r="D436">
        <v>111</v>
      </c>
      <c r="E436">
        <v>-17</v>
      </c>
    </row>
    <row r="437" spans="1:5" x14ac:dyDescent="0.2">
      <c r="A437" t="s">
        <v>14</v>
      </c>
      <c r="B437" t="s">
        <v>18</v>
      </c>
      <c r="C437">
        <v>91</v>
      </c>
      <c r="D437">
        <v>112</v>
      </c>
      <c r="E437">
        <v>-21</v>
      </c>
    </row>
    <row r="438" spans="1:5" x14ac:dyDescent="0.2">
      <c r="A438" t="s">
        <v>27</v>
      </c>
      <c r="B438" t="s">
        <v>34</v>
      </c>
      <c r="C438">
        <v>131</v>
      </c>
      <c r="D438">
        <v>130</v>
      </c>
      <c r="E438">
        <v>1</v>
      </c>
    </row>
    <row r="439" spans="1:5" x14ac:dyDescent="0.2">
      <c r="A439" t="s">
        <v>30</v>
      </c>
      <c r="B439" t="s">
        <v>11</v>
      </c>
      <c r="C439">
        <v>115</v>
      </c>
      <c r="D439">
        <v>104</v>
      </c>
      <c r="E439">
        <v>11</v>
      </c>
    </row>
    <row r="440" spans="1:5" x14ac:dyDescent="0.2">
      <c r="A440" t="s">
        <v>28</v>
      </c>
      <c r="B440" t="s">
        <v>5</v>
      </c>
      <c r="C440">
        <v>130</v>
      </c>
      <c r="D440">
        <v>110</v>
      </c>
      <c r="E440">
        <v>20</v>
      </c>
    </row>
    <row r="441" spans="1:5" x14ac:dyDescent="0.2">
      <c r="A441" t="s">
        <v>31</v>
      </c>
      <c r="B441" t="s">
        <v>7</v>
      </c>
      <c r="C441">
        <v>132</v>
      </c>
      <c r="D441">
        <v>108</v>
      </c>
      <c r="E441">
        <v>24</v>
      </c>
    </row>
    <row r="442" spans="1:5" x14ac:dyDescent="0.2">
      <c r="A442" t="s">
        <v>25</v>
      </c>
      <c r="B442" t="s">
        <v>21</v>
      </c>
      <c r="C442">
        <v>128</v>
      </c>
      <c r="D442">
        <v>137</v>
      </c>
      <c r="E442">
        <v>-9</v>
      </c>
    </row>
    <row r="443" spans="1:5" x14ac:dyDescent="0.2">
      <c r="A443" t="s">
        <v>29</v>
      </c>
      <c r="B443" t="s">
        <v>13</v>
      </c>
      <c r="C443">
        <v>106</v>
      </c>
      <c r="D443">
        <v>110</v>
      </c>
      <c r="E443">
        <v>-4</v>
      </c>
    </row>
    <row r="444" spans="1:5" x14ac:dyDescent="0.2">
      <c r="A444" t="s">
        <v>32</v>
      </c>
      <c r="B444" t="s">
        <v>20</v>
      </c>
      <c r="C444">
        <v>127</v>
      </c>
      <c r="D444">
        <v>136</v>
      </c>
      <c r="E444">
        <v>-9</v>
      </c>
    </row>
    <row r="445" spans="1:5" x14ac:dyDescent="0.2">
      <c r="A445" t="s">
        <v>26</v>
      </c>
      <c r="B445" t="s">
        <v>6</v>
      </c>
      <c r="C445">
        <v>128</v>
      </c>
      <c r="D445">
        <v>108</v>
      </c>
      <c r="E445">
        <v>20</v>
      </c>
    </row>
    <row r="446" spans="1:5" x14ac:dyDescent="0.2">
      <c r="A446" t="s">
        <v>11</v>
      </c>
      <c r="B446" t="s">
        <v>12</v>
      </c>
      <c r="C446">
        <v>126</v>
      </c>
      <c r="D446">
        <v>124</v>
      </c>
      <c r="E446">
        <v>2</v>
      </c>
    </row>
    <row r="447" spans="1:5" x14ac:dyDescent="0.2">
      <c r="A447" t="s">
        <v>5</v>
      </c>
      <c r="B447" t="s">
        <v>28</v>
      </c>
      <c r="C447">
        <v>102</v>
      </c>
      <c r="D447">
        <v>117</v>
      </c>
      <c r="E447">
        <v>-15</v>
      </c>
    </row>
    <row r="448" spans="1:5" x14ac:dyDescent="0.2">
      <c r="A448" t="s">
        <v>8</v>
      </c>
      <c r="B448" t="s">
        <v>27</v>
      </c>
      <c r="C448">
        <v>126</v>
      </c>
      <c r="D448">
        <v>116</v>
      </c>
      <c r="E448">
        <v>10</v>
      </c>
    </row>
    <row r="449" spans="1:5" x14ac:dyDescent="0.2">
      <c r="A449" t="s">
        <v>7</v>
      </c>
      <c r="B449" t="s">
        <v>6</v>
      </c>
      <c r="C449">
        <v>96</v>
      </c>
      <c r="D449">
        <v>119</v>
      </c>
      <c r="E449">
        <v>-23</v>
      </c>
    </row>
    <row r="450" spans="1:5" x14ac:dyDescent="0.2">
      <c r="A450" t="s">
        <v>34</v>
      </c>
      <c r="B450" t="s">
        <v>30</v>
      </c>
      <c r="C450">
        <v>142</v>
      </c>
      <c r="D450">
        <v>138</v>
      </c>
      <c r="E450">
        <v>4</v>
      </c>
    </row>
    <row r="451" spans="1:5" x14ac:dyDescent="0.2">
      <c r="A451" t="s">
        <v>17</v>
      </c>
      <c r="B451" t="s">
        <v>14</v>
      </c>
      <c r="C451">
        <v>111</v>
      </c>
      <c r="D451">
        <v>126</v>
      </c>
      <c r="E451">
        <v>-15</v>
      </c>
    </row>
    <row r="452" spans="1:5" x14ac:dyDescent="0.2">
      <c r="A452" t="s">
        <v>33</v>
      </c>
      <c r="B452" t="s">
        <v>15</v>
      </c>
      <c r="C452">
        <v>122</v>
      </c>
      <c r="D452">
        <v>140</v>
      </c>
      <c r="E452">
        <v>-18</v>
      </c>
    </row>
    <row r="453" spans="1:5" x14ac:dyDescent="0.2">
      <c r="A453" t="s">
        <v>13</v>
      </c>
      <c r="B453" t="s">
        <v>9</v>
      </c>
      <c r="C453">
        <v>105</v>
      </c>
      <c r="D453">
        <v>120</v>
      </c>
      <c r="E453">
        <v>-15</v>
      </c>
    </row>
    <row r="454" spans="1:5" x14ac:dyDescent="0.2">
      <c r="A454" t="s">
        <v>24</v>
      </c>
      <c r="B454" t="s">
        <v>18</v>
      </c>
      <c r="C454">
        <v>138</v>
      </c>
      <c r="D454">
        <v>117</v>
      </c>
      <c r="E454">
        <v>21</v>
      </c>
    </row>
    <row r="455" spans="1:5" x14ac:dyDescent="0.2">
      <c r="A455" t="s">
        <v>19</v>
      </c>
      <c r="B455" t="s">
        <v>16</v>
      </c>
      <c r="C455">
        <v>109</v>
      </c>
      <c r="D455">
        <v>102</v>
      </c>
      <c r="E455">
        <v>7</v>
      </c>
    </row>
    <row r="456" spans="1:5" x14ac:dyDescent="0.2">
      <c r="A456" t="s">
        <v>21</v>
      </c>
      <c r="B456" t="s">
        <v>23</v>
      </c>
      <c r="C456">
        <v>125</v>
      </c>
      <c r="D456">
        <v>104</v>
      </c>
      <c r="E456">
        <v>21</v>
      </c>
    </row>
    <row r="457" spans="1:5" x14ac:dyDescent="0.2">
      <c r="A457" t="s">
        <v>22</v>
      </c>
      <c r="B457" t="s">
        <v>31</v>
      </c>
      <c r="C457">
        <v>108</v>
      </c>
      <c r="D457">
        <v>115</v>
      </c>
      <c r="E457">
        <v>-7</v>
      </c>
    </row>
    <row r="458" spans="1:5" x14ac:dyDescent="0.2">
      <c r="A458" t="s">
        <v>25</v>
      </c>
      <c r="B458" t="s">
        <v>20</v>
      </c>
      <c r="C458">
        <v>131</v>
      </c>
      <c r="D458">
        <v>129</v>
      </c>
      <c r="E458">
        <v>2</v>
      </c>
    </row>
    <row r="459" spans="1:5" x14ac:dyDescent="0.2">
      <c r="A459" t="s">
        <v>29</v>
      </c>
      <c r="B459" t="s">
        <v>26</v>
      </c>
      <c r="C459">
        <v>103</v>
      </c>
      <c r="D459">
        <v>119</v>
      </c>
      <c r="E459">
        <v>-16</v>
      </c>
    </row>
    <row r="460" spans="1:5" x14ac:dyDescent="0.2">
      <c r="A460" t="s">
        <v>32</v>
      </c>
      <c r="B460" t="s">
        <v>27</v>
      </c>
      <c r="C460">
        <v>113</v>
      </c>
      <c r="D460">
        <v>107</v>
      </c>
      <c r="E460">
        <v>6</v>
      </c>
    </row>
    <row r="461" spans="1:5" x14ac:dyDescent="0.2">
      <c r="A461" t="s">
        <v>22</v>
      </c>
      <c r="B461" t="s">
        <v>31</v>
      </c>
      <c r="C461">
        <v>114</v>
      </c>
      <c r="D461">
        <v>123</v>
      </c>
      <c r="E461">
        <v>-9</v>
      </c>
    </row>
    <row r="462" spans="1:5" x14ac:dyDescent="0.2">
      <c r="A462" t="s">
        <v>13</v>
      </c>
      <c r="B462" t="s">
        <v>34</v>
      </c>
      <c r="C462">
        <v>127</v>
      </c>
      <c r="D462">
        <v>126</v>
      </c>
      <c r="E462">
        <v>1</v>
      </c>
    </row>
    <row r="463" spans="1:5" x14ac:dyDescent="0.2">
      <c r="A463" t="s">
        <v>17</v>
      </c>
      <c r="B463" t="s">
        <v>11</v>
      </c>
      <c r="C463">
        <v>125</v>
      </c>
      <c r="D463">
        <v>128</v>
      </c>
      <c r="E463">
        <v>-3</v>
      </c>
    </row>
    <row r="464" spans="1:5" x14ac:dyDescent="0.2">
      <c r="A464" t="s">
        <v>19</v>
      </c>
      <c r="B464" t="s">
        <v>23</v>
      </c>
      <c r="C464">
        <v>103</v>
      </c>
      <c r="D464">
        <v>112</v>
      </c>
      <c r="E464">
        <v>-9</v>
      </c>
    </row>
    <row r="465" spans="1:5" x14ac:dyDescent="0.2">
      <c r="A465" t="s">
        <v>6</v>
      </c>
      <c r="B465" t="s">
        <v>12</v>
      </c>
      <c r="C465">
        <v>117</v>
      </c>
      <c r="D465">
        <v>100</v>
      </c>
      <c r="E465">
        <v>17</v>
      </c>
    </row>
    <row r="466" spans="1:5" x14ac:dyDescent="0.2">
      <c r="A466" t="s">
        <v>14</v>
      </c>
      <c r="B466" t="s">
        <v>33</v>
      </c>
      <c r="C466">
        <v>142</v>
      </c>
      <c r="D466">
        <v>116</v>
      </c>
      <c r="E466">
        <v>26</v>
      </c>
    </row>
    <row r="467" spans="1:5" x14ac:dyDescent="0.2">
      <c r="A467" t="s">
        <v>30</v>
      </c>
      <c r="B467" t="s">
        <v>10</v>
      </c>
      <c r="C467">
        <v>107</v>
      </c>
      <c r="D467">
        <v>123</v>
      </c>
      <c r="E467">
        <v>-16</v>
      </c>
    </row>
    <row r="468" spans="1:5" x14ac:dyDescent="0.2">
      <c r="A468" t="s">
        <v>28</v>
      </c>
      <c r="B468" t="s">
        <v>25</v>
      </c>
      <c r="C468">
        <v>114</v>
      </c>
      <c r="D468">
        <v>127</v>
      </c>
      <c r="E468">
        <v>-13</v>
      </c>
    </row>
    <row r="469" spans="1:5" x14ac:dyDescent="0.2">
      <c r="A469" t="s">
        <v>5</v>
      </c>
      <c r="B469" t="s">
        <v>16</v>
      </c>
      <c r="C469">
        <v>129</v>
      </c>
      <c r="D469">
        <v>104</v>
      </c>
      <c r="E469">
        <v>25</v>
      </c>
    </row>
    <row r="470" spans="1:5" x14ac:dyDescent="0.2">
      <c r="A470" t="s">
        <v>18</v>
      </c>
      <c r="B470" t="s">
        <v>8</v>
      </c>
      <c r="C470">
        <v>141</v>
      </c>
      <c r="D470">
        <v>127</v>
      </c>
      <c r="E470">
        <v>14</v>
      </c>
    </row>
    <row r="471" spans="1:5" x14ac:dyDescent="0.2">
      <c r="A471" t="s">
        <v>29</v>
      </c>
      <c r="B471" t="s">
        <v>15</v>
      </c>
      <c r="C471">
        <v>114</v>
      </c>
      <c r="D471">
        <v>108</v>
      </c>
      <c r="E471">
        <v>6</v>
      </c>
    </row>
    <row r="472" spans="1:5" x14ac:dyDescent="0.2">
      <c r="A472" t="s">
        <v>24</v>
      </c>
      <c r="B472" t="s">
        <v>21</v>
      </c>
      <c r="C472">
        <v>116</v>
      </c>
      <c r="D472">
        <v>112</v>
      </c>
      <c r="E472">
        <v>4</v>
      </c>
    </row>
    <row r="473" spans="1:5" x14ac:dyDescent="0.2">
      <c r="A473" t="s">
        <v>26</v>
      </c>
      <c r="B473" t="s">
        <v>20</v>
      </c>
      <c r="C473">
        <v>112</v>
      </c>
      <c r="D473">
        <v>99</v>
      </c>
      <c r="E473">
        <v>13</v>
      </c>
    </row>
    <row r="474" spans="1:5" x14ac:dyDescent="0.2">
      <c r="A474" t="s">
        <v>7</v>
      </c>
      <c r="B474" t="s">
        <v>32</v>
      </c>
      <c r="C474">
        <v>125</v>
      </c>
      <c r="D474">
        <v>101</v>
      </c>
      <c r="E474">
        <v>24</v>
      </c>
    </row>
    <row r="475" spans="1:5" x14ac:dyDescent="0.2">
      <c r="A475" t="s">
        <v>9</v>
      </c>
      <c r="B475" t="s">
        <v>23</v>
      </c>
      <c r="C475">
        <v>113</v>
      </c>
      <c r="D475">
        <v>123</v>
      </c>
      <c r="E475">
        <v>-10</v>
      </c>
    </row>
    <row r="476" spans="1:5" x14ac:dyDescent="0.2">
      <c r="A476" t="s">
        <v>24</v>
      </c>
      <c r="B476" t="s">
        <v>31</v>
      </c>
      <c r="C476">
        <v>101</v>
      </c>
      <c r="D476">
        <v>115</v>
      </c>
      <c r="E476">
        <v>-14</v>
      </c>
    </row>
    <row r="477" spans="1:5" x14ac:dyDescent="0.2">
      <c r="A477" t="s">
        <v>10</v>
      </c>
      <c r="B477" t="s">
        <v>8</v>
      </c>
      <c r="C477">
        <v>107</v>
      </c>
      <c r="D477">
        <v>120</v>
      </c>
      <c r="E477">
        <v>-13</v>
      </c>
    </row>
    <row r="478" spans="1:5" x14ac:dyDescent="0.2">
      <c r="A478" t="s">
        <v>14</v>
      </c>
      <c r="B478" t="s">
        <v>34</v>
      </c>
      <c r="C478">
        <v>147</v>
      </c>
      <c r="D478">
        <v>123</v>
      </c>
      <c r="E478">
        <v>24</v>
      </c>
    </row>
    <row r="479" spans="1:5" x14ac:dyDescent="0.2">
      <c r="A479" t="s">
        <v>18</v>
      </c>
      <c r="B479" t="s">
        <v>13</v>
      </c>
      <c r="C479">
        <v>107</v>
      </c>
      <c r="D479">
        <v>106</v>
      </c>
      <c r="E479">
        <v>1</v>
      </c>
    </row>
    <row r="480" spans="1:5" x14ac:dyDescent="0.2">
      <c r="A480" t="s">
        <v>19</v>
      </c>
      <c r="B480" t="s">
        <v>30</v>
      </c>
      <c r="C480">
        <v>101</v>
      </c>
      <c r="D480">
        <v>136</v>
      </c>
      <c r="E480">
        <v>-35</v>
      </c>
    </row>
    <row r="481" spans="1:5" x14ac:dyDescent="0.2">
      <c r="A481" t="s">
        <v>6</v>
      </c>
      <c r="B481" t="s">
        <v>33</v>
      </c>
      <c r="C481">
        <v>126</v>
      </c>
      <c r="D481">
        <v>119</v>
      </c>
      <c r="E481">
        <v>7</v>
      </c>
    </row>
    <row r="482" spans="1:5" x14ac:dyDescent="0.2">
      <c r="A482" t="s">
        <v>22</v>
      </c>
      <c r="B482" t="s">
        <v>11</v>
      </c>
      <c r="C482">
        <v>125</v>
      </c>
      <c r="D482">
        <v>130</v>
      </c>
      <c r="E482">
        <v>-5</v>
      </c>
    </row>
    <row r="483" spans="1:5" x14ac:dyDescent="0.2">
      <c r="A483" t="s">
        <v>5</v>
      </c>
      <c r="B483" t="s">
        <v>17</v>
      </c>
      <c r="C483">
        <v>140</v>
      </c>
      <c r="D483">
        <v>129</v>
      </c>
      <c r="E483">
        <v>11</v>
      </c>
    </row>
    <row r="484" spans="1:5" x14ac:dyDescent="0.2">
      <c r="A484" t="s">
        <v>28</v>
      </c>
      <c r="B484" t="s">
        <v>12</v>
      </c>
      <c r="C484">
        <v>101</v>
      </c>
      <c r="D484">
        <v>113</v>
      </c>
      <c r="E484">
        <v>-12</v>
      </c>
    </row>
    <row r="485" spans="1:5" x14ac:dyDescent="0.2">
      <c r="A485" t="s">
        <v>29</v>
      </c>
      <c r="B485" t="s">
        <v>27</v>
      </c>
      <c r="C485">
        <v>125</v>
      </c>
      <c r="D485">
        <v>122</v>
      </c>
      <c r="E485">
        <v>3</v>
      </c>
    </row>
    <row r="486" spans="1:5" x14ac:dyDescent="0.2">
      <c r="A486" t="s">
        <v>21</v>
      </c>
      <c r="B486" t="s">
        <v>16</v>
      </c>
      <c r="C486">
        <v>136</v>
      </c>
      <c r="D486">
        <v>139</v>
      </c>
      <c r="E486">
        <v>-3</v>
      </c>
    </row>
    <row r="487" spans="1:5" x14ac:dyDescent="0.2">
      <c r="A487" t="s">
        <v>25</v>
      </c>
      <c r="B487" t="s">
        <v>15</v>
      </c>
      <c r="C487">
        <v>119</v>
      </c>
      <c r="D487">
        <v>129</v>
      </c>
      <c r="E487">
        <v>-10</v>
      </c>
    </row>
    <row r="488" spans="1:5" x14ac:dyDescent="0.2">
      <c r="A488" t="s">
        <v>7</v>
      </c>
      <c r="B488" t="s">
        <v>20</v>
      </c>
      <c r="C488">
        <v>106</v>
      </c>
      <c r="D488">
        <v>128</v>
      </c>
      <c r="E488">
        <v>-22</v>
      </c>
    </row>
    <row r="489" spans="1:5" x14ac:dyDescent="0.2">
      <c r="A489" t="s">
        <v>26</v>
      </c>
      <c r="B489" t="s">
        <v>32</v>
      </c>
      <c r="C489">
        <v>131</v>
      </c>
      <c r="D489">
        <v>90</v>
      </c>
      <c r="E489">
        <v>41</v>
      </c>
    </row>
    <row r="490" spans="1:5" x14ac:dyDescent="0.2">
      <c r="A490" t="s">
        <v>9</v>
      </c>
      <c r="B490" t="s">
        <v>8</v>
      </c>
      <c r="C490">
        <v>125</v>
      </c>
      <c r="D490">
        <v>132</v>
      </c>
      <c r="E490">
        <v>-7</v>
      </c>
    </row>
    <row r="491" spans="1:5" x14ac:dyDescent="0.2">
      <c r="A491" t="s">
        <v>17</v>
      </c>
      <c r="B491" t="s">
        <v>30</v>
      </c>
      <c r="C491">
        <v>126</v>
      </c>
      <c r="D491">
        <v>102</v>
      </c>
      <c r="E491">
        <v>24</v>
      </c>
    </row>
    <row r="492" spans="1:5" x14ac:dyDescent="0.2">
      <c r="A492" t="s">
        <v>33</v>
      </c>
      <c r="B492" t="s">
        <v>13</v>
      </c>
      <c r="C492">
        <v>110</v>
      </c>
      <c r="D492">
        <v>112</v>
      </c>
      <c r="E492">
        <v>-2</v>
      </c>
    </row>
    <row r="493" spans="1:5" x14ac:dyDescent="0.2">
      <c r="A493" t="s">
        <v>12</v>
      </c>
      <c r="B493" t="s">
        <v>31</v>
      </c>
      <c r="C493">
        <v>129</v>
      </c>
      <c r="D493">
        <v>113</v>
      </c>
      <c r="E493">
        <v>16</v>
      </c>
    </row>
    <row r="494" spans="1:5" x14ac:dyDescent="0.2">
      <c r="A494" t="s">
        <v>19</v>
      </c>
      <c r="B494" t="s">
        <v>22</v>
      </c>
      <c r="C494">
        <v>134</v>
      </c>
      <c r="D494">
        <v>118</v>
      </c>
      <c r="E494">
        <v>16</v>
      </c>
    </row>
    <row r="495" spans="1:5" x14ac:dyDescent="0.2">
      <c r="A495" t="s">
        <v>28</v>
      </c>
      <c r="B495" t="s">
        <v>11</v>
      </c>
      <c r="C495">
        <v>134</v>
      </c>
      <c r="D495">
        <v>132</v>
      </c>
      <c r="E495">
        <v>2</v>
      </c>
    </row>
    <row r="496" spans="1:5" x14ac:dyDescent="0.2">
      <c r="A496" t="s">
        <v>18</v>
      </c>
      <c r="B496" t="s">
        <v>34</v>
      </c>
      <c r="C496">
        <v>103</v>
      </c>
      <c r="D496">
        <v>106</v>
      </c>
      <c r="E496">
        <v>-3</v>
      </c>
    </row>
    <row r="497" spans="1:5" x14ac:dyDescent="0.2">
      <c r="A497" t="s">
        <v>23</v>
      </c>
      <c r="B497" t="s">
        <v>24</v>
      </c>
      <c r="C497">
        <v>113</v>
      </c>
      <c r="D497">
        <v>114</v>
      </c>
      <c r="E497">
        <v>-1</v>
      </c>
    </row>
    <row r="498" spans="1:5" x14ac:dyDescent="0.2">
      <c r="A498" t="s">
        <v>5</v>
      </c>
      <c r="B498" t="s">
        <v>29</v>
      </c>
      <c r="C498">
        <v>124</v>
      </c>
      <c r="D498">
        <v>95</v>
      </c>
      <c r="E498">
        <v>29</v>
      </c>
    </row>
    <row r="499" spans="1:5" x14ac:dyDescent="0.2">
      <c r="A499" t="s">
        <v>10</v>
      </c>
      <c r="B499" t="s">
        <v>6</v>
      </c>
      <c r="C499">
        <v>96</v>
      </c>
      <c r="D499">
        <v>120</v>
      </c>
      <c r="E499">
        <v>-24</v>
      </c>
    </row>
    <row r="500" spans="1:5" x14ac:dyDescent="0.2">
      <c r="A500" t="s">
        <v>20</v>
      </c>
      <c r="B500" t="s">
        <v>14</v>
      </c>
      <c r="C500">
        <v>112</v>
      </c>
      <c r="D500">
        <v>118</v>
      </c>
      <c r="E500">
        <v>-6</v>
      </c>
    </row>
    <row r="501" spans="1:5" x14ac:dyDescent="0.2">
      <c r="A501" t="s">
        <v>27</v>
      </c>
      <c r="B501" t="s">
        <v>16</v>
      </c>
      <c r="C501">
        <v>108</v>
      </c>
      <c r="D501">
        <v>123</v>
      </c>
      <c r="E501">
        <v>-15</v>
      </c>
    </row>
    <row r="502" spans="1:5" x14ac:dyDescent="0.2">
      <c r="A502" t="s">
        <v>32</v>
      </c>
      <c r="B502" t="s">
        <v>15</v>
      </c>
      <c r="C502">
        <v>106</v>
      </c>
      <c r="D502">
        <v>120</v>
      </c>
      <c r="E502">
        <v>-14</v>
      </c>
    </row>
    <row r="503" spans="1:5" x14ac:dyDescent="0.2">
      <c r="A503" t="s">
        <v>26</v>
      </c>
      <c r="B503" t="s">
        <v>25</v>
      </c>
      <c r="C503">
        <v>118</v>
      </c>
      <c r="D503">
        <v>101</v>
      </c>
      <c r="E503">
        <v>17</v>
      </c>
    </row>
    <row r="504" spans="1:5" x14ac:dyDescent="0.2">
      <c r="A504" t="s">
        <v>33</v>
      </c>
      <c r="B504" t="s">
        <v>28</v>
      </c>
      <c r="C504">
        <v>113</v>
      </c>
      <c r="D504">
        <v>123</v>
      </c>
      <c r="E504">
        <v>-10</v>
      </c>
    </row>
    <row r="505" spans="1:5" x14ac:dyDescent="0.2">
      <c r="A505" t="s">
        <v>24</v>
      </c>
      <c r="B505" t="s">
        <v>10</v>
      </c>
      <c r="C505">
        <v>119</v>
      </c>
      <c r="D505">
        <v>99</v>
      </c>
      <c r="E505">
        <v>20</v>
      </c>
    </row>
    <row r="506" spans="1:5" x14ac:dyDescent="0.2">
      <c r="A506" t="s">
        <v>12</v>
      </c>
      <c r="B506" t="s">
        <v>34</v>
      </c>
      <c r="C506">
        <v>113</v>
      </c>
      <c r="D506">
        <v>108</v>
      </c>
      <c r="E506">
        <v>5</v>
      </c>
    </row>
    <row r="507" spans="1:5" x14ac:dyDescent="0.2">
      <c r="A507" t="s">
        <v>11</v>
      </c>
      <c r="B507" t="s">
        <v>17</v>
      </c>
      <c r="C507">
        <v>99</v>
      </c>
      <c r="D507">
        <v>111</v>
      </c>
      <c r="E507">
        <v>-12</v>
      </c>
    </row>
    <row r="508" spans="1:5" x14ac:dyDescent="0.2">
      <c r="A508" t="s">
        <v>19</v>
      </c>
      <c r="B508" t="s">
        <v>13</v>
      </c>
      <c r="C508">
        <v>121</v>
      </c>
      <c r="D508">
        <v>114</v>
      </c>
      <c r="E508">
        <v>7</v>
      </c>
    </row>
    <row r="509" spans="1:5" x14ac:dyDescent="0.2">
      <c r="A509" t="s">
        <v>23</v>
      </c>
      <c r="B509" t="s">
        <v>9</v>
      </c>
      <c r="C509">
        <v>122</v>
      </c>
      <c r="D509">
        <v>121</v>
      </c>
      <c r="E509">
        <v>1</v>
      </c>
    </row>
    <row r="510" spans="1:5" x14ac:dyDescent="0.2">
      <c r="A510" t="s">
        <v>22</v>
      </c>
      <c r="B510" t="s">
        <v>29</v>
      </c>
      <c r="C510">
        <v>109</v>
      </c>
      <c r="D510">
        <v>122</v>
      </c>
      <c r="E510">
        <v>-13</v>
      </c>
    </row>
    <row r="511" spans="1:5" x14ac:dyDescent="0.2">
      <c r="A511" t="s">
        <v>31</v>
      </c>
      <c r="B511" t="s">
        <v>32</v>
      </c>
      <c r="C511">
        <v>129</v>
      </c>
      <c r="D511">
        <v>102</v>
      </c>
      <c r="E511">
        <v>27</v>
      </c>
    </row>
    <row r="512" spans="1:5" x14ac:dyDescent="0.2">
      <c r="A512" t="s">
        <v>8</v>
      </c>
      <c r="B512" t="s">
        <v>5</v>
      </c>
      <c r="C512">
        <v>94</v>
      </c>
      <c r="D512">
        <v>131</v>
      </c>
      <c r="E512">
        <v>-37</v>
      </c>
    </row>
    <row r="513" spans="1:5" x14ac:dyDescent="0.2">
      <c r="A513" t="s">
        <v>7</v>
      </c>
      <c r="B513" t="s">
        <v>21</v>
      </c>
      <c r="C513">
        <v>128</v>
      </c>
      <c r="D513">
        <v>121</v>
      </c>
      <c r="E513">
        <v>7</v>
      </c>
    </row>
    <row r="514" spans="1:5" x14ac:dyDescent="0.2">
      <c r="A514" t="s">
        <v>14</v>
      </c>
      <c r="B514" t="s">
        <v>30</v>
      </c>
      <c r="C514">
        <v>115</v>
      </c>
      <c r="D514">
        <v>125</v>
      </c>
      <c r="E514">
        <v>-10</v>
      </c>
    </row>
    <row r="515" spans="1:5" x14ac:dyDescent="0.2">
      <c r="A515" t="s">
        <v>11</v>
      </c>
      <c r="B515" t="s">
        <v>16</v>
      </c>
      <c r="C515">
        <v>119</v>
      </c>
      <c r="D515">
        <v>130</v>
      </c>
      <c r="E515">
        <v>-11</v>
      </c>
    </row>
    <row r="516" spans="1:5" x14ac:dyDescent="0.2">
      <c r="A516" t="s">
        <v>18</v>
      </c>
      <c r="B516" t="s">
        <v>17</v>
      </c>
      <c r="C516">
        <v>134</v>
      </c>
      <c r="D516">
        <v>117</v>
      </c>
      <c r="E516">
        <v>17</v>
      </c>
    </row>
    <row r="517" spans="1:5" x14ac:dyDescent="0.2">
      <c r="A517" t="s">
        <v>19</v>
      </c>
      <c r="B517" t="s">
        <v>9</v>
      </c>
      <c r="C517">
        <v>99</v>
      </c>
      <c r="D517">
        <v>112</v>
      </c>
      <c r="E517">
        <v>-13</v>
      </c>
    </row>
    <row r="518" spans="1:5" x14ac:dyDescent="0.2">
      <c r="A518" t="s">
        <v>28</v>
      </c>
      <c r="B518" t="s">
        <v>29</v>
      </c>
      <c r="C518">
        <v>110</v>
      </c>
      <c r="D518">
        <v>115</v>
      </c>
      <c r="E518">
        <v>-5</v>
      </c>
    </row>
    <row r="519" spans="1:5" x14ac:dyDescent="0.2">
      <c r="A519" t="s">
        <v>27</v>
      </c>
      <c r="B519" t="s">
        <v>6</v>
      </c>
      <c r="C519">
        <v>110</v>
      </c>
      <c r="D519">
        <v>104</v>
      </c>
      <c r="E519">
        <v>6</v>
      </c>
    </row>
    <row r="520" spans="1:5" x14ac:dyDescent="0.2">
      <c r="A520" t="s">
        <v>8</v>
      </c>
      <c r="B520" t="s">
        <v>25</v>
      </c>
      <c r="C520">
        <v>123</v>
      </c>
      <c r="D520">
        <v>114</v>
      </c>
      <c r="E520">
        <v>9</v>
      </c>
    </row>
    <row r="521" spans="1:5" x14ac:dyDescent="0.2">
      <c r="A521" t="s">
        <v>26</v>
      </c>
      <c r="B521" t="s">
        <v>15</v>
      </c>
      <c r="C521">
        <v>115</v>
      </c>
      <c r="D521">
        <v>146</v>
      </c>
      <c r="E521">
        <v>-31</v>
      </c>
    </row>
    <row r="522" spans="1:5" x14ac:dyDescent="0.2">
      <c r="A522" t="s">
        <v>12</v>
      </c>
      <c r="B522" t="s">
        <v>20</v>
      </c>
      <c r="C522">
        <v>110</v>
      </c>
      <c r="D522">
        <v>114</v>
      </c>
      <c r="E522">
        <v>-4</v>
      </c>
    </row>
    <row r="523" spans="1:5" x14ac:dyDescent="0.2">
      <c r="A523" t="s">
        <v>13</v>
      </c>
      <c r="B523" t="s">
        <v>33</v>
      </c>
      <c r="C523">
        <v>135</v>
      </c>
      <c r="D523">
        <v>127</v>
      </c>
      <c r="E523">
        <v>8</v>
      </c>
    </row>
    <row r="524" spans="1:5" x14ac:dyDescent="0.2">
      <c r="A524" t="s">
        <v>10</v>
      </c>
      <c r="B524" t="s">
        <v>34</v>
      </c>
      <c r="C524">
        <v>127</v>
      </c>
      <c r="D524">
        <v>115</v>
      </c>
      <c r="E524">
        <v>12</v>
      </c>
    </row>
    <row r="525" spans="1:5" x14ac:dyDescent="0.2">
      <c r="A525" t="s">
        <v>14</v>
      </c>
      <c r="B525" t="s">
        <v>22</v>
      </c>
      <c r="C525">
        <v>125</v>
      </c>
      <c r="D525">
        <v>106</v>
      </c>
      <c r="E525">
        <v>19</v>
      </c>
    </row>
    <row r="526" spans="1:5" x14ac:dyDescent="0.2">
      <c r="A526" t="s">
        <v>24</v>
      </c>
      <c r="B526" t="s">
        <v>30</v>
      </c>
      <c r="C526">
        <v>115</v>
      </c>
      <c r="D526">
        <v>141</v>
      </c>
      <c r="E526">
        <v>-26</v>
      </c>
    </row>
    <row r="527" spans="1:5" x14ac:dyDescent="0.2">
      <c r="A527" t="s">
        <v>31</v>
      </c>
      <c r="B527" t="s">
        <v>5</v>
      </c>
      <c r="C527">
        <v>108</v>
      </c>
      <c r="D527">
        <v>105</v>
      </c>
      <c r="E527">
        <v>3</v>
      </c>
    </row>
    <row r="528" spans="1:5" x14ac:dyDescent="0.2">
      <c r="A528" t="s">
        <v>32</v>
      </c>
      <c r="B528" t="s">
        <v>23</v>
      </c>
      <c r="C528">
        <v>98</v>
      </c>
      <c r="D528">
        <v>115</v>
      </c>
      <c r="E528">
        <v>-17</v>
      </c>
    </row>
    <row r="529" spans="1:5" x14ac:dyDescent="0.2">
      <c r="A529" t="s">
        <v>7</v>
      </c>
      <c r="B529" t="s">
        <v>21</v>
      </c>
      <c r="C529">
        <v>120</v>
      </c>
      <c r="D529">
        <v>114</v>
      </c>
      <c r="E529">
        <v>6</v>
      </c>
    </row>
    <row r="530" spans="1:5" x14ac:dyDescent="0.2">
      <c r="A530" t="s">
        <v>20</v>
      </c>
      <c r="B530" t="s">
        <v>11</v>
      </c>
      <c r="C530">
        <v>121</v>
      </c>
      <c r="D530">
        <v>90</v>
      </c>
      <c r="E530">
        <v>31</v>
      </c>
    </row>
    <row r="531" spans="1:5" x14ac:dyDescent="0.2">
      <c r="A531" t="s">
        <v>15</v>
      </c>
      <c r="B531" t="s">
        <v>19</v>
      </c>
      <c r="C531">
        <v>115</v>
      </c>
      <c r="D531">
        <v>101</v>
      </c>
      <c r="E531">
        <v>14</v>
      </c>
    </row>
    <row r="532" spans="1:5" x14ac:dyDescent="0.2">
      <c r="A532" t="s">
        <v>18</v>
      </c>
      <c r="B532" t="s">
        <v>17</v>
      </c>
      <c r="C532">
        <v>118</v>
      </c>
      <c r="D532">
        <v>100</v>
      </c>
      <c r="E532">
        <v>18</v>
      </c>
    </row>
    <row r="533" spans="1:5" x14ac:dyDescent="0.2">
      <c r="A533" t="s">
        <v>6</v>
      </c>
      <c r="B533" t="s">
        <v>31</v>
      </c>
      <c r="C533">
        <v>100</v>
      </c>
      <c r="D533">
        <v>97</v>
      </c>
      <c r="E533">
        <v>3</v>
      </c>
    </row>
    <row r="534" spans="1:5" x14ac:dyDescent="0.2">
      <c r="A534" t="s">
        <v>5</v>
      </c>
      <c r="B534" t="s">
        <v>9</v>
      </c>
      <c r="C534">
        <v>97</v>
      </c>
      <c r="D534">
        <v>124</v>
      </c>
      <c r="E534">
        <v>-27</v>
      </c>
    </row>
    <row r="535" spans="1:5" x14ac:dyDescent="0.2">
      <c r="A535" t="s">
        <v>16</v>
      </c>
      <c r="B535" t="s">
        <v>34</v>
      </c>
      <c r="C535">
        <v>124</v>
      </c>
      <c r="D535">
        <v>125</v>
      </c>
      <c r="E535">
        <v>-1</v>
      </c>
    </row>
    <row r="536" spans="1:5" x14ac:dyDescent="0.2">
      <c r="A536" t="s">
        <v>26</v>
      </c>
      <c r="B536" t="s">
        <v>8</v>
      </c>
      <c r="C536">
        <v>103</v>
      </c>
      <c r="D536">
        <v>102</v>
      </c>
      <c r="E536">
        <v>1</v>
      </c>
    </row>
    <row r="537" spans="1:5" x14ac:dyDescent="0.2">
      <c r="A537" t="s">
        <v>29</v>
      </c>
      <c r="B537" t="s">
        <v>25</v>
      </c>
      <c r="C537">
        <v>137</v>
      </c>
      <c r="D537">
        <v>117</v>
      </c>
      <c r="E537">
        <v>20</v>
      </c>
    </row>
    <row r="538" spans="1:5" x14ac:dyDescent="0.2">
      <c r="A538" t="s">
        <v>33</v>
      </c>
      <c r="B538" t="s">
        <v>12</v>
      </c>
      <c r="C538">
        <v>116</v>
      </c>
      <c r="D538">
        <v>120</v>
      </c>
      <c r="E538">
        <v>-4</v>
      </c>
    </row>
    <row r="539" spans="1:5" x14ac:dyDescent="0.2">
      <c r="A539" t="s">
        <v>24</v>
      </c>
      <c r="B539" t="s">
        <v>13</v>
      </c>
      <c r="C539">
        <v>120</v>
      </c>
      <c r="D539">
        <v>112</v>
      </c>
      <c r="E539">
        <v>8</v>
      </c>
    </row>
    <row r="540" spans="1:5" x14ac:dyDescent="0.2">
      <c r="A540" t="s">
        <v>21</v>
      </c>
      <c r="B540" t="s">
        <v>28</v>
      </c>
      <c r="C540">
        <v>106</v>
      </c>
      <c r="D540">
        <v>105</v>
      </c>
      <c r="E540">
        <v>1</v>
      </c>
    </row>
    <row r="541" spans="1:5" x14ac:dyDescent="0.2">
      <c r="A541" t="s">
        <v>30</v>
      </c>
      <c r="B541" t="s">
        <v>14</v>
      </c>
      <c r="C541">
        <v>122</v>
      </c>
      <c r="D541">
        <v>94</v>
      </c>
      <c r="E541">
        <v>28</v>
      </c>
    </row>
    <row r="542" spans="1:5" x14ac:dyDescent="0.2">
      <c r="A542" t="s">
        <v>22</v>
      </c>
      <c r="B542" t="s">
        <v>7</v>
      </c>
      <c r="C542">
        <v>103</v>
      </c>
      <c r="D542">
        <v>111</v>
      </c>
      <c r="E542">
        <v>-8</v>
      </c>
    </row>
    <row r="543" spans="1:5" x14ac:dyDescent="0.2">
      <c r="A543" t="s">
        <v>32</v>
      </c>
      <c r="B543" t="s">
        <v>27</v>
      </c>
      <c r="C543">
        <v>98</v>
      </c>
      <c r="D543">
        <v>100</v>
      </c>
      <c r="E543">
        <v>-2</v>
      </c>
    </row>
    <row r="544" spans="1:5" x14ac:dyDescent="0.2">
      <c r="A544" t="s">
        <v>15</v>
      </c>
      <c r="B544" t="s">
        <v>34</v>
      </c>
      <c r="C544">
        <v>110</v>
      </c>
      <c r="D544">
        <v>114</v>
      </c>
      <c r="E544">
        <v>-4</v>
      </c>
    </row>
    <row r="545" spans="1:5" x14ac:dyDescent="0.2">
      <c r="A545" t="s">
        <v>9</v>
      </c>
      <c r="B545" t="s">
        <v>18</v>
      </c>
      <c r="C545">
        <v>96</v>
      </c>
      <c r="D545">
        <v>97</v>
      </c>
      <c r="E545">
        <v>-1</v>
      </c>
    </row>
    <row r="546" spans="1:5" x14ac:dyDescent="0.2">
      <c r="A546" t="s">
        <v>20</v>
      </c>
      <c r="B546" t="s">
        <v>19</v>
      </c>
      <c r="C546">
        <v>108</v>
      </c>
      <c r="D546">
        <v>93</v>
      </c>
      <c r="E546">
        <v>15</v>
      </c>
    </row>
    <row r="547" spans="1:5" x14ac:dyDescent="0.2">
      <c r="A547" t="s">
        <v>16</v>
      </c>
      <c r="B547" t="s">
        <v>24</v>
      </c>
      <c r="C547">
        <v>131</v>
      </c>
      <c r="D547">
        <v>110</v>
      </c>
      <c r="E547">
        <v>21</v>
      </c>
    </row>
    <row r="548" spans="1:5" x14ac:dyDescent="0.2">
      <c r="A548" t="s">
        <v>17</v>
      </c>
      <c r="B548" t="s">
        <v>22</v>
      </c>
      <c r="C548">
        <v>117</v>
      </c>
      <c r="D548">
        <v>100</v>
      </c>
      <c r="E548">
        <v>17</v>
      </c>
    </row>
    <row r="549" spans="1:5" x14ac:dyDescent="0.2">
      <c r="A549" t="s">
        <v>10</v>
      </c>
      <c r="B549" t="s">
        <v>13</v>
      </c>
      <c r="C549">
        <v>103</v>
      </c>
      <c r="D549">
        <v>104</v>
      </c>
      <c r="E549">
        <v>-1</v>
      </c>
    </row>
    <row r="550" spans="1:5" x14ac:dyDescent="0.2">
      <c r="A550" t="s">
        <v>11</v>
      </c>
      <c r="B550" t="s">
        <v>26</v>
      </c>
      <c r="C550">
        <v>123</v>
      </c>
      <c r="D550">
        <v>111</v>
      </c>
      <c r="E550">
        <v>12</v>
      </c>
    </row>
    <row r="551" spans="1:5" x14ac:dyDescent="0.2">
      <c r="A551" t="s">
        <v>21</v>
      </c>
      <c r="B551" t="s">
        <v>31</v>
      </c>
      <c r="C551">
        <v>98</v>
      </c>
      <c r="D551">
        <v>117</v>
      </c>
      <c r="E551">
        <v>-19</v>
      </c>
    </row>
    <row r="552" spans="1:5" x14ac:dyDescent="0.2">
      <c r="A552" t="s">
        <v>5</v>
      </c>
      <c r="B552" t="s">
        <v>25</v>
      </c>
      <c r="C552">
        <v>129</v>
      </c>
      <c r="D552">
        <v>125</v>
      </c>
      <c r="E552">
        <v>4</v>
      </c>
    </row>
    <row r="553" spans="1:5" x14ac:dyDescent="0.2">
      <c r="A553" t="s">
        <v>28</v>
      </c>
      <c r="B553" t="s">
        <v>7</v>
      </c>
      <c r="C553">
        <v>107</v>
      </c>
      <c r="D553">
        <v>91</v>
      </c>
      <c r="E553">
        <v>16</v>
      </c>
    </row>
    <row r="554" spans="1:5" x14ac:dyDescent="0.2">
      <c r="A554" t="s">
        <v>8</v>
      </c>
      <c r="B554" t="s">
        <v>23</v>
      </c>
      <c r="C554">
        <v>120</v>
      </c>
      <c r="D554">
        <v>113</v>
      </c>
      <c r="E554">
        <v>7</v>
      </c>
    </row>
    <row r="555" spans="1:5" x14ac:dyDescent="0.2">
      <c r="A555" t="s">
        <v>29</v>
      </c>
      <c r="B555" t="s">
        <v>6</v>
      </c>
      <c r="C555">
        <v>103</v>
      </c>
      <c r="D555">
        <v>102</v>
      </c>
      <c r="E555">
        <v>1</v>
      </c>
    </row>
    <row r="556" spans="1:5" x14ac:dyDescent="0.2">
      <c r="A556" t="s">
        <v>9</v>
      </c>
      <c r="B556" t="s">
        <v>33</v>
      </c>
      <c r="C556">
        <v>112</v>
      </c>
      <c r="D556">
        <v>114</v>
      </c>
      <c r="E556">
        <v>-2</v>
      </c>
    </row>
    <row r="557" spans="1:5" x14ac:dyDescent="0.2">
      <c r="A557" t="s">
        <v>30</v>
      </c>
      <c r="B557" t="s">
        <v>12</v>
      </c>
      <c r="C557">
        <v>131</v>
      </c>
      <c r="D557">
        <v>122</v>
      </c>
      <c r="E557">
        <v>9</v>
      </c>
    </row>
    <row r="558" spans="1:5" x14ac:dyDescent="0.2">
      <c r="A558" t="s">
        <v>25</v>
      </c>
      <c r="B558" t="s">
        <v>27</v>
      </c>
      <c r="C558">
        <v>116</v>
      </c>
      <c r="D558">
        <v>114</v>
      </c>
      <c r="E558">
        <v>2</v>
      </c>
    </row>
    <row r="559" spans="1:5" x14ac:dyDescent="0.2">
      <c r="A559" t="s">
        <v>15</v>
      </c>
      <c r="B559" t="s">
        <v>18</v>
      </c>
      <c r="C559">
        <v>125</v>
      </c>
      <c r="D559">
        <v>117</v>
      </c>
      <c r="E559">
        <v>8</v>
      </c>
    </row>
    <row r="560" spans="1:5" x14ac:dyDescent="0.2">
      <c r="A560" t="s">
        <v>13</v>
      </c>
      <c r="B560" t="s">
        <v>16</v>
      </c>
      <c r="C560">
        <v>91</v>
      </c>
      <c r="D560">
        <v>103</v>
      </c>
      <c r="E560">
        <v>-12</v>
      </c>
    </row>
    <row r="561" spans="1:5" x14ac:dyDescent="0.2">
      <c r="A561" t="s">
        <v>24</v>
      </c>
      <c r="B561" t="s">
        <v>22</v>
      </c>
      <c r="C561">
        <v>107</v>
      </c>
      <c r="D561">
        <v>128</v>
      </c>
      <c r="E561">
        <v>-21</v>
      </c>
    </row>
    <row r="562" spans="1:5" x14ac:dyDescent="0.2">
      <c r="A562" t="s">
        <v>10</v>
      </c>
      <c r="B562" t="s">
        <v>26</v>
      </c>
      <c r="C562">
        <v>105</v>
      </c>
      <c r="D562">
        <v>121</v>
      </c>
      <c r="E562">
        <v>-16</v>
      </c>
    </row>
    <row r="563" spans="1:5" x14ac:dyDescent="0.2">
      <c r="A563" t="s">
        <v>21</v>
      </c>
      <c r="B563" t="s">
        <v>5</v>
      </c>
      <c r="C563">
        <v>116</v>
      </c>
      <c r="D563">
        <v>117</v>
      </c>
      <c r="E563">
        <v>-1</v>
      </c>
    </row>
    <row r="564" spans="1:5" x14ac:dyDescent="0.2">
      <c r="A564" t="s">
        <v>34</v>
      </c>
      <c r="B564" t="s">
        <v>17</v>
      </c>
      <c r="C564">
        <v>87</v>
      </c>
      <c r="D564">
        <v>110</v>
      </c>
      <c r="E564">
        <v>-23</v>
      </c>
    </row>
    <row r="565" spans="1:5" x14ac:dyDescent="0.2">
      <c r="A565" t="s">
        <v>31</v>
      </c>
      <c r="B565" t="s">
        <v>11</v>
      </c>
      <c r="C565">
        <v>112</v>
      </c>
      <c r="D565">
        <v>107</v>
      </c>
      <c r="E565">
        <v>5</v>
      </c>
    </row>
    <row r="566" spans="1:5" x14ac:dyDescent="0.2">
      <c r="A566" t="s">
        <v>8</v>
      </c>
      <c r="B566" t="s">
        <v>32</v>
      </c>
      <c r="C566">
        <v>137</v>
      </c>
      <c r="D566">
        <v>103</v>
      </c>
      <c r="E566">
        <v>34</v>
      </c>
    </row>
    <row r="567" spans="1:5" x14ac:dyDescent="0.2">
      <c r="A567" t="s">
        <v>29</v>
      </c>
      <c r="B567" t="s">
        <v>6</v>
      </c>
      <c r="C567">
        <v>111</v>
      </c>
      <c r="D567">
        <v>105</v>
      </c>
      <c r="E567">
        <v>6</v>
      </c>
    </row>
    <row r="568" spans="1:5" x14ac:dyDescent="0.2">
      <c r="A568" t="s">
        <v>7</v>
      </c>
      <c r="B568" t="s">
        <v>23</v>
      </c>
      <c r="C568">
        <v>101</v>
      </c>
      <c r="D568">
        <v>105</v>
      </c>
      <c r="E568">
        <v>-4</v>
      </c>
    </row>
    <row r="569" spans="1:5" x14ac:dyDescent="0.2">
      <c r="A569" t="s">
        <v>12</v>
      </c>
      <c r="B569" t="s">
        <v>30</v>
      </c>
      <c r="C569">
        <v>146</v>
      </c>
      <c r="D569">
        <v>134</v>
      </c>
      <c r="E569">
        <v>12</v>
      </c>
    </row>
    <row r="570" spans="1:5" x14ac:dyDescent="0.2">
      <c r="A570" t="s">
        <v>33</v>
      </c>
      <c r="B570" t="s">
        <v>14</v>
      </c>
      <c r="C570">
        <v>123</v>
      </c>
      <c r="D570">
        <v>99</v>
      </c>
      <c r="E570">
        <v>24</v>
      </c>
    </row>
    <row r="571" spans="1:5" x14ac:dyDescent="0.2">
      <c r="A571" t="s">
        <v>20</v>
      </c>
      <c r="B571" t="s">
        <v>26</v>
      </c>
      <c r="C571">
        <v>92</v>
      </c>
      <c r="D571">
        <v>98</v>
      </c>
      <c r="E571">
        <v>-6</v>
      </c>
    </row>
    <row r="572" spans="1:5" x14ac:dyDescent="0.2">
      <c r="A572" t="s">
        <v>15</v>
      </c>
      <c r="B572" t="s">
        <v>28</v>
      </c>
      <c r="C572">
        <v>95</v>
      </c>
      <c r="D572">
        <v>100</v>
      </c>
      <c r="E572">
        <v>-5</v>
      </c>
    </row>
    <row r="573" spans="1:5" x14ac:dyDescent="0.2">
      <c r="A573" t="s">
        <v>19</v>
      </c>
      <c r="B573" t="s">
        <v>27</v>
      </c>
      <c r="C573">
        <v>125</v>
      </c>
      <c r="D573">
        <v>107</v>
      </c>
      <c r="E573">
        <v>18</v>
      </c>
    </row>
    <row r="574" spans="1:5" x14ac:dyDescent="0.2">
      <c r="A574" t="s">
        <v>25</v>
      </c>
      <c r="B574" t="s">
        <v>9</v>
      </c>
      <c r="C574">
        <v>95</v>
      </c>
      <c r="D574">
        <v>150</v>
      </c>
      <c r="E574">
        <v>-55</v>
      </c>
    </row>
    <row r="575" spans="1:5" x14ac:dyDescent="0.2">
      <c r="A575" t="s">
        <v>13</v>
      </c>
      <c r="B575" t="s">
        <v>22</v>
      </c>
      <c r="C575">
        <v>128</v>
      </c>
      <c r="D575">
        <v>118</v>
      </c>
      <c r="E575">
        <v>10</v>
      </c>
    </row>
    <row r="576" spans="1:5" x14ac:dyDescent="0.2">
      <c r="A576" t="s">
        <v>21</v>
      </c>
      <c r="B576" t="s">
        <v>10</v>
      </c>
      <c r="C576">
        <v>103</v>
      </c>
      <c r="D576">
        <v>98</v>
      </c>
      <c r="E576">
        <v>5</v>
      </c>
    </row>
    <row r="577" spans="1:5" x14ac:dyDescent="0.2">
      <c r="A577" t="s">
        <v>29</v>
      </c>
      <c r="B577" t="s">
        <v>11</v>
      </c>
      <c r="C577">
        <v>114</v>
      </c>
      <c r="D577">
        <v>123</v>
      </c>
      <c r="E577">
        <v>-9</v>
      </c>
    </row>
    <row r="578" spans="1:5" x14ac:dyDescent="0.2">
      <c r="A578" t="s">
        <v>18</v>
      </c>
      <c r="B578" t="s">
        <v>16</v>
      </c>
      <c r="C578">
        <v>116</v>
      </c>
      <c r="D578">
        <v>115</v>
      </c>
      <c r="E578">
        <v>1</v>
      </c>
    </row>
    <row r="579" spans="1:5" x14ac:dyDescent="0.2">
      <c r="A579" t="s">
        <v>30</v>
      </c>
      <c r="B579" t="s">
        <v>28</v>
      </c>
      <c r="C579">
        <v>104</v>
      </c>
      <c r="D579">
        <v>103</v>
      </c>
      <c r="E579">
        <v>1</v>
      </c>
    </row>
    <row r="580" spans="1:5" x14ac:dyDescent="0.2">
      <c r="A580" t="s">
        <v>5</v>
      </c>
      <c r="B580" t="s">
        <v>14</v>
      </c>
      <c r="C580">
        <v>124</v>
      </c>
      <c r="D580">
        <v>112</v>
      </c>
      <c r="E580">
        <v>12</v>
      </c>
    </row>
    <row r="581" spans="1:5" x14ac:dyDescent="0.2">
      <c r="A581" t="s">
        <v>34</v>
      </c>
      <c r="B581" t="s">
        <v>23</v>
      </c>
      <c r="C581">
        <v>108</v>
      </c>
      <c r="D581">
        <v>104</v>
      </c>
      <c r="E581">
        <v>4</v>
      </c>
    </row>
    <row r="582" spans="1:5" x14ac:dyDescent="0.2">
      <c r="A582" t="s">
        <v>31</v>
      </c>
      <c r="B582" t="s">
        <v>24</v>
      </c>
      <c r="C582">
        <v>112</v>
      </c>
      <c r="D582">
        <v>93</v>
      </c>
      <c r="E582">
        <v>19</v>
      </c>
    </row>
    <row r="583" spans="1:5" x14ac:dyDescent="0.2">
      <c r="A583" t="s">
        <v>8</v>
      </c>
      <c r="B583" t="s">
        <v>17</v>
      </c>
      <c r="C583">
        <v>111</v>
      </c>
      <c r="D583">
        <v>124</v>
      </c>
      <c r="E583">
        <v>-13</v>
      </c>
    </row>
    <row r="584" spans="1:5" x14ac:dyDescent="0.2">
      <c r="A584" t="s">
        <v>32</v>
      </c>
      <c r="B584" t="s">
        <v>6</v>
      </c>
      <c r="C584">
        <v>111</v>
      </c>
      <c r="D584">
        <v>98</v>
      </c>
      <c r="E584">
        <v>13</v>
      </c>
    </row>
    <row r="585" spans="1:5" x14ac:dyDescent="0.2">
      <c r="A585" t="s">
        <v>12</v>
      </c>
      <c r="B585" t="s">
        <v>25</v>
      </c>
      <c r="C585">
        <v>112</v>
      </c>
      <c r="D585">
        <v>123</v>
      </c>
      <c r="E585">
        <v>-11</v>
      </c>
    </row>
    <row r="586" spans="1:5" x14ac:dyDescent="0.2">
      <c r="A586" t="s">
        <v>33</v>
      </c>
      <c r="B586" t="s">
        <v>15</v>
      </c>
      <c r="C586">
        <v>98</v>
      </c>
      <c r="D586">
        <v>96</v>
      </c>
      <c r="E586">
        <v>2</v>
      </c>
    </row>
    <row r="587" spans="1:5" x14ac:dyDescent="0.2">
      <c r="A587" t="s">
        <v>18</v>
      </c>
      <c r="B587" t="s">
        <v>16</v>
      </c>
      <c r="C587">
        <v>102</v>
      </c>
      <c r="D587">
        <v>115</v>
      </c>
      <c r="E587">
        <v>-13</v>
      </c>
    </row>
    <row r="588" spans="1:5" x14ac:dyDescent="0.2">
      <c r="A588" t="s">
        <v>27</v>
      </c>
      <c r="B588" t="s">
        <v>10</v>
      </c>
      <c r="C588">
        <v>113</v>
      </c>
      <c r="D588">
        <v>105</v>
      </c>
      <c r="E588">
        <v>8</v>
      </c>
    </row>
    <row r="589" spans="1:5" x14ac:dyDescent="0.2">
      <c r="A589" t="s">
        <v>32</v>
      </c>
      <c r="B589" t="s">
        <v>7</v>
      </c>
      <c r="C589">
        <v>124</v>
      </c>
      <c r="D589">
        <v>112</v>
      </c>
      <c r="E589">
        <v>12</v>
      </c>
    </row>
    <row r="590" spans="1:5" x14ac:dyDescent="0.2">
      <c r="A590" t="s">
        <v>26</v>
      </c>
      <c r="B590" t="s">
        <v>9</v>
      </c>
      <c r="C590">
        <v>117</v>
      </c>
      <c r="D590">
        <v>109</v>
      </c>
      <c r="E590">
        <v>8</v>
      </c>
    </row>
    <row r="591" spans="1:5" x14ac:dyDescent="0.2">
      <c r="A591" t="s">
        <v>14</v>
      </c>
      <c r="B591" t="s">
        <v>31</v>
      </c>
      <c r="C591">
        <v>127</v>
      </c>
      <c r="D591">
        <v>121</v>
      </c>
      <c r="E591">
        <v>6</v>
      </c>
    </row>
    <row r="592" spans="1:5" x14ac:dyDescent="0.2">
      <c r="A592" t="s">
        <v>6</v>
      </c>
      <c r="B592" t="s">
        <v>19</v>
      </c>
      <c r="C592">
        <v>119</v>
      </c>
      <c r="D592">
        <v>113</v>
      </c>
      <c r="E592">
        <v>6</v>
      </c>
    </row>
    <row r="593" spans="1:5" x14ac:dyDescent="0.2">
      <c r="A593" t="s">
        <v>23</v>
      </c>
      <c r="B593" t="s">
        <v>30</v>
      </c>
      <c r="C593">
        <v>106</v>
      </c>
      <c r="D593">
        <v>139</v>
      </c>
      <c r="E593">
        <v>-33</v>
      </c>
    </row>
    <row r="594" spans="1:5" x14ac:dyDescent="0.2">
      <c r="A594" t="s">
        <v>22</v>
      </c>
      <c r="B594" t="s">
        <v>34</v>
      </c>
      <c r="C594">
        <v>116</v>
      </c>
      <c r="D594">
        <v>122</v>
      </c>
      <c r="E594">
        <v>-6</v>
      </c>
    </row>
    <row r="595" spans="1:5" x14ac:dyDescent="0.2">
      <c r="A595" t="s">
        <v>5</v>
      </c>
      <c r="B595" t="s">
        <v>28</v>
      </c>
      <c r="C595">
        <v>119</v>
      </c>
      <c r="D595">
        <v>98</v>
      </c>
      <c r="E595">
        <v>21</v>
      </c>
    </row>
    <row r="596" spans="1:5" x14ac:dyDescent="0.2">
      <c r="A596" t="s">
        <v>7</v>
      </c>
      <c r="B596" t="s">
        <v>17</v>
      </c>
      <c r="C596">
        <v>141</v>
      </c>
      <c r="D596">
        <v>116</v>
      </c>
      <c r="E596">
        <v>25</v>
      </c>
    </row>
    <row r="597" spans="1:5" x14ac:dyDescent="0.2">
      <c r="A597" t="s">
        <v>8</v>
      </c>
      <c r="B597" t="s">
        <v>29</v>
      </c>
      <c r="C597">
        <v>119</v>
      </c>
      <c r="D597">
        <v>97</v>
      </c>
      <c r="E597">
        <v>22</v>
      </c>
    </row>
    <row r="598" spans="1:5" x14ac:dyDescent="0.2">
      <c r="A598" t="s">
        <v>33</v>
      </c>
      <c r="B598" t="s">
        <v>18</v>
      </c>
      <c r="C598">
        <v>101</v>
      </c>
      <c r="D598">
        <v>115</v>
      </c>
      <c r="E598">
        <v>-14</v>
      </c>
    </row>
    <row r="599" spans="1:5" x14ac:dyDescent="0.2">
      <c r="A599" t="s">
        <v>16</v>
      </c>
      <c r="B599" t="s">
        <v>12</v>
      </c>
      <c r="C599">
        <v>107</v>
      </c>
      <c r="D599">
        <v>133</v>
      </c>
      <c r="E599">
        <v>-26</v>
      </c>
    </row>
    <row r="600" spans="1:5" x14ac:dyDescent="0.2">
      <c r="A600" t="s">
        <v>19</v>
      </c>
      <c r="B600" t="s">
        <v>25</v>
      </c>
      <c r="C600">
        <v>128</v>
      </c>
      <c r="D600">
        <v>126</v>
      </c>
      <c r="E600">
        <v>2</v>
      </c>
    </row>
    <row r="601" spans="1:5" x14ac:dyDescent="0.2">
      <c r="A601" t="s">
        <v>22</v>
      </c>
      <c r="B601" t="s">
        <v>10</v>
      </c>
      <c r="C601">
        <v>116</v>
      </c>
      <c r="D601">
        <v>113</v>
      </c>
      <c r="E601">
        <v>3</v>
      </c>
    </row>
    <row r="602" spans="1:5" x14ac:dyDescent="0.2">
      <c r="A602" t="s">
        <v>27</v>
      </c>
      <c r="B602" t="s">
        <v>34</v>
      </c>
      <c r="C602">
        <v>109</v>
      </c>
      <c r="D602">
        <v>118</v>
      </c>
      <c r="E602">
        <v>-9</v>
      </c>
    </row>
    <row r="603" spans="1:5" x14ac:dyDescent="0.2">
      <c r="A603" t="s">
        <v>32</v>
      </c>
      <c r="B603" t="s">
        <v>11</v>
      </c>
      <c r="C603">
        <v>112</v>
      </c>
      <c r="D603">
        <v>101</v>
      </c>
      <c r="E603">
        <v>11</v>
      </c>
    </row>
    <row r="604" spans="1:5" x14ac:dyDescent="0.2">
      <c r="A604" t="s">
        <v>26</v>
      </c>
      <c r="B604" t="s">
        <v>24</v>
      </c>
      <c r="C604">
        <v>119</v>
      </c>
      <c r="D604">
        <v>105</v>
      </c>
      <c r="E604">
        <v>14</v>
      </c>
    </row>
    <row r="605" spans="1:5" x14ac:dyDescent="0.2">
      <c r="A605" t="s">
        <v>13</v>
      </c>
      <c r="B605" t="s">
        <v>21</v>
      </c>
      <c r="C605">
        <v>118</v>
      </c>
      <c r="D605">
        <v>111</v>
      </c>
      <c r="E605">
        <v>7</v>
      </c>
    </row>
    <row r="606" spans="1:5" x14ac:dyDescent="0.2">
      <c r="A606" t="s">
        <v>20</v>
      </c>
      <c r="B606" t="s">
        <v>31</v>
      </c>
      <c r="C606">
        <v>108</v>
      </c>
      <c r="D606">
        <v>105</v>
      </c>
      <c r="E606">
        <v>3</v>
      </c>
    </row>
    <row r="607" spans="1:5" x14ac:dyDescent="0.2">
      <c r="A607" t="s">
        <v>6</v>
      </c>
      <c r="B607" t="s">
        <v>5</v>
      </c>
      <c r="C607">
        <v>91</v>
      </c>
      <c r="D607">
        <v>111</v>
      </c>
      <c r="E607">
        <v>-20</v>
      </c>
    </row>
    <row r="608" spans="1:5" x14ac:dyDescent="0.2">
      <c r="A608" t="s">
        <v>14</v>
      </c>
      <c r="B608" t="s">
        <v>15</v>
      </c>
      <c r="C608">
        <v>114</v>
      </c>
      <c r="D608">
        <v>119</v>
      </c>
      <c r="E608">
        <v>-5</v>
      </c>
    </row>
    <row r="609" spans="1:5" x14ac:dyDescent="0.2">
      <c r="A609" t="s">
        <v>28</v>
      </c>
      <c r="B609" t="s">
        <v>23</v>
      </c>
      <c r="C609">
        <v>119</v>
      </c>
      <c r="D609">
        <v>101</v>
      </c>
      <c r="E609">
        <v>18</v>
      </c>
    </row>
    <row r="610" spans="1:5" x14ac:dyDescent="0.2">
      <c r="A610" t="s">
        <v>27</v>
      </c>
      <c r="B610" t="s">
        <v>25</v>
      </c>
      <c r="C610">
        <v>144</v>
      </c>
      <c r="D610">
        <v>122</v>
      </c>
      <c r="E610">
        <v>22</v>
      </c>
    </row>
    <row r="611" spans="1:5" x14ac:dyDescent="0.2">
      <c r="A611" t="s">
        <v>8</v>
      </c>
      <c r="B611" t="s">
        <v>11</v>
      </c>
      <c r="C611">
        <v>126</v>
      </c>
      <c r="D611">
        <v>113</v>
      </c>
      <c r="E611">
        <v>13</v>
      </c>
    </row>
    <row r="612" spans="1:5" x14ac:dyDescent="0.2">
      <c r="A612" t="s">
        <v>29</v>
      </c>
      <c r="B612" t="s">
        <v>17</v>
      </c>
      <c r="C612">
        <v>117</v>
      </c>
      <c r="D612">
        <v>101</v>
      </c>
      <c r="E612">
        <v>16</v>
      </c>
    </row>
    <row r="613" spans="1:5" x14ac:dyDescent="0.2">
      <c r="A613" t="s">
        <v>7</v>
      </c>
      <c r="B613" t="s">
        <v>9</v>
      </c>
      <c r="C613">
        <v>117</v>
      </c>
      <c r="D613">
        <v>135</v>
      </c>
      <c r="E613">
        <v>-18</v>
      </c>
    </row>
    <row r="614" spans="1:5" x14ac:dyDescent="0.2">
      <c r="A614" t="s">
        <v>33</v>
      </c>
      <c r="B614" t="s">
        <v>22</v>
      </c>
      <c r="C614">
        <v>127</v>
      </c>
      <c r="D614">
        <v>119</v>
      </c>
      <c r="E614">
        <v>8</v>
      </c>
    </row>
    <row r="615" spans="1:5" x14ac:dyDescent="0.2">
      <c r="A615" t="s">
        <v>16</v>
      </c>
      <c r="B615" t="s">
        <v>12</v>
      </c>
      <c r="C615">
        <v>115</v>
      </c>
      <c r="D615">
        <v>117</v>
      </c>
      <c r="E615">
        <v>-2</v>
      </c>
    </row>
    <row r="616" spans="1:5" x14ac:dyDescent="0.2">
      <c r="A616" t="s">
        <v>10</v>
      </c>
      <c r="B616" t="s">
        <v>19</v>
      </c>
      <c r="C616">
        <v>112</v>
      </c>
      <c r="D616">
        <v>109</v>
      </c>
      <c r="E616">
        <v>3</v>
      </c>
    </row>
    <row r="617" spans="1:5" x14ac:dyDescent="0.2">
      <c r="A617" t="s">
        <v>18</v>
      </c>
      <c r="B617" t="s">
        <v>26</v>
      </c>
      <c r="C617">
        <v>117</v>
      </c>
      <c r="D617">
        <v>121</v>
      </c>
      <c r="E617">
        <v>-4</v>
      </c>
    </row>
    <row r="618" spans="1:5" x14ac:dyDescent="0.2">
      <c r="A618" t="s">
        <v>6</v>
      </c>
      <c r="B618" t="s">
        <v>30</v>
      </c>
      <c r="C618">
        <v>110</v>
      </c>
      <c r="D618">
        <v>105</v>
      </c>
      <c r="E618">
        <v>5</v>
      </c>
    </row>
    <row r="619" spans="1:5" x14ac:dyDescent="0.2">
      <c r="A619" t="s">
        <v>32</v>
      </c>
      <c r="B619" t="s">
        <v>24</v>
      </c>
      <c r="C619">
        <v>128</v>
      </c>
      <c r="D619">
        <v>115</v>
      </c>
      <c r="E619">
        <v>13</v>
      </c>
    </row>
    <row r="620" spans="1:5" x14ac:dyDescent="0.2">
      <c r="A620" t="s">
        <v>27</v>
      </c>
      <c r="B620" t="s">
        <v>25</v>
      </c>
      <c r="C620">
        <v>138</v>
      </c>
      <c r="D620">
        <v>120</v>
      </c>
      <c r="E620">
        <v>18</v>
      </c>
    </row>
    <row r="621" spans="1:5" x14ac:dyDescent="0.2">
      <c r="A621" t="s">
        <v>17</v>
      </c>
      <c r="B621" t="s">
        <v>15</v>
      </c>
      <c r="C621">
        <v>106</v>
      </c>
      <c r="D621">
        <v>132</v>
      </c>
      <c r="E621">
        <v>-26</v>
      </c>
    </row>
    <row r="622" spans="1:5" x14ac:dyDescent="0.2">
      <c r="A622" t="s">
        <v>20</v>
      </c>
      <c r="B622" t="s">
        <v>33</v>
      </c>
      <c r="C622">
        <v>121</v>
      </c>
      <c r="D622">
        <v>78</v>
      </c>
      <c r="E622">
        <v>43</v>
      </c>
    </row>
    <row r="623" spans="1:5" x14ac:dyDescent="0.2">
      <c r="A623" t="s">
        <v>11</v>
      </c>
      <c r="B623" t="s">
        <v>31</v>
      </c>
      <c r="C623">
        <v>99</v>
      </c>
      <c r="D623">
        <v>106</v>
      </c>
      <c r="E623">
        <v>-7</v>
      </c>
    </row>
    <row r="624" spans="1:5" x14ac:dyDescent="0.2">
      <c r="A624" t="s">
        <v>14</v>
      </c>
      <c r="B624" t="s">
        <v>5</v>
      </c>
      <c r="C624">
        <v>122</v>
      </c>
      <c r="D624">
        <v>120</v>
      </c>
      <c r="E624">
        <v>2</v>
      </c>
    </row>
    <row r="625" spans="1:5" x14ac:dyDescent="0.2">
      <c r="A625" t="s">
        <v>28</v>
      </c>
      <c r="B625" t="s">
        <v>30</v>
      </c>
      <c r="C625">
        <v>126</v>
      </c>
      <c r="D625">
        <v>123</v>
      </c>
      <c r="E625">
        <v>3</v>
      </c>
    </row>
    <row r="626" spans="1:5" x14ac:dyDescent="0.2">
      <c r="A626" t="s">
        <v>8</v>
      </c>
      <c r="B626" t="s">
        <v>9</v>
      </c>
      <c r="C626">
        <v>136</v>
      </c>
      <c r="D626">
        <v>116</v>
      </c>
      <c r="E626">
        <v>20</v>
      </c>
    </row>
    <row r="627" spans="1:5" x14ac:dyDescent="0.2">
      <c r="A627" t="s">
        <v>34</v>
      </c>
      <c r="B627" t="s">
        <v>24</v>
      </c>
      <c r="C627">
        <v>121</v>
      </c>
      <c r="D627">
        <v>115</v>
      </c>
      <c r="E627">
        <v>6</v>
      </c>
    </row>
    <row r="628" spans="1:5" x14ac:dyDescent="0.2">
      <c r="A628" t="s">
        <v>29</v>
      </c>
      <c r="B628" t="s">
        <v>7</v>
      </c>
      <c r="C628">
        <v>132</v>
      </c>
      <c r="D628">
        <v>116</v>
      </c>
      <c r="E628">
        <v>16</v>
      </c>
    </row>
    <row r="629" spans="1:5" x14ac:dyDescent="0.2">
      <c r="A629" t="s">
        <v>21</v>
      </c>
      <c r="B629" t="s">
        <v>13</v>
      </c>
      <c r="C629">
        <v>126</v>
      </c>
      <c r="D629">
        <v>109</v>
      </c>
      <c r="E629">
        <v>17</v>
      </c>
    </row>
    <row r="630" spans="1:5" x14ac:dyDescent="0.2">
      <c r="A630" t="s">
        <v>19</v>
      </c>
      <c r="B630" t="s">
        <v>10</v>
      </c>
      <c r="C630">
        <v>124</v>
      </c>
      <c r="D630">
        <v>102</v>
      </c>
      <c r="E630">
        <v>22</v>
      </c>
    </row>
    <row r="631" spans="1:5" x14ac:dyDescent="0.2">
      <c r="A631" t="s">
        <v>6</v>
      </c>
      <c r="B631" t="s">
        <v>22</v>
      </c>
      <c r="C631">
        <v>119</v>
      </c>
      <c r="D631">
        <v>110</v>
      </c>
      <c r="E631">
        <v>9</v>
      </c>
    </row>
    <row r="632" spans="1:5" x14ac:dyDescent="0.2">
      <c r="A632" t="s">
        <v>34</v>
      </c>
      <c r="B632" t="s">
        <v>9</v>
      </c>
      <c r="C632">
        <v>87</v>
      </c>
      <c r="D632">
        <v>110</v>
      </c>
      <c r="E632">
        <v>-23</v>
      </c>
    </row>
    <row r="633" spans="1:5" x14ac:dyDescent="0.2">
      <c r="A633" t="s">
        <v>32</v>
      </c>
      <c r="B633" t="s">
        <v>29</v>
      </c>
      <c r="C633">
        <v>110</v>
      </c>
      <c r="D633">
        <v>117</v>
      </c>
      <c r="E633">
        <v>-7</v>
      </c>
    </row>
    <row r="634" spans="1:5" x14ac:dyDescent="0.2">
      <c r="A634" t="s">
        <v>7</v>
      </c>
      <c r="B634" t="s">
        <v>18</v>
      </c>
      <c r="C634">
        <v>110</v>
      </c>
      <c r="D634">
        <v>93</v>
      </c>
      <c r="E634">
        <v>17</v>
      </c>
    </row>
    <row r="635" spans="1:5" x14ac:dyDescent="0.2">
      <c r="A635" t="s">
        <v>17</v>
      </c>
      <c r="B635" t="s">
        <v>23</v>
      </c>
      <c r="C635">
        <v>110</v>
      </c>
      <c r="D635">
        <v>112</v>
      </c>
      <c r="E635">
        <v>-2</v>
      </c>
    </row>
    <row r="636" spans="1:5" x14ac:dyDescent="0.2">
      <c r="A636" t="s">
        <v>12</v>
      </c>
      <c r="B636" t="s">
        <v>5</v>
      </c>
      <c r="C636">
        <v>104</v>
      </c>
      <c r="D636">
        <v>136</v>
      </c>
      <c r="E636">
        <v>-32</v>
      </c>
    </row>
    <row r="637" spans="1:5" x14ac:dyDescent="0.2">
      <c r="A637" t="s">
        <v>24</v>
      </c>
      <c r="B637" t="s">
        <v>26</v>
      </c>
      <c r="C637">
        <v>106</v>
      </c>
      <c r="D637">
        <v>110</v>
      </c>
      <c r="E637">
        <v>-4</v>
      </c>
    </row>
    <row r="638" spans="1:5" x14ac:dyDescent="0.2">
      <c r="A638" t="s">
        <v>11</v>
      </c>
      <c r="B638" t="s">
        <v>27</v>
      </c>
      <c r="C638">
        <v>97</v>
      </c>
      <c r="D638">
        <v>114</v>
      </c>
      <c r="E638">
        <v>-17</v>
      </c>
    </row>
    <row r="639" spans="1:5" x14ac:dyDescent="0.2">
      <c r="A639" t="s">
        <v>28</v>
      </c>
      <c r="B639" t="s">
        <v>25</v>
      </c>
      <c r="C639">
        <v>123</v>
      </c>
      <c r="D639">
        <v>110</v>
      </c>
      <c r="E639">
        <v>13</v>
      </c>
    </row>
    <row r="640" spans="1:5" x14ac:dyDescent="0.2">
      <c r="A640" t="s">
        <v>16</v>
      </c>
      <c r="B640" t="s">
        <v>33</v>
      </c>
      <c r="C640">
        <v>113</v>
      </c>
      <c r="D640">
        <v>104</v>
      </c>
      <c r="E640">
        <v>9</v>
      </c>
    </row>
    <row r="641" spans="1:5" x14ac:dyDescent="0.2">
      <c r="A641" t="s">
        <v>10</v>
      </c>
      <c r="B641" t="s">
        <v>31</v>
      </c>
      <c r="C641">
        <v>117</v>
      </c>
      <c r="D641">
        <v>126</v>
      </c>
      <c r="E641">
        <v>-9</v>
      </c>
    </row>
    <row r="642" spans="1:5" x14ac:dyDescent="0.2">
      <c r="A642" t="s">
        <v>20</v>
      </c>
      <c r="B642" t="s">
        <v>15</v>
      </c>
      <c r="C642">
        <v>104</v>
      </c>
      <c r="D642">
        <v>103</v>
      </c>
      <c r="E642">
        <v>1</v>
      </c>
    </row>
    <row r="643" spans="1:5" x14ac:dyDescent="0.2">
      <c r="A643" t="s">
        <v>8</v>
      </c>
      <c r="B643" t="s">
        <v>14</v>
      </c>
      <c r="C643">
        <v>135</v>
      </c>
      <c r="D643">
        <v>112</v>
      </c>
      <c r="E643">
        <v>23</v>
      </c>
    </row>
    <row r="644" spans="1:5" x14ac:dyDescent="0.2">
      <c r="A644" t="s">
        <v>16</v>
      </c>
      <c r="B644" t="s">
        <v>31</v>
      </c>
      <c r="C644">
        <v>110</v>
      </c>
      <c r="D644">
        <v>116</v>
      </c>
      <c r="E644">
        <v>-6</v>
      </c>
    </row>
    <row r="645" spans="1:5" x14ac:dyDescent="0.2">
      <c r="A645" t="s">
        <v>19</v>
      </c>
      <c r="B645" t="s">
        <v>26</v>
      </c>
      <c r="C645">
        <v>138</v>
      </c>
      <c r="D645">
        <v>110</v>
      </c>
      <c r="E645">
        <v>28</v>
      </c>
    </row>
    <row r="646" spans="1:5" x14ac:dyDescent="0.2">
      <c r="A646" t="s">
        <v>6</v>
      </c>
      <c r="B646" t="s">
        <v>28</v>
      </c>
      <c r="C646">
        <v>111</v>
      </c>
      <c r="D646">
        <v>106</v>
      </c>
      <c r="E646">
        <v>5</v>
      </c>
    </row>
    <row r="647" spans="1:5" x14ac:dyDescent="0.2">
      <c r="A647" t="s">
        <v>25</v>
      </c>
      <c r="B647" t="s">
        <v>30</v>
      </c>
      <c r="C647">
        <v>127</v>
      </c>
      <c r="D647">
        <v>122</v>
      </c>
      <c r="E647">
        <v>5</v>
      </c>
    </row>
    <row r="648" spans="1:5" x14ac:dyDescent="0.2">
      <c r="A648" t="s">
        <v>34</v>
      </c>
      <c r="B648" t="s">
        <v>7</v>
      </c>
      <c r="C648">
        <v>107</v>
      </c>
      <c r="D648">
        <v>115</v>
      </c>
      <c r="E648">
        <v>-8</v>
      </c>
    </row>
    <row r="649" spans="1:5" x14ac:dyDescent="0.2">
      <c r="A649" t="s">
        <v>8</v>
      </c>
      <c r="B649" t="s">
        <v>18</v>
      </c>
      <c r="C649">
        <v>127</v>
      </c>
      <c r="D649">
        <v>145</v>
      </c>
      <c r="E649">
        <v>-18</v>
      </c>
    </row>
    <row r="650" spans="1:5" x14ac:dyDescent="0.2">
      <c r="A650" t="s">
        <v>32</v>
      </c>
      <c r="B650" t="s">
        <v>14</v>
      </c>
      <c r="C650">
        <v>117</v>
      </c>
      <c r="D650">
        <v>130</v>
      </c>
      <c r="E650">
        <v>-13</v>
      </c>
    </row>
    <row r="651" spans="1:5" x14ac:dyDescent="0.2">
      <c r="A651" t="s">
        <v>9</v>
      </c>
      <c r="B651" t="s">
        <v>12</v>
      </c>
      <c r="C651">
        <v>87</v>
      </c>
      <c r="D651">
        <v>94</v>
      </c>
      <c r="E651">
        <v>-7</v>
      </c>
    </row>
    <row r="652" spans="1:5" x14ac:dyDescent="0.2">
      <c r="A652" t="s">
        <v>15</v>
      </c>
      <c r="B652" t="s">
        <v>33</v>
      </c>
      <c r="C652">
        <v>119</v>
      </c>
      <c r="D652">
        <v>104</v>
      </c>
      <c r="E652">
        <v>15</v>
      </c>
    </row>
    <row r="653" spans="1:5" x14ac:dyDescent="0.2">
      <c r="A653" t="s">
        <v>11</v>
      </c>
      <c r="B653" t="s">
        <v>10</v>
      </c>
      <c r="C653">
        <v>120</v>
      </c>
      <c r="D653">
        <v>66</v>
      </c>
      <c r="E653">
        <v>54</v>
      </c>
    </row>
    <row r="654" spans="1:5" x14ac:dyDescent="0.2">
      <c r="A654" t="s">
        <v>21</v>
      </c>
      <c r="B654" t="s">
        <v>17</v>
      </c>
      <c r="C654">
        <v>122</v>
      </c>
      <c r="D654">
        <v>124</v>
      </c>
      <c r="E654">
        <v>-2</v>
      </c>
    </row>
    <row r="655" spans="1:5" x14ac:dyDescent="0.2">
      <c r="A655" t="s">
        <v>22</v>
      </c>
      <c r="B655" t="s">
        <v>20</v>
      </c>
      <c r="C655">
        <v>104</v>
      </c>
      <c r="D655">
        <v>112</v>
      </c>
      <c r="E655">
        <v>-8</v>
      </c>
    </row>
    <row r="656" spans="1:5" x14ac:dyDescent="0.2">
      <c r="A656" t="s">
        <v>23</v>
      </c>
      <c r="B656" t="s">
        <v>5</v>
      </c>
      <c r="C656">
        <v>102</v>
      </c>
      <c r="D656">
        <v>122</v>
      </c>
      <c r="E656">
        <v>-20</v>
      </c>
    </row>
    <row r="657" spans="1:5" x14ac:dyDescent="0.2">
      <c r="A657" t="s">
        <v>32</v>
      </c>
      <c r="B657" t="s">
        <v>18</v>
      </c>
      <c r="C657">
        <v>109</v>
      </c>
      <c r="D657">
        <v>122</v>
      </c>
      <c r="E657">
        <v>-13</v>
      </c>
    </row>
    <row r="658" spans="1:5" x14ac:dyDescent="0.2">
      <c r="A658" t="s">
        <v>13</v>
      </c>
      <c r="B658" t="s">
        <v>9</v>
      </c>
      <c r="C658">
        <v>97</v>
      </c>
      <c r="D658">
        <v>124</v>
      </c>
      <c r="E658">
        <v>-27</v>
      </c>
    </row>
    <row r="659" spans="1:5" x14ac:dyDescent="0.2">
      <c r="A659" t="s">
        <v>16</v>
      </c>
      <c r="B659" t="s">
        <v>6</v>
      </c>
      <c r="C659">
        <v>128</v>
      </c>
      <c r="D659">
        <v>122</v>
      </c>
      <c r="E659">
        <v>6</v>
      </c>
    </row>
    <row r="660" spans="1:5" x14ac:dyDescent="0.2">
      <c r="A660" t="s">
        <v>24</v>
      </c>
      <c r="B660" t="s">
        <v>34</v>
      </c>
      <c r="C660">
        <v>97</v>
      </c>
      <c r="D660">
        <v>107</v>
      </c>
      <c r="E660">
        <v>-10</v>
      </c>
    </row>
    <row r="661" spans="1:5" x14ac:dyDescent="0.2">
      <c r="A661" t="s">
        <v>27</v>
      </c>
      <c r="B661" t="s">
        <v>8</v>
      </c>
      <c r="C661">
        <v>123</v>
      </c>
      <c r="D661">
        <v>115</v>
      </c>
      <c r="E661">
        <v>8</v>
      </c>
    </row>
    <row r="662" spans="1:5" x14ac:dyDescent="0.2">
      <c r="A662" t="s">
        <v>30</v>
      </c>
      <c r="B662" t="s">
        <v>19</v>
      </c>
      <c r="C662">
        <v>115</v>
      </c>
      <c r="D662">
        <v>120</v>
      </c>
      <c r="E662">
        <v>-5</v>
      </c>
    </row>
    <row r="663" spans="1:5" x14ac:dyDescent="0.2">
      <c r="A663" t="s">
        <v>25</v>
      </c>
      <c r="B663" t="s">
        <v>28</v>
      </c>
      <c r="C663">
        <v>109</v>
      </c>
      <c r="D663">
        <v>126</v>
      </c>
      <c r="E663">
        <v>-17</v>
      </c>
    </row>
    <row r="664" spans="1:5" x14ac:dyDescent="0.2">
      <c r="A664" t="s">
        <v>26</v>
      </c>
      <c r="B664" t="s">
        <v>7</v>
      </c>
      <c r="C664">
        <v>112</v>
      </c>
      <c r="D664">
        <v>104</v>
      </c>
      <c r="E664">
        <v>8</v>
      </c>
    </row>
    <row r="665" spans="1:5" x14ac:dyDescent="0.2">
      <c r="A665" t="s">
        <v>29</v>
      </c>
      <c r="B665" t="s">
        <v>14</v>
      </c>
      <c r="C665">
        <v>127</v>
      </c>
      <c r="D665">
        <v>110</v>
      </c>
      <c r="E665">
        <v>17</v>
      </c>
    </row>
    <row r="666" spans="1:5" x14ac:dyDescent="0.2">
      <c r="A666" t="s">
        <v>20</v>
      </c>
      <c r="B666" t="s">
        <v>6</v>
      </c>
      <c r="C666">
        <v>104</v>
      </c>
      <c r="D666">
        <v>111</v>
      </c>
      <c r="E666">
        <v>-7</v>
      </c>
    </row>
    <row r="667" spans="1:5" x14ac:dyDescent="0.2">
      <c r="A667" t="s">
        <v>17</v>
      </c>
      <c r="B667" t="s">
        <v>31</v>
      </c>
      <c r="C667">
        <v>110</v>
      </c>
      <c r="D667">
        <v>103</v>
      </c>
      <c r="E667">
        <v>7</v>
      </c>
    </row>
    <row r="668" spans="1:5" x14ac:dyDescent="0.2">
      <c r="A668" t="s">
        <v>10</v>
      </c>
      <c r="B668" t="s">
        <v>15</v>
      </c>
      <c r="C668">
        <v>126</v>
      </c>
      <c r="D668">
        <v>130</v>
      </c>
      <c r="E668">
        <v>-4</v>
      </c>
    </row>
    <row r="669" spans="1:5" x14ac:dyDescent="0.2">
      <c r="A669" t="s">
        <v>12</v>
      </c>
      <c r="B669" t="s">
        <v>32</v>
      </c>
      <c r="C669">
        <v>123</v>
      </c>
      <c r="D669">
        <v>118</v>
      </c>
      <c r="E669">
        <v>5</v>
      </c>
    </row>
    <row r="670" spans="1:5" x14ac:dyDescent="0.2">
      <c r="A670" t="s">
        <v>21</v>
      </c>
      <c r="B670" t="s">
        <v>22</v>
      </c>
      <c r="C670">
        <v>127</v>
      </c>
      <c r="D670">
        <v>133</v>
      </c>
      <c r="E670">
        <v>-6</v>
      </c>
    </row>
    <row r="671" spans="1:5" x14ac:dyDescent="0.2">
      <c r="A671" t="s">
        <v>5</v>
      </c>
      <c r="B671" t="s">
        <v>33</v>
      </c>
      <c r="C671">
        <v>114</v>
      </c>
      <c r="D671">
        <v>117</v>
      </c>
      <c r="E671">
        <v>-3</v>
      </c>
    </row>
    <row r="672" spans="1:5" x14ac:dyDescent="0.2">
      <c r="A672" t="s">
        <v>23</v>
      </c>
      <c r="B672" t="s">
        <v>34</v>
      </c>
      <c r="C672">
        <v>100</v>
      </c>
      <c r="D672">
        <v>102</v>
      </c>
      <c r="E672">
        <v>-2</v>
      </c>
    </row>
    <row r="673" spans="1:5" x14ac:dyDescent="0.2">
      <c r="A673" t="s">
        <v>29</v>
      </c>
      <c r="B673" t="s">
        <v>18</v>
      </c>
      <c r="C673">
        <v>98</v>
      </c>
      <c r="D673">
        <v>110</v>
      </c>
      <c r="E673">
        <v>-12</v>
      </c>
    </row>
    <row r="674" spans="1:5" x14ac:dyDescent="0.2">
      <c r="A674" t="s">
        <v>9</v>
      </c>
      <c r="B674" t="s">
        <v>24</v>
      </c>
      <c r="C674">
        <v>119</v>
      </c>
      <c r="D674">
        <v>115</v>
      </c>
      <c r="E674">
        <v>4</v>
      </c>
    </row>
    <row r="675" spans="1:5" x14ac:dyDescent="0.2">
      <c r="A675" t="s">
        <v>16</v>
      </c>
      <c r="B675" t="s">
        <v>11</v>
      </c>
      <c r="C675">
        <v>109</v>
      </c>
      <c r="D675">
        <v>112</v>
      </c>
      <c r="E675">
        <v>-3</v>
      </c>
    </row>
    <row r="676" spans="1:5" x14ac:dyDescent="0.2">
      <c r="A676" t="s">
        <v>13</v>
      </c>
      <c r="B676" t="s">
        <v>12</v>
      </c>
      <c r="C676">
        <v>105</v>
      </c>
      <c r="D676">
        <v>119</v>
      </c>
      <c r="E676">
        <v>-14</v>
      </c>
    </row>
    <row r="677" spans="1:5" x14ac:dyDescent="0.2">
      <c r="A677" t="s">
        <v>19</v>
      </c>
      <c r="B677" t="s">
        <v>15</v>
      </c>
      <c r="C677">
        <v>114</v>
      </c>
      <c r="D677">
        <v>111</v>
      </c>
      <c r="E677">
        <v>3</v>
      </c>
    </row>
    <row r="678" spans="1:5" x14ac:dyDescent="0.2">
      <c r="A678" t="s">
        <v>27</v>
      </c>
      <c r="B678" t="s">
        <v>7</v>
      </c>
      <c r="C678">
        <v>110</v>
      </c>
      <c r="D678">
        <v>116</v>
      </c>
      <c r="E678">
        <v>-6</v>
      </c>
    </row>
    <row r="679" spans="1:5" x14ac:dyDescent="0.2">
      <c r="A679" t="s">
        <v>25</v>
      </c>
      <c r="B679" t="s">
        <v>14</v>
      </c>
      <c r="C679">
        <v>116</v>
      </c>
      <c r="D679">
        <v>147</v>
      </c>
      <c r="E679">
        <v>-31</v>
      </c>
    </row>
    <row r="680" spans="1:5" x14ac:dyDescent="0.2">
      <c r="A680" t="s">
        <v>20</v>
      </c>
      <c r="B680" t="s">
        <v>32</v>
      </c>
      <c r="C680">
        <v>139</v>
      </c>
      <c r="D680">
        <v>116</v>
      </c>
      <c r="E680">
        <v>23</v>
      </c>
    </row>
    <row r="681" spans="1:5" x14ac:dyDescent="0.2">
      <c r="A681" t="s">
        <v>30</v>
      </c>
      <c r="B681" t="s">
        <v>8</v>
      </c>
      <c r="C681">
        <v>85</v>
      </c>
      <c r="D681">
        <v>111</v>
      </c>
      <c r="E681">
        <v>-26</v>
      </c>
    </row>
    <row r="682" spans="1:5" x14ac:dyDescent="0.2">
      <c r="A682" t="s">
        <v>5</v>
      </c>
      <c r="B682" t="s">
        <v>18</v>
      </c>
      <c r="C682">
        <v>101</v>
      </c>
      <c r="D682">
        <v>103</v>
      </c>
      <c r="E682">
        <v>-2</v>
      </c>
    </row>
    <row r="683" spans="1:5" x14ac:dyDescent="0.2">
      <c r="A683" t="s">
        <v>28</v>
      </c>
      <c r="B683" t="s">
        <v>22</v>
      </c>
      <c r="C683">
        <v>95</v>
      </c>
      <c r="D683">
        <v>104</v>
      </c>
      <c r="E683">
        <v>-9</v>
      </c>
    </row>
    <row r="684" spans="1:5" x14ac:dyDescent="0.2">
      <c r="A684" t="s">
        <v>31</v>
      </c>
      <c r="B684" t="s">
        <v>14</v>
      </c>
      <c r="C684">
        <v>102</v>
      </c>
      <c r="D684">
        <v>111</v>
      </c>
      <c r="E684">
        <v>-9</v>
      </c>
    </row>
    <row r="685" spans="1:5" x14ac:dyDescent="0.2">
      <c r="A685" t="s">
        <v>26</v>
      </c>
      <c r="B685" t="s">
        <v>10</v>
      </c>
      <c r="C685">
        <v>126</v>
      </c>
      <c r="D685">
        <v>89</v>
      </c>
      <c r="E685">
        <v>37</v>
      </c>
    </row>
    <row r="686" spans="1:5" x14ac:dyDescent="0.2">
      <c r="A686" t="s">
        <v>17</v>
      </c>
      <c r="B686" t="s">
        <v>33</v>
      </c>
      <c r="C686">
        <v>132</v>
      </c>
      <c r="D686">
        <v>116</v>
      </c>
      <c r="E686">
        <v>16</v>
      </c>
    </row>
    <row r="687" spans="1:5" x14ac:dyDescent="0.2">
      <c r="A687" t="s">
        <v>9</v>
      </c>
      <c r="B687" t="s">
        <v>16</v>
      </c>
      <c r="C687">
        <v>130</v>
      </c>
      <c r="D687">
        <v>93</v>
      </c>
      <c r="E687">
        <v>37</v>
      </c>
    </row>
    <row r="688" spans="1:5" x14ac:dyDescent="0.2">
      <c r="A688" t="s">
        <v>12</v>
      </c>
      <c r="B688" t="s">
        <v>13</v>
      </c>
      <c r="C688">
        <v>114</v>
      </c>
      <c r="D688">
        <v>98</v>
      </c>
      <c r="E688">
        <v>16</v>
      </c>
    </row>
    <row r="689" spans="1:5" x14ac:dyDescent="0.2">
      <c r="A689" t="s">
        <v>15</v>
      </c>
      <c r="B689" t="s">
        <v>29</v>
      </c>
      <c r="C689">
        <v>102</v>
      </c>
      <c r="D689">
        <v>94</v>
      </c>
      <c r="E689">
        <v>8</v>
      </c>
    </row>
    <row r="690" spans="1:5" x14ac:dyDescent="0.2">
      <c r="A690" t="s">
        <v>19</v>
      </c>
      <c r="B690" t="s">
        <v>7</v>
      </c>
      <c r="C690">
        <v>118</v>
      </c>
      <c r="D690">
        <v>129</v>
      </c>
      <c r="E690">
        <v>-11</v>
      </c>
    </row>
    <row r="691" spans="1:5" x14ac:dyDescent="0.2">
      <c r="A691" t="s">
        <v>6</v>
      </c>
      <c r="B691" t="s">
        <v>21</v>
      </c>
      <c r="C691">
        <v>108</v>
      </c>
      <c r="D691">
        <v>99</v>
      </c>
      <c r="E691">
        <v>9</v>
      </c>
    </row>
    <row r="692" spans="1:5" x14ac:dyDescent="0.2">
      <c r="A692" t="s">
        <v>30</v>
      </c>
      <c r="B692" t="s">
        <v>8</v>
      </c>
      <c r="C692">
        <v>108</v>
      </c>
      <c r="D692">
        <v>83</v>
      </c>
      <c r="E692">
        <v>25</v>
      </c>
    </row>
    <row r="693" spans="1:5" x14ac:dyDescent="0.2">
      <c r="A693" t="s">
        <v>24</v>
      </c>
      <c r="B693" t="s">
        <v>29</v>
      </c>
      <c r="C693">
        <v>115</v>
      </c>
      <c r="D693">
        <v>111</v>
      </c>
      <c r="E693">
        <v>4</v>
      </c>
    </row>
    <row r="694" spans="1:5" x14ac:dyDescent="0.2">
      <c r="A694" t="s">
        <v>11</v>
      </c>
      <c r="B694" t="s">
        <v>32</v>
      </c>
      <c r="C694">
        <v>103</v>
      </c>
      <c r="D694">
        <v>87</v>
      </c>
      <c r="E694">
        <v>16</v>
      </c>
    </row>
    <row r="695" spans="1:5" x14ac:dyDescent="0.2">
      <c r="A695" t="s">
        <v>5</v>
      </c>
      <c r="B695" t="s">
        <v>22</v>
      </c>
      <c r="C695">
        <v>104</v>
      </c>
      <c r="D695">
        <v>95</v>
      </c>
      <c r="E695">
        <v>9</v>
      </c>
    </row>
    <row r="696" spans="1:5" x14ac:dyDescent="0.2">
      <c r="A696" t="s">
        <v>16</v>
      </c>
      <c r="B696" t="s">
        <v>23</v>
      </c>
      <c r="C696">
        <v>139</v>
      </c>
      <c r="D696">
        <v>122</v>
      </c>
      <c r="E696">
        <v>17</v>
      </c>
    </row>
    <row r="697" spans="1:5" x14ac:dyDescent="0.2">
      <c r="A697" t="s">
        <v>34</v>
      </c>
      <c r="B697" t="s">
        <v>20</v>
      </c>
      <c r="C697">
        <v>107</v>
      </c>
      <c r="D697">
        <v>109</v>
      </c>
      <c r="E697">
        <v>-2</v>
      </c>
    </row>
    <row r="698" spans="1:5" x14ac:dyDescent="0.2">
      <c r="A698" t="s">
        <v>31</v>
      </c>
      <c r="B698" t="s">
        <v>10</v>
      </c>
      <c r="C698">
        <v>106</v>
      </c>
      <c r="D698">
        <v>102</v>
      </c>
      <c r="E698">
        <v>4</v>
      </c>
    </row>
    <row r="699" spans="1:5" x14ac:dyDescent="0.2">
      <c r="A699" t="s">
        <v>25</v>
      </c>
      <c r="B699" t="s">
        <v>26</v>
      </c>
      <c r="C699">
        <v>103</v>
      </c>
      <c r="D699">
        <v>115</v>
      </c>
      <c r="E699">
        <v>-12</v>
      </c>
    </row>
    <row r="700" spans="1:5" x14ac:dyDescent="0.2">
      <c r="A700" t="s">
        <v>12</v>
      </c>
      <c r="B700" t="s">
        <v>7</v>
      </c>
      <c r="C700">
        <v>129</v>
      </c>
      <c r="D700">
        <v>99</v>
      </c>
      <c r="E700">
        <v>30</v>
      </c>
    </row>
    <row r="701" spans="1:5" x14ac:dyDescent="0.2">
      <c r="A701" t="s">
        <v>33</v>
      </c>
      <c r="B701" t="s">
        <v>19</v>
      </c>
      <c r="C701">
        <v>113</v>
      </c>
      <c r="D701">
        <v>110</v>
      </c>
      <c r="E701">
        <v>3</v>
      </c>
    </row>
    <row r="702" spans="1:5" x14ac:dyDescent="0.2">
      <c r="A702" t="s">
        <v>15</v>
      </c>
      <c r="B702" t="s">
        <v>17</v>
      </c>
      <c r="C702">
        <v>106</v>
      </c>
      <c r="D702">
        <v>117</v>
      </c>
      <c r="E702">
        <v>-11</v>
      </c>
    </row>
    <row r="703" spans="1:5" x14ac:dyDescent="0.2">
      <c r="A703" t="s">
        <v>14</v>
      </c>
      <c r="B703" t="s">
        <v>13</v>
      </c>
      <c r="C703">
        <v>124</v>
      </c>
      <c r="D703">
        <v>133</v>
      </c>
      <c r="E703">
        <v>-9</v>
      </c>
    </row>
    <row r="704" spans="1:5" x14ac:dyDescent="0.2">
      <c r="A704" t="s">
        <v>18</v>
      </c>
      <c r="B704" t="s">
        <v>11</v>
      </c>
      <c r="C704">
        <v>92</v>
      </c>
      <c r="D704">
        <v>119</v>
      </c>
      <c r="E704">
        <v>-27</v>
      </c>
    </row>
    <row r="705" spans="1:5" x14ac:dyDescent="0.2">
      <c r="A705" t="s">
        <v>21</v>
      </c>
      <c r="B705" t="s">
        <v>9</v>
      </c>
      <c r="C705">
        <v>97</v>
      </c>
      <c r="D705">
        <v>112</v>
      </c>
      <c r="E705">
        <v>-15</v>
      </c>
    </row>
    <row r="706" spans="1:5" x14ac:dyDescent="0.2">
      <c r="A706" t="s">
        <v>27</v>
      </c>
      <c r="B706" t="s">
        <v>30</v>
      </c>
      <c r="C706">
        <v>105</v>
      </c>
      <c r="D706">
        <v>118</v>
      </c>
      <c r="E706">
        <v>-13</v>
      </c>
    </row>
    <row r="707" spans="1:5" x14ac:dyDescent="0.2">
      <c r="A707" t="s">
        <v>25</v>
      </c>
      <c r="B707" t="s">
        <v>8</v>
      </c>
      <c r="C707">
        <v>124</v>
      </c>
      <c r="D707">
        <v>140</v>
      </c>
      <c r="E707">
        <v>-16</v>
      </c>
    </row>
    <row r="708" spans="1:5" x14ac:dyDescent="0.2">
      <c r="A708" t="s">
        <v>6</v>
      </c>
      <c r="B708" t="s">
        <v>28</v>
      </c>
      <c r="C708">
        <v>99</v>
      </c>
      <c r="D708">
        <v>111</v>
      </c>
      <c r="E708">
        <v>-12</v>
      </c>
    </row>
    <row r="709" spans="1:5" x14ac:dyDescent="0.2">
      <c r="A709" t="s">
        <v>16</v>
      </c>
      <c r="B709" t="s">
        <v>32</v>
      </c>
      <c r="C709">
        <v>113</v>
      </c>
      <c r="D709">
        <v>111</v>
      </c>
      <c r="E709">
        <v>2</v>
      </c>
    </row>
    <row r="710" spans="1:5" x14ac:dyDescent="0.2">
      <c r="A710" t="s">
        <v>24</v>
      </c>
      <c r="B710" t="s">
        <v>23</v>
      </c>
      <c r="C710">
        <v>109</v>
      </c>
      <c r="D710">
        <v>99</v>
      </c>
      <c r="E710">
        <v>10</v>
      </c>
    </row>
    <row r="711" spans="1:5" x14ac:dyDescent="0.2">
      <c r="A711" t="s">
        <v>17</v>
      </c>
      <c r="B711" t="s">
        <v>6</v>
      </c>
      <c r="C711">
        <v>86</v>
      </c>
      <c r="D711">
        <v>104</v>
      </c>
      <c r="E711">
        <v>-18</v>
      </c>
    </row>
    <row r="712" spans="1:5" x14ac:dyDescent="0.2">
      <c r="A712" t="s">
        <v>19</v>
      </c>
      <c r="B712" t="s">
        <v>14</v>
      </c>
      <c r="C712">
        <v>113</v>
      </c>
      <c r="D712">
        <v>116</v>
      </c>
      <c r="E712">
        <v>-3</v>
      </c>
    </row>
    <row r="713" spans="1:5" x14ac:dyDescent="0.2">
      <c r="A713" t="s">
        <v>27</v>
      </c>
      <c r="B713" t="s">
        <v>9</v>
      </c>
      <c r="C713">
        <v>121</v>
      </c>
      <c r="D713">
        <v>123</v>
      </c>
      <c r="E713">
        <v>-2</v>
      </c>
    </row>
    <row r="714" spans="1:5" x14ac:dyDescent="0.2">
      <c r="A714" t="s">
        <v>34</v>
      </c>
      <c r="B714" t="s">
        <v>10</v>
      </c>
      <c r="C714">
        <v>107</v>
      </c>
      <c r="D714">
        <v>103</v>
      </c>
      <c r="E714">
        <v>4</v>
      </c>
    </row>
    <row r="715" spans="1:5" x14ac:dyDescent="0.2">
      <c r="A715" t="s">
        <v>31</v>
      </c>
      <c r="B715" t="s">
        <v>20</v>
      </c>
      <c r="C715">
        <v>114</v>
      </c>
      <c r="D715">
        <v>96</v>
      </c>
      <c r="E715">
        <v>18</v>
      </c>
    </row>
    <row r="716" spans="1:5" x14ac:dyDescent="0.2">
      <c r="A716" t="s">
        <v>30</v>
      </c>
      <c r="B716" t="s">
        <v>5</v>
      </c>
      <c r="C716">
        <v>123</v>
      </c>
      <c r="D716">
        <v>111</v>
      </c>
      <c r="E716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F7AC-5B82-F045-99AF-6BFC0EC690F6}">
  <dimension ref="A1:N721"/>
  <sheetViews>
    <sheetView tabSelected="1" workbookViewId="0">
      <selection activeCell="C10" sqref="C10"/>
    </sheetView>
  </sheetViews>
  <sheetFormatPr baseColWidth="10" defaultRowHeight="16" x14ac:dyDescent="0.2"/>
  <cols>
    <col min="1" max="1" width="20.1640625" customWidth="1"/>
    <col min="4" max="5" width="21.1640625" bestFit="1" customWidth="1"/>
    <col min="6" max="6" width="14.33203125" bestFit="1" customWidth="1"/>
    <col min="7" max="7" width="13.6640625" bestFit="1" customWidth="1"/>
    <col min="8" max="8" width="14.6640625" bestFit="1" customWidth="1"/>
    <col min="9" max="9" width="16.33203125" bestFit="1" customWidth="1"/>
    <col min="10" max="10" width="14.6640625" bestFit="1" customWidth="1"/>
    <col min="13" max="13" width="24.6640625" customWidth="1"/>
    <col min="14" max="14" width="13" customWidth="1"/>
  </cols>
  <sheetData>
    <row r="1" spans="1:14" ht="22" x14ac:dyDescent="0.3">
      <c r="A1" t="s">
        <v>37</v>
      </c>
      <c r="B1">
        <v>1.8073955011668135</v>
      </c>
      <c r="E1" s="4" t="s">
        <v>44</v>
      </c>
      <c r="F1" s="4" t="s">
        <v>36</v>
      </c>
      <c r="M1" s="5" t="s">
        <v>46</v>
      </c>
      <c r="N1" s="5" t="s">
        <v>47</v>
      </c>
    </row>
    <row r="2" spans="1:14" x14ac:dyDescent="0.2">
      <c r="E2" s="3" t="s">
        <v>15</v>
      </c>
      <c r="F2">
        <f>VLOOKUP(E2,TeamRating,2,FALSE)</f>
        <v>5.3896067644796668</v>
      </c>
      <c r="M2" s="6" t="s">
        <v>49</v>
      </c>
      <c r="N2">
        <f>HomeEdge</f>
        <v>1.8073955011668135</v>
      </c>
    </row>
    <row r="3" spans="1:14" x14ac:dyDescent="0.2">
      <c r="A3" t="s">
        <v>38</v>
      </c>
      <c r="B3">
        <f>AVERAGE(Ratings)</f>
        <v>-5.9753920330270679E-11</v>
      </c>
      <c r="E3" s="3" t="s">
        <v>7</v>
      </c>
      <c r="F3">
        <f>VLOOKUP(E3,TeamRating,2,FALSE)</f>
        <v>-0.68423508569658598</v>
      </c>
      <c r="M3" s="6" t="s">
        <v>50</v>
      </c>
      <c r="N3">
        <f>B3</f>
        <v>-5.9753920330270679E-11</v>
      </c>
    </row>
    <row r="4" spans="1:14" x14ac:dyDescent="0.2">
      <c r="E4" s="1" t="s">
        <v>45</v>
      </c>
      <c r="F4" s="1">
        <f>F2-F3</f>
        <v>6.0738418501762528</v>
      </c>
      <c r="I4" s="1" t="s">
        <v>43</v>
      </c>
      <c r="J4">
        <f>SUM(NBA_2026_Results3[Squared Error])</f>
        <v>129368.30968475489</v>
      </c>
      <c r="M4" s="6" t="s">
        <v>51</v>
      </c>
      <c r="N4">
        <f>J4</f>
        <v>129368.30968475489</v>
      </c>
    </row>
    <row r="5" spans="1:14" x14ac:dyDescent="0.2">
      <c r="M5" s="1" t="s">
        <v>48</v>
      </c>
      <c r="N5">
        <f>COUNTA(Teams)</f>
        <v>30</v>
      </c>
    </row>
    <row r="6" spans="1:14" x14ac:dyDescent="0.2">
      <c r="A6" s="1" t="s">
        <v>35</v>
      </c>
      <c r="B6" s="1" t="s">
        <v>36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39</v>
      </c>
      <c r="J6" t="s">
        <v>40</v>
      </c>
    </row>
    <row r="7" spans="1:14" x14ac:dyDescent="0.2">
      <c r="A7" s="3" t="s">
        <v>17</v>
      </c>
      <c r="B7">
        <v>-0.35162278415123505</v>
      </c>
      <c r="D7" t="s">
        <v>5</v>
      </c>
      <c r="E7" t="s">
        <v>6</v>
      </c>
      <c r="F7">
        <v>125</v>
      </c>
      <c r="G7">
        <v>124</v>
      </c>
      <c r="H7">
        <v>1</v>
      </c>
      <c r="I7">
        <f>VLOOKUP(NBA_2026_Results3[[#This Row],[Home Team]], TeamRating, 2, FALSE) - VLOOKUP(NBA_2026_Results3[[#This Row],[Away Team]], TeamRating, 2, FALSE)+HomeEdge</f>
        <v>7.3761602466245009</v>
      </c>
      <c r="J7">
        <f>(NBA_2026_Results3[[#This Row],[Home Margin]]-NBA_2026_Results3[[#This Row],[Home Forecast]])^2</f>
        <v>40.655419490634614</v>
      </c>
    </row>
    <row r="8" spans="1:14" x14ac:dyDescent="0.2">
      <c r="A8" s="3" t="s">
        <v>15</v>
      </c>
      <c r="B8">
        <v>5.3896067644796668</v>
      </c>
      <c r="D8" t="s">
        <v>7</v>
      </c>
      <c r="E8" t="s">
        <v>8</v>
      </c>
      <c r="F8">
        <v>109</v>
      </c>
      <c r="G8">
        <v>119</v>
      </c>
      <c r="H8">
        <v>-10</v>
      </c>
      <c r="I8">
        <f>VLOOKUP(NBA_2026_Results3[[#This Row],[Home Team]], TeamRating, 2, FALSE) - VLOOKUP(NBA_2026_Results3[[#This Row],[Away Team]], TeamRating, 2, FALSE)+HomeEdge</f>
        <v>-1.7927614384045754</v>
      </c>
      <c r="J8">
        <f>(NBA_2026_Results3[[#This Row],[Home Margin]]-NBA_2026_Results3[[#This Row],[Home Forecast]])^2</f>
        <v>67.358764806938936</v>
      </c>
    </row>
    <row r="9" spans="1:14" x14ac:dyDescent="0.2">
      <c r="A9" s="3" t="s">
        <v>10</v>
      </c>
      <c r="B9">
        <v>-6.6463602253983414</v>
      </c>
      <c r="D9" t="s">
        <v>9</v>
      </c>
      <c r="E9" t="s">
        <v>10</v>
      </c>
      <c r="F9">
        <v>136</v>
      </c>
      <c r="G9">
        <v>117</v>
      </c>
      <c r="H9">
        <v>19</v>
      </c>
      <c r="I9">
        <f>VLOOKUP(NBA_2026_Results3[[#This Row],[Home Team]], TeamRating, 2, FALSE) - VLOOKUP(NBA_2026_Results3[[#This Row],[Away Team]], TeamRating, 2, FALSE)+HomeEdge</f>
        <v>9.4863808003574199</v>
      </c>
      <c r="J9">
        <f>(NBA_2026_Results3[[#This Row],[Home Margin]]-NBA_2026_Results3[[#This Row],[Home Forecast]])^2</f>
        <v>90.508950275807919</v>
      </c>
      <c r="M9" s="2" t="s">
        <v>41</v>
      </c>
    </row>
    <row r="10" spans="1:14" x14ac:dyDescent="0.2">
      <c r="A10" s="3" t="s">
        <v>9</v>
      </c>
      <c r="B10">
        <v>1.0326250737922662</v>
      </c>
      <c r="D10" t="s">
        <v>11</v>
      </c>
      <c r="E10" t="s">
        <v>12</v>
      </c>
      <c r="F10">
        <v>119</v>
      </c>
      <c r="G10">
        <v>111</v>
      </c>
      <c r="H10">
        <v>8</v>
      </c>
      <c r="I10">
        <f>VLOOKUP(NBA_2026_Results3[[#This Row],[Home Team]], TeamRating, 2, FALSE) - VLOOKUP(NBA_2026_Results3[[#This Row],[Away Team]], TeamRating, 2, FALSE)+HomeEdge</f>
        <v>3.2960265183930635</v>
      </c>
      <c r="J10">
        <f>(NBA_2026_Results3[[#This Row],[Home Margin]]-NBA_2026_Results3[[#This Row],[Home Forecast]])^2</f>
        <v>22.127366515661286</v>
      </c>
      <c r="M10" s="3" t="s">
        <v>17</v>
      </c>
    </row>
    <row r="11" spans="1:14" x14ac:dyDescent="0.2">
      <c r="A11" s="3" t="s">
        <v>19</v>
      </c>
      <c r="B11">
        <v>-2.8033689517091274</v>
      </c>
      <c r="D11" t="s">
        <v>13</v>
      </c>
      <c r="E11" t="s">
        <v>14</v>
      </c>
      <c r="F11">
        <v>125</v>
      </c>
      <c r="G11">
        <v>121</v>
      </c>
      <c r="H11">
        <v>4</v>
      </c>
      <c r="I11">
        <f>VLOOKUP(NBA_2026_Results3[[#This Row],[Home Team]], TeamRating, 2, FALSE) - VLOOKUP(NBA_2026_Results3[[#This Row],[Away Team]], TeamRating, 2, FALSE)+HomeEdge</f>
        <v>-0.41159710877494238</v>
      </c>
      <c r="J11">
        <f>(NBA_2026_Results3[[#This Row],[Home Margin]]-NBA_2026_Results3[[#This Row],[Home Forecast]])^2</f>
        <v>19.46218905015143</v>
      </c>
      <c r="M11" s="3" t="s">
        <v>15</v>
      </c>
    </row>
    <row r="12" spans="1:14" x14ac:dyDescent="0.2">
      <c r="A12" s="3" t="s">
        <v>12</v>
      </c>
      <c r="B12">
        <v>2.9243036013557684</v>
      </c>
      <c r="D12" t="s">
        <v>15</v>
      </c>
      <c r="E12" t="s">
        <v>16</v>
      </c>
      <c r="F12">
        <v>116</v>
      </c>
      <c r="G12">
        <v>117</v>
      </c>
      <c r="H12">
        <v>-1</v>
      </c>
      <c r="I12">
        <f>VLOOKUP(NBA_2026_Results3[[#This Row],[Home Team]], TeamRating, 2, FALSE) - VLOOKUP(NBA_2026_Results3[[#This Row],[Away Team]], TeamRating, 2, FALSE)+HomeEdge</f>
        <v>7.0378930024350792</v>
      </c>
      <c r="J12">
        <f>(NBA_2026_Results3[[#This Row],[Home Margin]]-NBA_2026_Results3[[#This Row],[Home Forecast]])^2</f>
        <v>64.607723918594829</v>
      </c>
      <c r="M12" s="3" t="s">
        <v>10</v>
      </c>
    </row>
    <row r="13" spans="1:14" x14ac:dyDescent="0.2">
      <c r="A13" s="3" t="s">
        <v>27</v>
      </c>
      <c r="B13">
        <v>-3.1587243438498471</v>
      </c>
      <c r="D13" t="s">
        <v>17</v>
      </c>
      <c r="E13" t="s">
        <v>18</v>
      </c>
      <c r="F13">
        <v>118</v>
      </c>
      <c r="G13">
        <v>138</v>
      </c>
      <c r="H13">
        <v>-20</v>
      </c>
      <c r="I13">
        <f>VLOOKUP(NBA_2026_Results3[[#This Row],[Home Team]], TeamRating, 2, FALSE) - VLOOKUP(NBA_2026_Results3[[#This Row],[Away Team]], TeamRating, 2, FALSE)+HomeEdge</f>
        <v>0.17504649065773537</v>
      </c>
      <c r="J13">
        <f>(NBA_2026_Results3[[#This Row],[Home Margin]]-NBA_2026_Results3[[#This Row],[Home Forecast]])^2</f>
        <v>407.032500900201</v>
      </c>
      <c r="M13" s="3" t="s">
        <v>9</v>
      </c>
    </row>
    <row r="14" spans="1:14" x14ac:dyDescent="0.2">
      <c r="A14" s="3" t="s">
        <v>34</v>
      </c>
      <c r="B14">
        <v>3.217965615103568</v>
      </c>
      <c r="D14" t="s">
        <v>19</v>
      </c>
      <c r="E14" t="s">
        <v>20</v>
      </c>
      <c r="F14">
        <v>115</v>
      </c>
      <c r="G14">
        <v>111</v>
      </c>
      <c r="H14">
        <v>4</v>
      </c>
      <c r="I14">
        <f>VLOOKUP(NBA_2026_Results3[[#This Row],[Home Team]], TeamRating, 2, FALSE) - VLOOKUP(NBA_2026_Results3[[#This Row],[Away Team]], TeamRating, 2, FALSE)+HomeEdge</f>
        <v>-6.5007809383536097</v>
      </c>
      <c r="J14">
        <f>(NBA_2026_Results3[[#This Row],[Home Margin]]-NBA_2026_Results3[[#This Row],[Home Forecast]])^2</f>
        <v>110.26640031529054</v>
      </c>
      <c r="M14" s="3" t="s">
        <v>19</v>
      </c>
    </row>
    <row r="15" spans="1:14" x14ac:dyDescent="0.2">
      <c r="A15" s="3" t="s">
        <v>20</v>
      </c>
      <c r="B15">
        <v>5.5048074878112967</v>
      </c>
      <c r="D15" t="s">
        <v>21</v>
      </c>
      <c r="E15" t="s">
        <v>22</v>
      </c>
      <c r="F15">
        <v>128</v>
      </c>
      <c r="G15">
        <v>122</v>
      </c>
      <c r="H15">
        <v>6</v>
      </c>
      <c r="I15">
        <f>VLOOKUP(NBA_2026_Results3[[#This Row],[Home Team]], TeamRating, 2, FALSE) - VLOOKUP(NBA_2026_Results3[[#This Row],[Away Team]], TeamRating, 2, FALSE)+HomeEdge</f>
        <v>5.9391101320976709</v>
      </c>
      <c r="J15">
        <f>(NBA_2026_Results3[[#This Row],[Home Margin]]-NBA_2026_Results3[[#This Row],[Home Forecast]])^2</f>
        <v>3.7075760131630858E-3</v>
      </c>
      <c r="M15" s="3" t="s">
        <v>12</v>
      </c>
    </row>
    <row r="16" spans="1:14" x14ac:dyDescent="0.2">
      <c r="A16" s="3" t="s">
        <v>8</v>
      </c>
      <c r="B16">
        <v>2.9159218538748028</v>
      </c>
      <c r="D16" t="s">
        <v>23</v>
      </c>
      <c r="E16" t="s">
        <v>24</v>
      </c>
      <c r="F16">
        <v>133</v>
      </c>
      <c r="G16">
        <v>120</v>
      </c>
      <c r="H16">
        <v>13</v>
      </c>
      <c r="I16">
        <f>VLOOKUP(NBA_2026_Results3[[#This Row],[Home Team]], TeamRating, 2, FALSE) - VLOOKUP(NBA_2026_Results3[[#This Row],[Away Team]], TeamRating, 2, FALSE)+HomeEdge</f>
        <v>7.6718296940670472</v>
      </c>
      <c r="J16">
        <f>(NBA_2026_Results3[[#This Row],[Home Margin]]-NBA_2026_Results3[[#This Row],[Home Forecast]])^2</f>
        <v>28.389398809025657</v>
      </c>
      <c r="M16" s="3" t="s">
        <v>27</v>
      </c>
    </row>
    <row r="17" spans="1:13" x14ac:dyDescent="0.2">
      <c r="A17" s="3" t="s">
        <v>6</v>
      </c>
      <c r="B17">
        <v>5.9125912906837081</v>
      </c>
      <c r="D17" t="s">
        <v>25</v>
      </c>
      <c r="E17" t="s">
        <v>26</v>
      </c>
      <c r="F17">
        <v>129</v>
      </c>
      <c r="G17">
        <v>108</v>
      </c>
      <c r="H17">
        <v>21</v>
      </c>
      <c r="I17">
        <f>VLOOKUP(NBA_2026_Results3[[#This Row],[Home Team]], TeamRating, 2, FALSE) - VLOOKUP(NBA_2026_Results3[[#This Row],[Away Team]], TeamRating, 2, FALSE)+HomeEdge</f>
        <v>-6.0019261324254245</v>
      </c>
      <c r="J17">
        <f>(NBA_2026_Results3[[#This Row],[Home Margin]]-NBA_2026_Results3[[#This Row],[Home Forecast]])^2</f>
        <v>729.10401486095907</v>
      </c>
      <c r="M17" s="3" t="s">
        <v>34</v>
      </c>
    </row>
    <row r="18" spans="1:13" x14ac:dyDescent="0.2">
      <c r="A18" s="3" t="s">
        <v>33</v>
      </c>
      <c r="B18">
        <v>-7.2826848311725465</v>
      </c>
      <c r="D18" t="s">
        <v>27</v>
      </c>
      <c r="E18" t="s">
        <v>28</v>
      </c>
      <c r="F18">
        <v>92</v>
      </c>
      <c r="G18">
        <v>125</v>
      </c>
      <c r="H18">
        <v>-33</v>
      </c>
      <c r="I18">
        <f>VLOOKUP(NBA_2026_Results3[[#This Row],[Home Team]], TeamRating, 2, FALSE) - VLOOKUP(NBA_2026_Results3[[#This Row],[Away Team]], TeamRating, 2, FALSE)+HomeEdge</f>
        <v>-6.4830953450448741</v>
      </c>
      <c r="J18">
        <f>(NBA_2026_Results3[[#This Row],[Home Margin]]-NBA_2026_Results3[[#This Row],[Home Forecast]])^2</f>
        <v>703.14623247998088</v>
      </c>
      <c r="M18" s="3" t="s">
        <v>20</v>
      </c>
    </row>
    <row r="19" spans="1:13" x14ac:dyDescent="0.2">
      <c r="A19" s="3" t="s">
        <v>26</v>
      </c>
      <c r="B19">
        <v>0.11651004851842742</v>
      </c>
      <c r="D19" t="s">
        <v>29</v>
      </c>
      <c r="E19" t="s">
        <v>30</v>
      </c>
      <c r="F19">
        <v>114</v>
      </c>
      <c r="G19">
        <v>118</v>
      </c>
      <c r="H19">
        <v>-4</v>
      </c>
      <c r="I19">
        <f>VLOOKUP(NBA_2026_Results3[[#This Row],[Home Team]], TeamRating, 2, FALSE) - VLOOKUP(NBA_2026_Results3[[#This Row],[Away Team]], TeamRating, 2, FALSE)+HomeEdge</f>
        <v>-3.4832009243528255</v>
      </c>
      <c r="J19">
        <f>(NBA_2026_Results3[[#This Row],[Home Margin]]-NBA_2026_Results3[[#This Row],[Home Forecast]])^2</f>
        <v>0.26708128458977404</v>
      </c>
      <c r="M19" s="3" t="s">
        <v>8</v>
      </c>
    </row>
    <row r="20" spans="1:13" x14ac:dyDescent="0.2">
      <c r="A20" s="3" t="s">
        <v>7</v>
      </c>
      <c r="B20">
        <v>-0.68423508569658598</v>
      </c>
      <c r="D20" t="s">
        <v>31</v>
      </c>
      <c r="E20" t="s">
        <v>32</v>
      </c>
      <c r="F20">
        <v>120</v>
      </c>
      <c r="G20">
        <v>116</v>
      </c>
      <c r="H20">
        <v>4</v>
      </c>
      <c r="I20">
        <f>VLOOKUP(NBA_2026_Results3[[#This Row],[Home Team]], TeamRating, 2, FALSE) - VLOOKUP(NBA_2026_Results3[[#This Row],[Away Team]], TeamRating, 2, FALSE)+HomeEdge</f>
        <v>13.395938929056857</v>
      </c>
      <c r="J20">
        <f>(NBA_2026_Results3[[#This Row],[Home Margin]]-NBA_2026_Results3[[#This Row],[Home Forecast]])^2</f>
        <v>88.283668358566118</v>
      </c>
      <c r="M20" s="3" t="s">
        <v>6</v>
      </c>
    </row>
    <row r="21" spans="1:13" x14ac:dyDescent="0.2">
      <c r="A21" s="3" t="s">
        <v>21</v>
      </c>
      <c r="B21">
        <v>-1.5919338995990591</v>
      </c>
      <c r="D21" t="s">
        <v>33</v>
      </c>
      <c r="E21" t="s">
        <v>5</v>
      </c>
      <c r="F21">
        <v>135</v>
      </c>
      <c r="G21">
        <v>141</v>
      </c>
      <c r="H21">
        <v>-6</v>
      </c>
      <c r="I21">
        <f>VLOOKUP(NBA_2026_Results3[[#This Row],[Home Team]], TeamRating, 2, FALSE) - VLOOKUP(NBA_2026_Results3[[#This Row],[Away Team]], TeamRating, 2, FALSE)+HomeEdge</f>
        <v>-16.956645366147129</v>
      </c>
      <c r="J21">
        <f>(NBA_2026_Results3[[#This Row],[Home Margin]]-NBA_2026_Results3[[#This Row],[Home Forecast]])^2</f>
        <v>120.04807767951334</v>
      </c>
      <c r="M21" s="3" t="s">
        <v>33</v>
      </c>
    </row>
    <row r="22" spans="1:13" x14ac:dyDescent="0.2">
      <c r="A22" s="3" t="s">
        <v>14</v>
      </c>
      <c r="B22">
        <v>2.3077436460965202</v>
      </c>
      <c r="D22" t="s">
        <v>8</v>
      </c>
      <c r="E22" t="s">
        <v>34</v>
      </c>
      <c r="F22">
        <v>137</v>
      </c>
      <c r="G22">
        <v>131</v>
      </c>
      <c r="H22">
        <v>6</v>
      </c>
      <c r="I22">
        <f>VLOOKUP(NBA_2026_Results3[[#This Row],[Home Team]], TeamRating, 2, FALSE) - VLOOKUP(NBA_2026_Results3[[#This Row],[Away Team]], TeamRating, 2, FALSE)+HomeEdge</f>
        <v>1.5053517399380483</v>
      </c>
      <c r="J22">
        <f>(NBA_2026_Results3[[#This Row],[Home Margin]]-NBA_2026_Results3[[#This Row],[Home Forecast]])^2</f>
        <v>20.201862981677934</v>
      </c>
      <c r="M22" s="3" t="s">
        <v>26</v>
      </c>
    </row>
    <row r="23" spans="1:13" x14ac:dyDescent="0.2">
      <c r="A23" s="3" t="s">
        <v>23</v>
      </c>
      <c r="B23">
        <v>-3.9848747153409025</v>
      </c>
      <c r="D23" t="s">
        <v>18</v>
      </c>
      <c r="E23" t="s">
        <v>23</v>
      </c>
      <c r="F23">
        <v>116</v>
      </c>
      <c r="G23">
        <v>122</v>
      </c>
      <c r="H23">
        <v>-6</v>
      </c>
      <c r="I23">
        <f>VLOOKUP(NBA_2026_Results3[[#This Row],[Home Team]], TeamRating, 2, FALSE) - VLOOKUP(NBA_2026_Results3[[#This Row],[Away Team]], TeamRating, 2, FALSE)+HomeEdge</f>
        <v>7.0729964428655592</v>
      </c>
      <c r="J23">
        <f>(NBA_2026_Results3[[#This Row],[Home Margin]]-NBA_2026_Results3[[#This Row],[Home Forecast]])^2</f>
        <v>170.90323599517555</v>
      </c>
      <c r="M23" s="3" t="s">
        <v>7</v>
      </c>
    </row>
    <row r="24" spans="1:13" x14ac:dyDescent="0.2">
      <c r="A24" s="3" t="s">
        <v>30</v>
      </c>
      <c r="B24">
        <v>4.3672339292637528</v>
      </c>
      <c r="D24" t="s">
        <v>13</v>
      </c>
      <c r="E24" t="s">
        <v>17</v>
      </c>
      <c r="F24">
        <v>107</v>
      </c>
      <c r="G24">
        <v>111</v>
      </c>
      <c r="H24">
        <v>-4</v>
      </c>
      <c r="I24">
        <f>VLOOKUP(NBA_2026_Results3[[#This Row],[Home Team]], TeamRating, 2, FALSE) - VLOOKUP(NBA_2026_Results3[[#This Row],[Away Team]], TeamRating, 2, FALSE)+HomeEdge</f>
        <v>2.2477693214728132</v>
      </c>
      <c r="J24">
        <f>(NBA_2026_Results3[[#This Row],[Home Margin]]-NBA_2026_Results3[[#This Row],[Home Forecast]])^2</f>
        <v>39.034621494336854</v>
      </c>
      <c r="M24" s="3" t="s">
        <v>21</v>
      </c>
    </row>
    <row r="25" spans="1:13" x14ac:dyDescent="0.2">
      <c r="A25" s="3" t="s">
        <v>22</v>
      </c>
      <c r="B25">
        <v>-5.7236485305299167</v>
      </c>
      <c r="D25" t="s">
        <v>10</v>
      </c>
      <c r="E25" t="s">
        <v>12</v>
      </c>
      <c r="F25">
        <v>124</v>
      </c>
      <c r="G25">
        <v>131</v>
      </c>
      <c r="H25">
        <v>-7</v>
      </c>
      <c r="I25">
        <f>VLOOKUP(NBA_2026_Results3[[#This Row],[Home Team]], TeamRating, 2, FALSE) - VLOOKUP(NBA_2026_Results3[[#This Row],[Away Team]], TeamRating, 2, FALSE)+HomeEdge</f>
        <v>-7.7632683255872967</v>
      </c>
      <c r="J25">
        <f>(NBA_2026_Results3[[#This Row],[Home Margin]]-NBA_2026_Results3[[#This Row],[Home Forecast]])^2</f>
        <v>0.58257853684483563</v>
      </c>
      <c r="M25" s="3" t="s">
        <v>14</v>
      </c>
    </row>
    <row r="26" spans="1:13" x14ac:dyDescent="0.2">
      <c r="A26" s="3" t="s">
        <v>11</v>
      </c>
      <c r="B26">
        <v>4.4129346185820184</v>
      </c>
      <c r="D26" t="s">
        <v>11</v>
      </c>
      <c r="E26" t="s">
        <v>15</v>
      </c>
      <c r="F26">
        <v>105</v>
      </c>
      <c r="G26">
        <v>95</v>
      </c>
      <c r="H26">
        <v>10</v>
      </c>
      <c r="I26">
        <f>VLOOKUP(NBA_2026_Results3[[#This Row],[Home Team]], TeamRating, 2, FALSE) - VLOOKUP(NBA_2026_Results3[[#This Row],[Away Team]], TeamRating, 2, FALSE)+HomeEdge</f>
        <v>0.83072335526916508</v>
      </c>
      <c r="J26">
        <f>(NBA_2026_Results3[[#This Row],[Home Margin]]-NBA_2026_Results3[[#This Row],[Home Forecast]])^2</f>
        <v>84.075634187606369</v>
      </c>
      <c r="M26" s="3" t="s">
        <v>23</v>
      </c>
    </row>
    <row r="27" spans="1:13" x14ac:dyDescent="0.2">
      <c r="A27" s="3" t="s">
        <v>5</v>
      </c>
      <c r="B27">
        <v>11.481356036141396</v>
      </c>
      <c r="D27" t="s">
        <v>6</v>
      </c>
      <c r="E27" t="s">
        <v>20</v>
      </c>
      <c r="F27">
        <v>111</v>
      </c>
      <c r="G27">
        <v>115</v>
      </c>
      <c r="H27">
        <v>-4</v>
      </c>
      <c r="I27">
        <f>VLOOKUP(NBA_2026_Results3[[#This Row],[Home Team]], TeamRating, 2, FALSE) - VLOOKUP(NBA_2026_Results3[[#This Row],[Away Team]], TeamRating, 2, FALSE)+HomeEdge</f>
        <v>2.2151793040392249</v>
      </c>
      <c r="J27">
        <f>(NBA_2026_Results3[[#This Row],[Home Margin]]-NBA_2026_Results3[[#This Row],[Home Forecast]])^2</f>
        <v>38.628453781357507</v>
      </c>
      <c r="M27" s="3" t="s">
        <v>30</v>
      </c>
    </row>
    <row r="28" spans="1:13" x14ac:dyDescent="0.2">
      <c r="A28" s="3" t="s">
        <v>13</v>
      </c>
      <c r="B28">
        <v>8.875103615476454E-2</v>
      </c>
      <c r="D28" t="s">
        <v>22</v>
      </c>
      <c r="E28" t="s">
        <v>28</v>
      </c>
      <c r="F28">
        <v>116</v>
      </c>
      <c r="G28">
        <v>120</v>
      </c>
      <c r="H28">
        <v>-4</v>
      </c>
      <c r="I28">
        <f>VLOOKUP(NBA_2026_Results3[[#This Row],[Home Team]], TeamRating, 2, FALSE) - VLOOKUP(NBA_2026_Results3[[#This Row],[Away Team]], TeamRating, 2, FALSE)+HomeEdge</f>
        <v>-9.0480195317249432</v>
      </c>
      <c r="J28">
        <f>(NBA_2026_Results3[[#This Row],[Home Margin]]-NBA_2026_Results3[[#This Row],[Home Forecast]])^2</f>
        <v>25.482501192676516</v>
      </c>
      <c r="M28" s="3" t="s">
        <v>22</v>
      </c>
    </row>
    <row r="29" spans="1:13" x14ac:dyDescent="0.2">
      <c r="A29" s="3" t="s">
        <v>16</v>
      </c>
      <c r="B29">
        <v>0.15910926321140115</v>
      </c>
      <c r="D29" t="s">
        <v>21</v>
      </c>
      <c r="E29" t="s">
        <v>14</v>
      </c>
      <c r="F29">
        <v>114</v>
      </c>
      <c r="G29">
        <v>146</v>
      </c>
      <c r="H29">
        <v>-32</v>
      </c>
      <c r="I29">
        <f>VLOOKUP(NBA_2026_Results3[[#This Row],[Home Team]], TeamRating, 2, FALSE) - VLOOKUP(NBA_2026_Results3[[#This Row],[Away Team]], TeamRating, 2, FALSE)+HomeEdge</f>
        <v>-2.0922820445287655</v>
      </c>
      <c r="J29">
        <f>(NBA_2026_Results3[[#This Row],[Home Margin]]-NBA_2026_Results3[[#This Row],[Home Forecast]])^2</f>
        <v>894.47159330401644</v>
      </c>
      <c r="M29" s="3" t="s">
        <v>11</v>
      </c>
    </row>
    <row r="30" spans="1:13" x14ac:dyDescent="0.2">
      <c r="A30" s="3" t="s">
        <v>31</v>
      </c>
      <c r="B30">
        <v>3.0187633946633929</v>
      </c>
      <c r="D30" t="s">
        <v>27</v>
      </c>
      <c r="E30" t="s">
        <v>24</v>
      </c>
      <c r="F30">
        <v>107</v>
      </c>
      <c r="G30">
        <v>117</v>
      </c>
      <c r="H30">
        <v>-10</v>
      </c>
      <c r="I30">
        <f>VLOOKUP(NBA_2026_Results3[[#This Row],[Home Team]], TeamRating, 2, FALSE) - VLOOKUP(NBA_2026_Results3[[#This Row],[Away Team]], TeamRating, 2, FALSE)+HomeEdge</f>
        <v>8.497980065558103</v>
      </c>
      <c r="J30">
        <f>(NBA_2026_Results3[[#This Row],[Home Margin]]-NBA_2026_Results3[[#This Row],[Home Forecast]])^2</f>
        <v>342.17526650578498</v>
      </c>
      <c r="M30" s="3" t="s">
        <v>5</v>
      </c>
    </row>
    <row r="31" spans="1:13" x14ac:dyDescent="0.2">
      <c r="A31" s="3" t="s">
        <v>29</v>
      </c>
      <c r="B31">
        <v>-0.92336249625588618</v>
      </c>
      <c r="D31" t="s">
        <v>7</v>
      </c>
      <c r="E31" t="s">
        <v>30</v>
      </c>
      <c r="F31">
        <v>128</v>
      </c>
      <c r="G31">
        <v>110</v>
      </c>
      <c r="H31">
        <v>18</v>
      </c>
      <c r="I31">
        <f>VLOOKUP(NBA_2026_Results3[[#This Row],[Home Team]], TeamRating, 2, FALSE) - VLOOKUP(NBA_2026_Results3[[#This Row],[Away Team]], TeamRating, 2, FALSE)+HomeEdge</f>
        <v>-3.2440735137935253</v>
      </c>
      <c r="J31">
        <f>(NBA_2026_Results3[[#This Row],[Home Margin]]-NBA_2026_Results3[[#This Row],[Home Forecast]])^2</f>
        <v>451.31065945946352</v>
      </c>
      <c r="M31" s="3" t="s">
        <v>13</v>
      </c>
    </row>
    <row r="32" spans="1:13" x14ac:dyDescent="0.2">
      <c r="A32" s="3" t="s">
        <v>32</v>
      </c>
      <c r="B32">
        <v>-8.5697800332266514</v>
      </c>
      <c r="D32" t="s">
        <v>29</v>
      </c>
      <c r="E32" t="s">
        <v>8</v>
      </c>
      <c r="F32">
        <v>139</v>
      </c>
      <c r="G32">
        <v>119</v>
      </c>
      <c r="H32">
        <v>20</v>
      </c>
      <c r="I32">
        <f>VLOOKUP(NBA_2026_Results3[[#This Row],[Home Team]], TeamRating, 2, FALSE) - VLOOKUP(NBA_2026_Results3[[#This Row],[Away Team]], TeamRating, 2, FALSE)+HomeEdge</f>
        <v>-2.0318888489638756</v>
      </c>
      <c r="J32">
        <f>(NBA_2026_Results3[[#This Row],[Home Margin]]-NBA_2026_Results3[[#This Row],[Home Forecast]])^2</f>
        <v>485.4041262530987</v>
      </c>
      <c r="M32" s="3" t="s">
        <v>16</v>
      </c>
    </row>
    <row r="33" spans="1:13" x14ac:dyDescent="0.2">
      <c r="A33" s="3" t="s">
        <v>28</v>
      </c>
      <c r="B33">
        <v>5.1317665023618408</v>
      </c>
      <c r="D33" t="s">
        <v>32</v>
      </c>
      <c r="E33" t="s">
        <v>25</v>
      </c>
      <c r="F33">
        <v>105</v>
      </c>
      <c r="G33">
        <v>104</v>
      </c>
      <c r="H33">
        <v>1</v>
      </c>
      <c r="I33">
        <f>VLOOKUP(NBA_2026_Results3[[#This Row],[Home Team]], TeamRating, 2, FALSE) - VLOOKUP(NBA_2026_Results3[[#This Row],[Away Team]], TeamRating, 2, FALSE)+HomeEdge</f>
        <v>0.93042705301397266</v>
      </c>
      <c r="J33">
        <f>(NBA_2026_Results3[[#This Row],[Home Margin]]-NBA_2026_Results3[[#This Row],[Home Forecast]])^2</f>
        <v>4.840394952320571E-3</v>
      </c>
      <c r="M33" s="3" t="s">
        <v>31</v>
      </c>
    </row>
    <row r="34" spans="1:13" x14ac:dyDescent="0.2">
      <c r="A34" s="3" t="s">
        <v>18</v>
      </c>
      <c r="B34">
        <v>1.2807262263578432</v>
      </c>
      <c r="D34" t="s">
        <v>26</v>
      </c>
      <c r="E34" t="s">
        <v>31</v>
      </c>
      <c r="F34">
        <v>129</v>
      </c>
      <c r="G34">
        <v>102</v>
      </c>
      <c r="H34">
        <v>27</v>
      </c>
      <c r="I34">
        <f>VLOOKUP(NBA_2026_Results3[[#This Row],[Home Team]], TeamRating, 2, FALSE) - VLOOKUP(NBA_2026_Results3[[#This Row],[Away Team]], TeamRating, 2, FALSE)+HomeEdge</f>
        <v>-1.0948578449781521</v>
      </c>
      <c r="J34">
        <f>(NBA_2026_Results3[[#This Row],[Home Margin]]-NBA_2026_Results3[[#This Row],[Home Forecast]])^2</f>
        <v>789.32103732953033</v>
      </c>
      <c r="M34" s="3" t="s">
        <v>29</v>
      </c>
    </row>
    <row r="35" spans="1:13" x14ac:dyDescent="0.2">
      <c r="A35" s="3" t="s">
        <v>25</v>
      </c>
      <c r="B35">
        <v>-7.6928115850738106</v>
      </c>
      <c r="D35" t="s">
        <v>13</v>
      </c>
      <c r="E35" t="s">
        <v>19</v>
      </c>
      <c r="F35">
        <v>98</v>
      </c>
      <c r="G35">
        <v>110</v>
      </c>
      <c r="H35">
        <v>-12</v>
      </c>
      <c r="I35">
        <f>VLOOKUP(NBA_2026_Results3[[#This Row],[Home Team]], TeamRating, 2, FALSE) - VLOOKUP(NBA_2026_Results3[[#This Row],[Away Team]], TeamRating, 2, FALSE)+HomeEdge</f>
        <v>4.6995154890307056</v>
      </c>
      <c r="J35">
        <f>(NBA_2026_Results3[[#This Row],[Home Margin]]-NBA_2026_Results3[[#This Row],[Home Forecast]])^2</f>
        <v>278.87381756837647</v>
      </c>
      <c r="M35" s="3" t="s">
        <v>32</v>
      </c>
    </row>
    <row r="36" spans="1:13" x14ac:dyDescent="0.2">
      <c r="A36" s="3" t="s">
        <v>24</v>
      </c>
      <c r="B36">
        <v>-9.8493089082411363</v>
      </c>
      <c r="D36" t="s">
        <v>17</v>
      </c>
      <c r="E36" t="s">
        <v>5</v>
      </c>
      <c r="F36">
        <v>100</v>
      </c>
      <c r="G36">
        <v>117</v>
      </c>
      <c r="H36">
        <v>-17</v>
      </c>
      <c r="I36">
        <f>VLOOKUP(NBA_2026_Results3[[#This Row],[Home Team]], TeamRating, 2, FALSE) - VLOOKUP(NBA_2026_Results3[[#This Row],[Away Team]], TeamRating, 2, FALSE)+HomeEdge</f>
        <v>-10.025583319125818</v>
      </c>
      <c r="J36">
        <f>(NBA_2026_Results3[[#This Row],[Home Margin]]-NBA_2026_Results3[[#This Row],[Home Forecast]])^2</f>
        <v>48.642488038456037</v>
      </c>
      <c r="M36" s="3" t="s">
        <v>28</v>
      </c>
    </row>
    <row r="37" spans="1:13" x14ac:dyDescent="0.2">
      <c r="D37" t="s">
        <v>16</v>
      </c>
      <c r="E37" t="s">
        <v>9</v>
      </c>
      <c r="F37">
        <v>125</v>
      </c>
      <c r="G37">
        <v>121</v>
      </c>
      <c r="H37">
        <v>4</v>
      </c>
      <c r="I37">
        <f>VLOOKUP(NBA_2026_Results3[[#This Row],[Home Team]], TeamRating, 2, FALSE) - VLOOKUP(NBA_2026_Results3[[#This Row],[Away Team]], TeamRating, 2, FALSE)+HomeEdge</f>
        <v>0.93387969058594844</v>
      </c>
      <c r="J37">
        <f>(NBA_2026_Results3[[#This Row],[Home Margin]]-NBA_2026_Results3[[#This Row],[Home Forecast]])^2</f>
        <v>9.4010937518013193</v>
      </c>
      <c r="M37" s="3" t="s">
        <v>18</v>
      </c>
    </row>
    <row r="38" spans="1:13" x14ac:dyDescent="0.2">
      <c r="D38" t="s">
        <v>21</v>
      </c>
      <c r="E38" t="s">
        <v>33</v>
      </c>
      <c r="F38">
        <v>128</v>
      </c>
      <c r="G38">
        <v>103</v>
      </c>
      <c r="H38">
        <v>25</v>
      </c>
      <c r="I38">
        <f>VLOOKUP(NBA_2026_Results3[[#This Row],[Home Team]], TeamRating, 2, FALSE) - VLOOKUP(NBA_2026_Results3[[#This Row],[Away Team]], TeamRating, 2, FALSE)+HomeEdge</f>
        <v>7.4981464327403007</v>
      </c>
      <c r="J38">
        <f>(NBA_2026_Results3[[#This Row],[Home Margin]]-NBA_2026_Results3[[#This Row],[Home Forecast]])^2</f>
        <v>306.31487828980113</v>
      </c>
      <c r="M38" s="3" t="s">
        <v>25</v>
      </c>
    </row>
    <row r="39" spans="1:13" x14ac:dyDescent="0.2">
      <c r="D39" t="s">
        <v>34</v>
      </c>
      <c r="E39" t="s">
        <v>31</v>
      </c>
      <c r="F39">
        <v>133</v>
      </c>
      <c r="G39">
        <v>111</v>
      </c>
      <c r="H39">
        <v>22</v>
      </c>
      <c r="I39">
        <f>VLOOKUP(NBA_2026_Results3[[#This Row],[Home Team]], TeamRating, 2, FALSE) - VLOOKUP(NBA_2026_Results3[[#This Row],[Away Team]], TeamRating, 2, FALSE)+HomeEdge</f>
        <v>2.0065977216069886</v>
      </c>
      <c r="J39">
        <f>(NBA_2026_Results3[[#This Row],[Home Margin]]-NBA_2026_Results3[[#This Row],[Home Forecast]])^2</f>
        <v>399.73613466565092</v>
      </c>
      <c r="M39" s="3" t="s">
        <v>24</v>
      </c>
    </row>
    <row r="40" spans="1:13" x14ac:dyDescent="0.2">
      <c r="D40" t="s">
        <v>28</v>
      </c>
      <c r="E40" t="s">
        <v>10</v>
      </c>
      <c r="F40">
        <v>118</v>
      </c>
      <c r="G40">
        <v>107</v>
      </c>
      <c r="H40">
        <v>11</v>
      </c>
      <c r="I40">
        <f>VLOOKUP(NBA_2026_Results3[[#This Row],[Home Team]], TeamRating, 2, FALSE) - VLOOKUP(NBA_2026_Results3[[#This Row],[Away Team]], TeamRating, 2, FALSE)+HomeEdge</f>
        <v>13.585522228926994</v>
      </c>
      <c r="J40">
        <f>(NBA_2026_Results3[[#This Row],[Home Margin]]-NBA_2026_Results3[[#This Row],[Home Forecast]])^2</f>
        <v>6.6849251962756107</v>
      </c>
      <c r="M40" s="3" t="s">
        <v>42</v>
      </c>
    </row>
    <row r="41" spans="1:13" x14ac:dyDescent="0.2">
      <c r="D41" t="s">
        <v>20</v>
      </c>
      <c r="E41" t="s">
        <v>15</v>
      </c>
      <c r="F41">
        <v>119</v>
      </c>
      <c r="G41">
        <v>113</v>
      </c>
      <c r="H41">
        <v>6</v>
      </c>
      <c r="I41">
        <f>VLOOKUP(NBA_2026_Results3[[#This Row],[Home Team]], TeamRating, 2, FALSE) - VLOOKUP(NBA_2026_Results3[[#This Row],[Away Team]], TeamRating, 2, FALSE)+HomeEdge</f>
        <v>1.9225962244984434</v>
      </c>
      <c r="J41">
        <f>(NBA_2026_Results3[[#This Row],[Home Margin]]-NBA_2026_Results3[[#This Row],[Home Forecast]])^2</f>
        <v>16.62522154847435</v>
      </c>
    </row>
    <row r="42" spans="1:13" x14ac:dyDescent="0.2">
      <c r="D42" t="s">
        <v>24</v>
      </c>
      <c r="E42" t="s">
        <v>9</v>
      </c>
      <c r="F42">
        <v>113</v>
      </c>
      <c r="G42">
        <v>139</v>
      </c>
      <c r="H42">
        <v>-26</v>
      </c>
      <c r="I42">
        <f>VLOOKUP(NBA_2026_Results3[[#This Row],[Home Team]], TeamRating, 2, FALSE) - VLOOKUP(NBA_2026_Results3[[#This Row],[Away Team]], TeamRating, 2, FALSE)+HomeEdge</f>
        <v>-9.0745384808665897</v>
      </c>
      <c r="J42">
        <f>(NBA_2026_Results3[[#This Row],[Home Margin]]-NBA_2026_Results3[[#This Row],[Home Forecast]])^2</f>
        <v>286.47124763566586</v>
      </c>
    </row>
    <row r="43" spans="1:13" x14ac:dyDescent="0.2">
      <c r="D43" t="s">
        <v>14</v>
      </c>
      <c r="E43" t="s">
        <v>11</v>
      </c>
      <c r="F43">
        <v>115</v>
      </c>
      <c r="G43">
        <v>107</v>
      </c>
      <c r="H43">
        <v>8</v>
      </c>
      <c r="I43">
        <f>VLOOKUP(NBA_2026_Results3[[#This Row],[Home Team]], TeamRating, 2, FALSE) - VLOOKUP(NBA_2026_Results3[[#This Row],[Away Team]], TeamRating, 2, FALSE)+HomeEdge</f>
        <v>-0.29779547131868478</v>
      </c>
      <c r="J43">
        <f>(NBA_2026_Results3[[#This Row],[Home Margin]]-NBA_2026_Results3[[#This Row],[Home Forecast]])^2</f>
        <v>68.853409683836873</v>
      </c>
    </row>
    <row r="44" spans="1:13" x14ac:dyDescent="0.2">
      <c r="D44" t="s">
        <v>12</v>
      </c>
      <c r="E44" t="s">
        <v>23</v>
      </c>
      <c r="F44">
        <v>118</v>
      </c>
      <c r="G44">
        <v>113</v>
      </c>
      <c r="H44">
        <v>5</v>
      </c>
      <c r="I44">
        <f>VLOOKUP(NBA_2026_Results3[[#This Row],[Home Team]], TeamRating, 2, FALSE) - VLOOKUP(NBA_2026_Results3[[#This Row],[Away Team]], TeamRating, 2, FALSE)+HomeEdge</f>
        <v>8.716573817863484</v>
      </c>
      <c r="J44">
        <f>(NBA_2026_Results3[[#This Row],[Home Margin]]-NBA_2026_Results3[[#This Row],[Home Forecast]])^2</f>
        <v>13.812920943628352</v>
      </c>
    </row>
    <row r="45" spans="1:13" x14ac:dyDescent="0.2">
      <c r="D45" t="s">
        <v>30</v>
      </c>
      <c r="E45" t="s">
        <v>33</v>
      </c>
      <c r="F45">
        <v>114</v>
      </c>
      <c r="G45">
        <v>110</v>
      </c>
      <c r="H45">
        <v>4</v>
      </c>
      <c r="I45">
        <f>VLOOKUP(NBA_2026_Results3[[#This Row],[Home Team]], TeamRating, 2, FALSE) - VLOOKUP(NBA_2026_Results3[[#This Row],[Away Team]], TeamRating, 2, FALSE)+HomeEdge</f>
        <v>13.457314261603113</v>
      </c>
      <c r="J45">
        <f>(NBA_2026_Results3[[#This Row],[Home Margin]]-NBA_2026_Results3[[#This Row],[Home Forecast]])^2</f>
        <v>89.440793042721623</v>
      </c>
    </row>
    <row r="46" spans="1:13" x14ac:dyDescent="0.2">
      <c r="D46" t="s">
        <v>27</v>
      </c>
      <c r="E46" t="s">
        <v>18</v>
      </c>
      <c r="F46">
        <v>139</v>
      </c>
      <c r="G46">
        <v>129</v>
      </c>
      <c r="H46">
        <v>10</v>
      </c>
      <c r="I46">
        <f>VLOOKUP(NBA_2026_Results3[[#This Row],[Home Team]], TeamRating, 2, FALSE) - VLOOKUP(NBA_2026_Results3[[#This Row],[Away Team]], TeamRating, 2, FALSE)+HomeEdge</f>
        <v>-2.6320550690408764</v>
      </c>
      <c r="J46">
        <f>(NBA_2026_Results3[[#This Row],[Home Margin]]-NBA_2026_Results3[[#This Row],[Home Forecast]])^2</f>
        <v>159.56881526728131</v>
      </c>
    </row>
    <row r="47" spans="1:13" x14ac:dyDescent="0.2">
      <c r="D47" t="s">
        <v>32</v>
      </c>
      <c r="E47" t="s">
        <v>7</v>
      </c>
      <c r="F47">
        <v>120</v>
      </c>
      <c r="G47">
        <v>127</v>
      </c>
      <c r="H47">
        <v>-7</v>
      </c>
      <c r="I47">
        <f>VLOOKUP(NBA_2026_Results3[[#This Row],[Home Team]], TeamRating, 2, FALSE) - VLOOKUP(NBA_2026_Results3[[#This Row],[Away Team]], TeamRating, 2, FALSE)+HomeEdge</f>
        <v>-6.0781494463632519</v>
      </c>
      <c r="J47">
        <f>(NBA_2026_Results3[[#This Row],[Home Margin]]-NBA_2026_Results3[[#This Row],[Home Forecast]])^2</f>
        <v>0.84980844324037896</v>
      </c>
    </row>
    <row r="48" spans="1:13" x14ac:dyDescent="0.2">
      <c r="D48" t="s">
        <v>26</v>
      </c>
      <c r="E48" t="s">
        <v>29</v>
      </c>
      <c r="F48">
        <v>114</v>
      </c>
      <c r="G48">
        <v>107</v>
      </c>
      <c r="H48">
        <v>7</v>
      </c>
      <c r="I48">
        <f>VLOOKUP(NBA_2026_Results3[[#This Row],[Home Team]], TeamRating, 2, FALSE) - VLOOKUP(NBA_2026_Results3[[#This Row],[Away Team]], TeamRating, 2, FALSE)+HomeEdge</f>
        <v>2.847268045941127</v>
      </c>
      <c r="J48">
        <f>(NBA_2026_Results3[[#This Row],[Home Margin]]-NBA_2026_Results3[[#This Row],[Home Forecast]])^2</f>
        <v>17.245182682261625</v>
      </c>
    </row>
    <row r="49" spans="4:10" x14ac:dyDescent="0.2">
      <c r="D49" t="s">
        <v>20</v>
      </c>
      <c r="E49" t="s">
        <v>12</v>
      </c>
      <c r="F49">
        <v>95</v>
      </c>
      <c r="G49">
        <v>116</v>
      </c>
      <c r="H49">
        <v>-21</v>
      </c>
      <c r="I49">
        <f>VLOOKUP(NBA_2026_Results3[[#This Row],[Home Team]], TeamRating, 2, FALSE) - VLOOKUP(NBA_2026_Results3[[#This Row],[Away Team]], TeamRating, 2, FALSE)+HomeEdge</f>
        <v>4.3878993876223422</v>
      </c>
      <c r="J49">
        <f>(NBA_2026_Results3[[#This Row],[Home Margin]]-NBA_2026_Results3[[#This Row],[Home Forecast]])^2</f>
        <v>644.54543531603485</v>
      </c>
    </row>
    <row r="50" spans="4:10" x14ac:dyDescent="0.2">
      <c r="D50" t="s">
        <v>16</v>
      </c>
      <c r="E50" t="s">
        <v>13</v>
      </c>
      <c r="F50">
        <v>136</v>
      </c>
      <c r="G50">
        <v>124</v>
      </c>
      <c r="H50">
        <v>12</v>
      </c>
      <c r="I50">
        <f>VLOOKUP(NBA_2026_Results3[[#This Row],[Home Team]], TeamRating, 2, FALSE) - VLOOKUP(NBA_2026_Results3[[#This Row],[Away Team]], TeamRating, 2, FALSE)+HomeEdge</f>
        <v>1.87775372822345</v>
      </c>
      <c r="J50">
        <f>(NBA_2026_Results3[[#This Row],[Home Margin]]-NBA_2026_Results3[[#This Row],[Home Forecast]])^2</f>
        <v>102.45986958649426</v>
      </c>
    </row>
    <row r="51" spans="4:10" x14ac:dyDescent="0.2">
      <c r="D51" t="s">
        <v>19</v>
      </c>
      <c r="E51" t="s">
        <v>17</v>
      </c>
      <c r="F51">
        <v>128</v>
      </c>
      <c r="G51">
        <v>123</v>
      </c>
      <c r="H51">
        <v>5</v>
      </c>
      <c r="I51">
        <f>VLOOKUP(NBA_2026_Results3[[#This Row],[Home Team]], TeamRating, 2, FALSE) - VLOOKUP(NBA_2026_Results3[[#This Row],[Away Team]], TeamRating, 2, FALSE)+HomeEdge</f>
        <v>-0.64435066639107896</v>
      </c>
      <c r="J51">
        <f>(NBA_2026_Results3[[#This Row],[Home Margin]]-NBA_2026_Results3[[#This Row],[Home Forecast]])^2</f>
        <v>31.858694445189411</v>
      </c>
    </row>
    <row r="52" spans="4:10" x14ac:dyDescent="0.2">
      <c r="D52" t="s">
        <v>6</v>
      </c>
      <c r="E52" t="s">
        <v>10</v>
      </c>
      <c r="F52">
        <v>137</v>
      </c>
      <c r="G52">
        <v>109</v>
      </c>
      <c r="H52">
        <v>28</v>
      </c>
      <c r="I52">
        <f>VLOOKUP(NBA_2026_Results3[[#This Row],[Home Team]], TeamRating, 2, FALSE) - VLOOKUP(NBA_2026_Results3[[#This Row],[Away Team]], TeamRating, 2, FALSE)+HomeEdge</f>
        <v>14.366347017248863</v>
      </c>
      <c r="J52">
        <f>(NBA_2026_Results3[[#This Row],[Home Margin]]-NBA_2026_Results3[[#This Row],[Home Forecast]])^2</f>
        <v>185.87649365407898</v>
      </c>
    </row>
    <row r="53" spans="4:10" x14ac:dyDescent="0.2">
      <c r="D53" t="s">
        <v>22</v>
      </c>
      <c r="E53" t="s">
        <v>15</v>
      </c>
      <c r="F53">
        <v>90</v>
      </c>
      <c r="G53">
        <v>122</v>
      </c>
      <c r="H53">
        <v>-32</v>
      </c>
      <c r="I53">
        <f>VLOOKUP(NBA_2026_Results3[[#This Row],[Home Team]], TeamRating, 2, FALSE) - VLOOKUP(NBA_2026_Results3[[#This Row],[Away Team]], TeamRating, 2, FALSE)+HomeEdge</f>
        <v>-9.305859793842771</v>
      </c>
      <c r="J53">
        <f>(NBA_2026_Results3[[#This Row],[Home Margin]]-NBA_2026_Results3[[#This Row],[Home Forecast]])^2</f>
        <v>515.02399969672206</v>
      </c>
    </row>
    <row r="54" spans="4:10" x14ac:dyDescent="0.2">
      <c r="D54" t="s">
        <v>28</v>
      </c>
      <c r="E54" t="s">
        <v>18</v>
      </c>
      <c r="F54">
        <v>121</v>
      </c>
      <c r="G54">
        <v>103</v>
      </c>
      <c r="H54">
        <v>18</v>
      </c>
      <c r="I54">
        <f>VLOOKUP(NBA_2026_Results3[[#This Row],[Home Team]], TeamRating, 2, FALSE) - VLOOKUP(NBA_2026_Results3[[#This Row],[Away Team]], TeamRating, 2, FALSE)+HomeEdge</f>
        <v>5.6584357771708111</v>
      </c>
      <c r="J54">
        <f>(NBA_2026_Results3[[#This Row],[Home Margin]]-NBA_2026_Results3[[#This Row],[Home Forecast]])^2</f>
        <v>152.31420746621743</v>
      </c>
    </row>
    <row r="55" spans="4:10" x14ac:dyDescent="0.2">
      <c r="D55" t="s">
        <v>27</v>
      </c>
      <c r="E55" t="s">
        <v>5</v>
      </c>
      <c r="F55">
        <v>94</v>
      </c>
      <c r="G55">
        <v>101</v>
      </c>
      <c r="H55">
        <v>-7</v>
      </c>
      <c r="I55">
        <f>VLOOKUP(NBA_2026_Results3[[#This Row],[Home Team]], TeamRating, 2, FALSE) - VLOOKUP(NBA_2026_Results3[[#This Row],[Away Team]], TeamRating, 2, FALSE)+HomeEdge</f>
        <v>-12.832684878824431</v>
      </c>
      <c r="J55">
        <f>(NBA_2026_Results3[[#This Row],[Home Margin]]-NBA_2026_Results3[[#This Row],[Home Forecast]])^2</f>
        <v>34.020212895667164</v>
      </c>
    </row>
    <row r="56" spans="4:10" x14ac:dyDescent="0.2">
      <c r="D56" t="s">
        <v>25</v>
      </c>
      <c r="E56" t="s">
        <v>31</v>
      </c>
      <c r="F56">
        <v>138</v>
      </c>
      <c r="G56">
        <v>134</v>
      </c>
      <c r="H56">
        <v>4</v>
      </c>
      <c r="I56">
        <f>VLOOKUP(NBA_2026_Results3[[#This Row],[Home Team]], TeamRating, 2, FALSE) - VLOOKUP(NBA_2026_Results3[[#This Row],[Away Team]], TeamRating, 2, FALSE)+HomeEdge</f>
        <v>-8.9041794785703914</v>
      </c>
      <c r="J56">
        <f>(NBA_2026_Results3[[#This Row],[Home Margin]]-NBA_2026_Results3[[#This Row],[Home Forecast]])^2</f>
        <v>166.51784801515723</v>
      </c>
    </row>
    <row r="57" spans="4:10" x14ac:dyDescent="0.2">
      <c r="D57" t="s">
        <v>30</v>
      </c>
      <c r="E57" t="s">
        <v>34</v>
      </c>
      <c r="F57">
        <v>114</v>
      </c>
      <c r="G57">
        <v>127</v>
      </c>
      <c r="H57">
        <v>-13</v>
      </c>
      <c r="I57">
        <f>VLOOKUP(NBA_2026_Results3[[#This Row],[Home Team]], TeamRating, 2, FALSE) - VLOOKUP(NBA_2026_Results3[[#This Row],[Away Team]], TeamRating, 2, FALSE)+HomeEdge</f>
        <v>2.9566638153269982</v>
      </c>
      <c r="J57">
        <f>(NBA_2026_Results3[[#This Row],[Home Margin]]-NBA_2026_Results3[[#This Row],[Home Forecast]])^2</f>
        <v>254.61512011536595</v>
      </c>
    </row>
    <row r="58" spans="4:10" x14ac:dyDescent="0.2">
      <c r="D58" t="s">
        <v>8</v>
      </c>
      <c r="E58" t="s">
        <v>21</v>
      </c>
      <c r="F58">
        <v>131</v>
      </c>
      <c r="G58">
        <v>118</v>
      </c>
      <c r="H58">
        <v>13</v>
      </c>
      <c r="I58">
        <f>VLOOKUP(NBA_2026_Results3[[#This Row],[Home Team]], TeamRating, 2, FALSE) - VLOOKUP(NBA_2026_Results3[[#This Row],[Away Team]], TeamRating, 2, FALSE)+HomeEdge</f>
        <v>6.3152512546406756</v>
      </c>
      <c r="J58">
        <f>(NBA_2026_Results3[[#This Row],[Home Margin]]-NBA_2026_Results3[[#This Row],[Home Forecast]])^2</f>
        <v>44.685865788583058</v>
      </c>
    </row>
    <row r="59" spans="4:10" x14ac:dyDescent="0.2">
      <c r="D59" t="s">
        <v>7</v>
      </c>
      <c r="E59" t="s">
        <v>29</v>
      </c>
      <c r="F59">
        <v>108</v>
      </c>
      <c r="G59">
        <v>122</v>
      </c>
      <c r="H59">
        <v>-14</v>
      </c>
      <c r="I59">
        <f>VLOOKUP(NBA_2026_Results3[[#This Row],[Home Team]], TeamRating, 2, FALSE) - VLOOKUP(NBA_2026_Results3[[#This Row],[Away Team]], TeamRating, 2, FALSE)+HomeEdge</f>
        <v>2.0465229117261137</v>
      </c>
      <c r="J59">
        <f>(NBA_2026_Results3[[#This Row],[Home Margin]]-NBA_2026_Results3[[#This Row],[Home Forecast]])^2</f>
        <v>257.49089755655115</v>
      </c>
    </row>
    <row r="60" spans="4:10" x14ac:dyDescent="0.2">
      <c r="D60" t="s">
        <v>24</v>
      </c>
      <c r="E60" t="s">
        <v>16</v>
      </c>
      <c r="F60">
        <v>134</v>
      </c>
      <c r="G60">
        <v>139</v>
      </c>
      <c r="H60">
        <v>-5</v>
      </c>
      <c r="I60">
        <f>VLOOKUP(NBA_2026_Results3[[#This Row],[Home Team]], TeamRating, 2, FALSE) - VLOOKUP(NBA_2026_Results3[[#This Row],[Away Team]], TeamRating, 2, FALSE)+HomeEdge</f>
        <v>-8.2010226702857238</v>
      </c>
      <c r="J60">
        <f>(NBA_2026_Results3[[#This Row],[Home Margin]]-NBA_2026_Results3[[#This Row],[Home Forecast]])^2</f>
        <v>10.246546135683145</v>
      </c>
    </row>
    <row r="61" spans="4:10" x14ac:dyDescent="0.2">
      <c r="D61" t="s">
        <v>14</v>
      </c>
      <c r="E61" t="s">
        <v>9</v>
      </c>
      <c r="F61">
        <v>144</v>
      </c>
      <c r="G61">
        <v>117</v>
      </c>
      <c r="H61">
        <v>27</v>
      </c>
      <c r="I61">
        <f>VLOOKUP(NBA_2026_Results3[[#This Row],[Home Team]], TeamRating, 2, FALSE) - VLOOKUP(NBA_2026_Results3[[#This Row],[Away Team]], TeamRating, 2, FALSE)+HomeEdge</f>
        <v>3.0825140734710672</v>
      </c>
      <c r="J61">
        <f>(NBA_2026_Results3[[#This Row],[Home Margin]]-NBA_2026_Results3[[#This Row],[Home Forecast]])^2</f>
        <v>572.04613304570955</v>
      </c>
    </row>
    <row r="62" spans="4:10" x14ac:dyDescent="0.2">
      <c r="D62" t="s">
        <v>23</v>
      </c>
      <c r="E62" t="s">
        <v>11</v>
      </c>
      <c r="F62">
        <v>121</v>
      </c>
      <c r="G62">
        <v>111</v>
      </c>
      <c r="H62">
        <v>10</v>
      </c>
      <c r="I62">
        <f>VLOOKUP(NBA_2026_Results3[[#This Row],[Home Team]], TeamRating, 2, FALSE) - VLOOKUP(NBA_2026_Results3[[#This Row],[Away Team]], TeamRating, 2, FALSE)+HomeEdge</f>
        <v>-6.5904138327561084</v>
      </c>
      <c r="J62">
        <f>(NBA_2026_Results3[[#This Row],[Home Margin]]-NBA_2026_Results3[[#This Row],[Home Forecast]])^2</f>
        <v>275.24183114210524</v>
      </c>
    </row>
    <row r="63" spans="4:10" x14ac:dyDescent="0.2">
      <c r="D63" t="s">
        <v>5</v>
      </c>
      <c r="E63" t="s">
        <v>32</v>
      </c>
      <c r="F63">
        <v>107</v>
      </c>
      <c r="G63">
        <v>101</v>
      </c>
      <c r="H63">
        <v>6</v>
      </c>
      <c r="I63">
        <f>VLOOKUP(NBA_2026_Results3[[#This Row],[Home Team]], TeamRating, 2, FALSE) - VLOOKUP(NBA_2026_Results3[[#This Row],[Away Team]], TeamRating, 2, FALSE)+HomeEdge</f>
        <v>21.858531570534861</v>
      </c>
      <c r="J63">
        <f>(NBA_2026_Results3[[#This Row],[Home Margin]]-NBA_2026_Results3[[#This Row],[Home Forecast]])^2</f>
        <v>251.4930235736509</v>
      </c>
    </row>
    <row r="64" spans="4:10" x14ac:dyDescent="0.2">
      <c r="D64" t="s">
        <v>8</v>
      </c>
      <c r="E64" t="s">
        <v>26</v>
      </c>
      <c r="F64">
        <v>98</v>
      </c>
      <c r="G64">
        <v>79</v>
      </c>
      <c r="H64">
        <v>19</v>
      </c>
      <c r="I64">
        <f>VLOOKUP(NBA_2026_Results3[[#This Row],[Home Team]], TeamRating, 2, FALSE) - VLOOKUP(NBA_2026_Results3[[#This Row],[Away Team]], TeamRating, 2, FALSE)+HomeEdge</f>
        <v>4.6068073065231889</v>
      </c>
      <c r="J64">
        <f>(NBA_2026_Results3[[#This Row],[Home Margin]]-NBA_2026_Results3[[#This Row],[Home Forecast]])^2</f>
        <v>207.16399591155425</v>
      </c>
    </row>
    <row r="65" spans="4:10" x14ac:dyDescent="0.2">
      <c r="D65" t="s">
        <v>18</v>
      </c>
      <c r="E65" t="s">
        <v>6</v>
      </c>
      <c r="F65">
        <v>121</v>
      </c>
      <c r="G65">
        <v>139</v>
      </c>
      <c r="H65">
        <v>-18</v>
      </c>
      <c r="I65">
        <f>VLOOKUP(NBA_2026_Results3[[#This Row],[Home Team]], TeamRating, 2, FALSE) - VLOOKUP(NBA_2026_Results3[[#This Row],[Away Team]], TeamRating, 2, FALSE)+HomeEdge</f>
        <v>-2.8244695631590515</v>
      </c>
      <c r="J65">
        <f>(NBA_2026_Results3[[#This Row],[Home Margin]]-NBA_2026_Results3[[#This Row],[Home Forecast]])^2</f>
        <v>230.29672403948601</v>
      </c>
    </row>
    <row r="66" spans="4:10" x14ac:dyDescent="0.2">
      <c r="D66" t="s">
        <v>15</v>
      </c>
      <c r="E66" t="s">
        <v>12</v>
      </c>
      <c r="F66">
        <v>125</v>
      </c>
      <c r="G66">
        <v>105</v>
      </c>
      <c r="H66">
        <v>20</v>
      </c>
      <c r="I66">
        <f>VLOOKUP(NBA_2026_Results3[[#This Row],[Home Team]], TeamRating, 2, FALSE) - VLOOKUP(NBA_2026_Results3[[#This Row],[Away Team]], TeamRating, 2, FALSE)+HomeEdge</f>
        <v>4.2726986642907114</v>
      </c>
      <c r="J66">
        <f>(NBA_2026_Results3[[#This Row],[Home Margin]]-NBA_2026_Results3[[#This Row],[Home Forecast]])^2</f>
        <v>247.34800730420318</v>
      </c>
    </row>
    <row r="67" spans="4:10" x14ac:dyDescent="0.2">
      <c r="D67" t="s">
        <v>20</v>
      </c>
      <c r="E67" t="s">
        <v>13</v>
      </c>
      <c r="F67">
        <v>135</v>
      </c>
      <c r="G67">
        <v>116</v>
      </c>
      <c r="H67">
        <v>19</v>
      </c>
      <c r="I67">
        <f>VLOOKUP(NBA_2026_Results3[[#This Row],[Home Team]], TeamRating, 2, FALSE) - VLOOKUP(NBA_2026_Results3[[#This Row],[Away Team]], TeamRating, 2, FALSE)+HomeEdge</f>
        <v>7.2234519528233454</v>
      </c>
      <c r="J67">
        <f>(NBA_2026_Results3[[#This Row],[Home Margin]]-NBA_2026_Results3[[#This Row],[Home Forecast]])^2</f>
        <v>138.68708390746025</v>
      </c>
    </row>
    <row r="68" spans="4:10" x14ac:dyDescent="0.2">
      <c r="D68" t="s">
        <v>10</v>
      </c>
      <c r="E68" t="s">
        <v>17</v>
      </c>
      <c r="F68">
        <v>112</v>
      </c>
      <c r="G68">
        <v>117</v>
      </c>
      <c r="H68">
        <v>-5</v>
      </c>
      <c r="I68">
        <f>VLOOKUP(NBA_2026_Results3[[#This Row],[Home Team]], TeamRating, 2, FALSE) - VLOOKUP(NBA_2026_Results3[[#This Row],[Away Team]], TeamRating, 2, FALSE)+HomeEdge</f>
        <v>-4.4873419400802925</v>
      </c>
      <c r="J68">
        <f>(NBA_2026_Results3[[#This Row],[Home Margin]]-NBA_2026_Results3[[#This Row],[Home Forecast]])^2</f>
        <v>0.26281828640063837</v>
      </c>
    </row>
    <row r="69" spans="4:10" x14ac:dyDescent="0.2">
      <c r="D69" t="s">
        <v>19</v>
      </c>
      <c r="E69" t="s">
        <v>32</v>
      </c>
      <c r="F69">
        <v>126</v>
      </c>
      <c r="G69">
        <v>113</v>
      </c>
      <c r="H69">
        <v>13</v>
      </c>
      <c r="I69">
        <f>VLOOKUP(NBA_2026_Results3[[#This Row],[Home Team]], TeamRating, 2, FALSE) - VLOOKUP(NBA_2026_Results3[[#This Row],[Away Team]], TeamRating, 2, FALSE)+HomeEdge</f>
        <v>7.5738065826843375</v>
      </c>
      <c r="J69">
        <f>(NBA_2026_Results3[[#This Row],[Home Margin]]-NBA_2026_Results3[[#This Row],[Home Forecast]])^2</f>
        <v>29.443575002119829</v>
      </c>
    </row>
    <row r="70" spans="4:10" x14ac:dyDescent="0.2">
      <c r="D70" t="s">
        <v>27</v>
      </c>
      <c r="E70" t="s">
        <v>33</v>
      </c>
      <c r="F70">
        <v>107</v>
      </c>
      <c r="G70">
        <v>105</v>
      </c>
      <c r="H70">
        <v>2</v>
      </c>
      <c r="I70">
        <f>VLOOKUP(NBA_2026_Results3[[#This Row],[Home Team]], TeamRating, 2, FALSE) - VLOOKUP(NBA_2026_Results3[[#This Row],[Away Team]], TeamRating, 2, FALSE)+HomeEdge</f>
        <v>5.9313559884895133</v>
      </c>
      <c r="J70">
        <f>(NBA_2026_Results3[[#This Row],[Home Margin]]-NBA_2026_Results3[[#This Row],[Home Forecast]])^2</f>
        <v>15.455559908232358</v>
      </c>
    </row>
    <row r="71" spans="4:10" x14ac:dyDescent="0.2">
      <c r="D71" t="s">
        <v>25</v>
      </c>
      <c r="E71" t="s">
        <v>29</v>
      </c>
      <c r="F71">
        <v>134</v>
      </c>
      <c r="G71">
        <v>136</v>
      </c>
      <c r="H71">
        <v>-2</v>
      </c>
      <c r="I71">
        <f>VLOOKUP(NBA_2026_Results3[[#This Row],[Home Team]], TeamRating, 2, FALSE) - VLOOKUP(NBA_2026_Results3[[#This Row],[Away Team]], TeamRating, 2, FALSE)+HomeEdge</f>
        <v>-4.9620535876511109</v>
      </c>
      <c r="J71">
        <f>(NBA_2026_Results3[[#This Row],[Home Margin]]-NBA_2026_Results3[[#This Row],[Home Forecast]])^2</f>
        <v>8.7737614561168176</v>
      </c>
    </row>
    <row r="72" spans="4:10" x14ac:dyDescent="0.2">
      <c r="D72" t="s">
        <v>34</v>
      </c>
      <c r="E72" t="s">
        <v>22</v>
      </c>
      <c r="F72">
        <v>122</v>
      </c>
      <c r="G72">
        <v>88</v>
      </c>
      <c r="H72">
        <v>34</v>
      </c>
      <c r="I72">
        <f>VLOOKUP(NBA_2026_Results3[[#This Row],[Home Team]], TeamRating, 2, FALSE) - VLOOKUP(NBA_2026_Results3[[#This Row],[Away Team]], TeamRating, 2, FALSE)+HomeEdge</f>
        <v>10.7490096468003</v>
      </c>
      <c r="J72">
        <f>(NBA_2026_Results3[[#This Row],[Home Margin]]-NBA_2026_Results3[[#This Row],[Home Forecast]])^2</f>
        <v>540.60855240458557</v>
      </c>
    </row>
    <row r="73" spans="4:10" x14ac:dyDescent="0.2">
      <c r="D73" t="s">
        <v>30</v>
      </c>
      <c r="E73" t="s">
        <v>7</v>
      </c>
      <c r="F73">
        <v>115</v>
      </c>
      <c r="G73">
        <v>116</v>
      </c>
      <c r="H73">
        <v>-1</v>
      </c>
      <c r="I73">
        <f>VLOOKUP(NBA_2026_Results3[[#This Row],[Home Team]], TeamRating, 2, FALSE) - VLOOKUP(NBA_2026_Results3[[#This Row],[Away Team]], TeamRating, 2, FALSE)+HomeEdge</f>
        <v>6.8588645161271522</v>
      </c>
      <c r="J73">
        <f>(NBA_2026_Results3[[#This Row],[Home Margin]]-NBA_2026_Results3[[#This Row],[Home Forecast]])^2</f>
        <v>61.761751482842456</v>
      </c>
    </row>
    <row r="74" spans="4:10" x14ac:dyDescent="0.2">
      <c r="D74" t="s">
        <v>31</v>
      </c>
      <c r="E74" t="s">
        <v>21</v>
      </c>
      <c r="F74">
        <v>113</v>
      </c>
      <c r="G74">
        <v>114</v>
      </c>
      <c r="H74">
        <v>-1</v>
      </c>
      <c r="I74">
        <f>VLOOKUP(NBA_2026_Results3[[#This Row],[Home Team]], TeamRating, 2, FALSE) - VLOOKUP(NBA_2026_Results3[[#This Row],[Away Team]], TeamRating, 2, FALSE)+HomeEdge</f>
        <v>6.4180927954292653</v>
      </c>
      <c r="J74">
        <f>(NBA_2026_Results3[[#This Row],[Home Margin]]-NBA_2026_Results3[[#This Row],[Home Forecast]])^2</f>
        <v>55.028100721599571</v>
      </c>
    </row>
    <row r="75" spans="4:10" x14ac:dyDescent="0.2">
      <c r="D75" t="s">
        <v>9</v>
      </c>
      <c r="E75" t="s">
        <v>13</v>
      </c>
      <c r="F75">
        <v>107</v>
      </c>
      <c r="G75">
        <v>123</v>
      </c>
      <c r="H75">
        <v>-16</v>
      </c>
      <c r="I75">
        <f>VLOOKUP(NBA_2026_Results3[[#This Row],[Home Team]], TeamRating, 2, FALSE) - VLOOKUP(NBA_2026_Results3[[#This Row],[Away Team]], TeamRating, 2, FALSE)+HomeEdge</f>
        <v>2.7512695388043151</v>
      </c>
      <c r="J75">
        <f>(NBA_2026_Results3[[#This Row],[Home Margin]]-NBA_2026_Results3[[#This Row],[Home Forecast]])^2</f>
        <v>351.6101093168906</v>
      </c>
    </row>
    <row r="76" spans="4:10" x14ac:dyDescent="0.2">
      <c r="D76" t="s">
        <v>23</v>
      </c>
      <c r="E76" t="s">
        <v>8</v>
      </c>
      <c r="F76">
        <v>120</v>
      </c>
      <c r="G76">
        <v>110</v>
      </c>
      <c r="H76">
        <v>10</v>
      </c>
      <c r="I76">
        <f>VLOOKUP(NBA_2026_Results3[[#This Row],[Home Team]], TeamRating, 2, FALSE) - VLOOKUP(NBA_2026_Results3[[#This Row],[Away Team]], TeamRating, 2, FALSE)+HomeEdge</f>
        <v>-5.0934010680488919</v>
      </c>
      <c r="J76">
        <f>(NBA_2026_Results3[[#This Row],[Home Margin]]-NBA_2026_Results3[[#This Row],[Home Forecast]])^2</f>
        <v>227.81075580097939</v>
      </c>
    </row>
    <row r="77" spans="4:10" x14ac:dyDescent="0.2">
      <c r="D77" t="s">
        <v>5</v>
      </c>
      <c r="E77" t="s">
        <v>24</v>
      </c>
      <c r="F77">
        <v>127</v>
      </c>
      <c r="G77">
        <v>108</v>
      </c>
      <c r="H77">
        <v>19</v>
      </c>
      <c r="I77">
        <f>VLOOKUP(NBA_2026_Results3[[#This Row],[Home Team]], TeamRating, 2, FALSE) - VLOOKUP(NBA_2026_Results3[[#This Row],[Away Team]], TeamRating, 2, FALSE)+HomeEdge</f>
        <v>23.138060445549346</v>
      </c>
      <c r="J77">
        <f>(NBA_2026_Results3[[#This Row],[Home Margin]]-NBA_2026_Results3[[#This Row],[Home Forecast]])^2</f>
        <v>17.123544251020054</v>
      </c>
    </row>
    <row r="78" spans="4:10" x14ac:dyDescent="0.2">
      <c r="D78" t="s">
        <v>28</v>
      </c>
      <c r="E78" t="s">
        <v>14</v>
      </c>
      <c r="F78">
        <v>107</v>
      </c>
      <c r="G78">
        <v>101</v>
      </c>
      <c r="H78">
        <v>6</v>
      </c>
      <c r="I78">
        <f>VLOOKUP(NBA_2026_Results3[[#This Row],[Home Team]], TeamRating, 2, FALSE) - VLOOKUP(NBA_2026_Results3[[#This Row],[Away Team]], TeamRating, 2, FALSE)+HomeEdge</f>
        <v>4.6314183574321337</v>
      </c>
      <c r="J78">
        <f>(NBA_2026_Results3[[#This Row],[Home Margin]]-NBA_2026_Results3[[#This Row],[Home Forecast]])^2</f>
        <v>1.873015712373759</v>
      </c>
    </row>
    <row r="79" spans="4:10" x14ac:dyDescent="0.2">
      <c r="D79" t="s">
        <v>33</v>
      </c>
      <c r="E79" t="s">
        <v>17</v>
      </c>
      <c r="F79">
        <v>108</v>
      </c>
      <c r="G79">
        <v>128</v>
      </c>
      <c r="H79">
        <v>-20</v>
      </c>
      <c r="I79">
        <f>VLOOKUP(NBA_2026_Results3[[#This Row],[Home Team]], TeamRating, 2, FALSE) - VLOOKUP(NBA_2026_Results3[[#This Row],[Away Team]], TeamRating, 2, FALSE)+HomeEdge</f>
        <v>-5.1236665458544977</v>
      </c>
      <c r="J79">
        <f>(NBA_2026_Results3[[#This Row],[Home Margin]]-NBA_2026_Results3[[#This Row],[Home Forecast]])^2</f>
        <v>221.30529703892864</v>
      </c>
    </row>
    <row r="80" spans="4:10" x14ac:dyDescent="0.2">
      <c r="D80" t="s">
        <v>16</v>
      </c>
      <c r="E80" t="s">
        <v>15</v>
      </c>
      <c r="F80">
        <v>108</v>
      </c>
      <c r="G80">
        <v>109</v>
      </c>
      <c r="H80">
        <v>-1</v>
      </c>
      <c r="I80">
        <f>VLOOKUP(NBA_2026_Results3[[#This Row],[Home Team]], TeamRating, 2, FALSE) - VLOOKUP(NBA_2026_Results3[[#This Row],[Away Team]], TeamRating, 2, FALSE)+HomeEdge</f>
        <v>-3.4231020001014523</v>
      </c>
      <c r="J80">
        <f>(NBA_2026_Results3[[#This Row],[Home Margin]]-NBA_2026_Results3[[#This Row],[Home Forecast]])^2</f>
        <v>5.8714233028956588</v>
      </c>
    </row>
    <row r="81" spans="4:10" x14ac:dyDescent="0.2">
      <c r="D81" t="s">
        <v>12</v>
      </c>
      <c r="E81" t="s">
        <v>18</v>
      </c>
      <c r="F81">
        <v>101</v>
      </c>
      <c r="G81">
        <v>112</v>
      </c>
      <c r="H81">
        <v>-11</v>
      </c>
      <c r="I81">
        <f>VLOOKUP(NBA_2026_Results3[[#This Row],[Home Team]], TeamRating, 2, FALSE) - VLOOKUP(NBA_2026_Results3[[#This Row],[Away Team]], TeamRating, 2, FALSE)+HomeEdge</f>
        <v>3.4509728761647387</v>
      </c>
      <c r="J81">
        <f>(NBA_2026_Results3[[#This Row],[Home Margin]]-NBA_2026_Results3[[#This Row],[Home Forecast]])^2</f>
        <v>208.830617067649</v>
      </c>
    </row>
    <row r="82" spans="4:10" x14ac:dyDescent="0.2">
      <c r="D82" t="s">
        <v>19</v>
      </c>
      <c r="E82" t="s">
        <v>11</v>
      </c>
      <c r="F82">
        <v>135</v>
      </c>
      <c r="G82">
        <v>125</v>
      </c>
      <c r="H82">
        <v>10</v>
      </c>
      <c r="I82">
        <f>VLOOKUP(NBA_2026_Results3[[#This Row],[Home Team]], TeamRating, 2, FALSE) - VLOOKUP(NBA_2026_Results3[[#This Row],[Away Team]], TeamRating, 2, FALSE)+HomeEdge</f>
        <v>-5.4089080691243323</v>
      </c>
      <c r="J82">
        <f>(NBA_2026_Results3[[#This Row],[Home Margin]]-NBA_2026_Results3[[#This Row],[Home Forecast]])^2</f>
        <v>237.43444788272498</v>
      </c>
    </row>
    <row r="83" spans="4:10" x14ac:dyDescent="0.2">
      <c r="D83" t="s">
        <v>21</v>
      </c>
      <c r="E83" t="s">
        <v>7</v>
      </c>
      <c r="F83">
        <v>112</v>
      </c>
      <c r="G83">
        <v>117</v>
      </c>
      <c r="H83">
        <v>-5</v>
      </c>
      <c r="I83">
        <f>VLOOKUP(NBA_2026_Results3[[#This Row],[Home Team]], TeamRating, 2, FALSE) - VLOOKUP(NBA_2026_Results3[[#This Row],[Away Team]], TeamRating, 2, FALSE)+HomeEdge</f>
        <v>0.89969668726434038</v>
      </c>
      <c r="J83">
        <f>(NBA_2026_Results3[[#This Row],[Home Margin]]-NBA_2026_Results3[[#This Row],[Home Forecast]])^2</f>
        <v>34.80642100171783</v>
      </c>
    </row>
    <row r="84" spans="4:10" x14ac:dyDescent="0.2">
      <c r="D84" t="s">
        <v>31</v>
      </c>
      <c r="E84" t="s">
        <v>25</v>
      </c>
      <c r="F84">
        <v>118</v>
      </c>
      <c r="G84">
        <v>96</v>
      </c>
      <c r="H84">
        <v>22</v>
      </c>
      <c r="I84">
        <f>VLOOKUP(NBA_2026_Results3[[#This Row],[Home Team]], TeamRating, 2, FALSE) - VLOOKUP(NBA_2026_Results3[[#This Row],[Away Team]], TeamRating, 2, FALSE)+HomeEdge</f>
        <v>12.518970480904017</v>
      </c>
      <c r="J84">
        <f>(NBA_2026_Results3[[#This Row],[Home Margin]]-NBA_2026_Results3[[#This Row],[Home Forecast]])^2</f>
        <v>89.889920741969419</v>
      </c>
    </row>
    <row r="85" spans="4:10" x14ac:dyDescent="0.2">
      <c r="D85" t="s">
        <v>29</v>
      </c>
      <c r="E85" t="s">
        <v>34</v>
      </c>
      <c r="F85">
        <v>109</v>
      </c>
      <c r="G85">
        <v>107</v>
      </c>
      <c r="H85">
        <v>2</v>
      </c>
      <c r="I85">
        <f>VLOOKUP(NBA_2026_Results3[[#This Row],[Home Team]], TeamRating, 2, FALSE) - VLOOKUP(NBA_2026_Results3[[#This Row],[Away Team]], TeamRating, 2, FALSE)+HomeEdge</f>
        <v>-2.3339326101926412</v>
      </c>
      <c r="J85">
        <f>(NBA_2026_Results3[[#This Row],[Home Margin]]-NBA_2026_Results3[[#This Row],[Home Forecast]])^2</f>
        <v>18.782971869691199</v>
      </c>
    </row>
    <row r="86" spans="4:10" x14ac:dyDescent="0.2">
      <c r="D86" t="s">
        <v>26</v>
      </c>
      <c r="E86" t="s">
        <v>22</v>
      </c>
      <c r="F86">
        <v>126</v>
      </c>
      <c r="G86">
        <v>124</v>
      </c>
      <c r="H86">
        <v>2</v>
      </c>
      <c r="I86">
        <f>VLOOKUP(NBA_2026_Results3[[#This Row],[Home Team]], TeamRating, 2, FALSE) - VLOOKUP(NBA_2026_Results3[[#This Row],[Away Team]], TeamRating, 2, FALSE)+HomeEdge</f>
        <v>7.6475540802151576</v>
      </c>
      <c r="J86">
        <f>(NBA_2026_Results3[[#This Row],[Home Margin]]-NBA_2026_Results3[[#This Row],[Home Forecast]])^2</f>
        <v>31.894867088954875</v>
      </c>
    </row>
    <row r="87" spans="4:10" x14ac:dyDescent="0.2">
      <c r="D87" t="s">
        <v>23</v>
      </c>
      <c r="E87" t="s">
        <v>32</v>
      </c>
      <c r="F87">
        <v>133</v>
      </c>
      <c r="G87">
        <v>135</v>
      </c>
      <c r="H87">
        <v>-2</v>
      </c>
      <c r="I87">
        <f>VLOOKUP(NBA_2026_Results3[[#This Row],[Home Team]], TeamRating, 2, FALSE) - VLOOKUP(NBA_2026_Results3[[#This Row],[Away Team]], TeamRating, 2, FALSE)+HomeEdge</f>
        <v>6.3923008190525623</v>
      </c>
      <c r="J87">
        <f>(NBA_2026_Results3[[#This Row],[Home Margin]]-NBA_2026_Results3[[#This Row],[Home Forecast]])^2</f>
        <v>70.430713037470298</v>
      </c>
    </row>
    <row r="88" spans="4:10" x14ac:dyDescent="0.2">
      <c r="D88" t="s">
        <v>9</v>
      </c>
      <c r="E88" t="s">
        <v>30</v>
      </c>
      <c r="F88">
        <v>105</v>
      </c>
      <c r="G88">
        <v>122</v>
      </c>
      <c r="H88">
        <v>-17</v>
      </c>
      <c r="I88">
        <f>VLOOKUP(NBA_2026_Results3[[#This Row],[Home Team]], TeamRating, 2, FALSE) - VLOOKUP(NBA_2026_Results3[[#This Row],[Away Team]], TeamRating, 2, FALSE)+HomeEdge</f>
        <v>-1.5272133543046733</v>
      </c>
      <c r="J88">
        <f>(NBA_2026_Results3[[#This Row],[Home Margin]]-NBA_2026_Results3[[#This Row],[Home Forecast]])^2</f>
        <v>239.4071265832076</v>
      </c>
    </row>
    <row r="89" spans="4:10" x14ac:dyDescent="0.2">
      <c r="D89" t="s">
        <v>33</v>
      </c>
      <c r="E89" t="s">
        <v>8</v>
      </c>
      <c r="F89">
        <v>114</v>
      </c>
      <c r="G89">
        <v>109</v>
      </c>
      <c r="H89">
        <v>5</v>
      </c>
      <c r="I89">
        <f>VLOOKUP(NBA_2026_Results3[[#This Row],[Home Team]], TeamRating, 2, FALSE) - VLOOKUP(NBA_2026_Results3[[#This Row],[Away Team]], TeamRating, 2, FALSE)+HomeEdge</f>
        <v>-8.3912111838805359</v>
      </c>
      <c r="J89">
        <f>(NBA_2026_Results3[[#This Row],[Home Margin]]-NBA_2026_Results3[[#This Row],[Home Forecast]])^2</f>
        <v>179.32453697128713</v>
      </c>
    </row>
    <row r="90" spans="4:10" x14ac:dyDescent="0.2">
      <c r="D90" t="s">
        <v>24</v>
      </c>
      <c r="E90" t="s">
        <v>13</v>
      </c>
      <c r="F90">
        <v>94</v>
      </c>
      <c r="G90">
        <v>125</v>
      </c>
      <c r="H90">
        <v>-31</v>
      </c>
      <c r="I90">
        <f>VLOOKUP(NBA_2026_Results3[[#This Row],[Home Team]], TeamRating, 2, FALSE) - VLOOKUP(NBA_2026_Results3[[#This Row],[Away Team]], TeamRating, 2, FALSE)+HomeEdge</f>
        <v>-8.1306644432290867</v>
      </c>
      <c r="J90">
        <f>(NBA_2026_Results3[[#This Row],[Home Margin]]-NBA_2026_Results3[[#This Row],[Home Forecast]])^2</f>
        <v>523.00650880818637</v>
      </c>
    </row>
    <row r="91" spans="4:10" x14ac:dyDescent="0.2">
      <c r="D91" t="s">
        <v>15</v>
      </c>
      <c r="E91" t="s">
        <v>6</v>
      </c>
      <c r="F91">
        <v>101</v>
      </c>
      <c r="G91">
        <v>128</v>
      </c>
      <c r="H91">
        <v>-27</v>
      </c>
      <c r="I91">
        <f>VLOOKUP(NBA_2026_Results3[[#This Row],[Home Team]], TeamRating, 2, FALSE) - VLOOKUP(NBA_2026_Results3[[#This Row],[Away Team]], TeamRating, 2, FALSE)+HomeEdge</f>
        <v>1.2844109749627721</v>
      </c>
      <c r="J91">
        <f>(NBA_2026_Results3[[#This Row],[Home Margin]]-NBA_2026_Results3[[#This Row],[Home Forecast]])^2</f>
        <v>800.00790420059445</v>
      </c>
    </row>
    <row r="92" spans="4:10" x14ac:dyDescent="0.2">
      <c r="D92" t="s">
        <v>20</v>
      </c>
      <c r="E92" t="s">
        <v>27</v>
      </c>
      <c r="F92">
        <v>122</v>
      </c>
      <c r="G92">
        <v>110</v>
      </c>
      <c r="H92">
        <v>12</v>
      </c>
      <c r="I92">
        <f>VLOOKUP(NBA_2026_Results3[[#This Row],[Home Team]], TeamRating, 2, FALSE) - VLOOKUP(NBA_2026_Results3[[#This Row],[Away Team]], TeamRating, 2, FALSE)+HomeEdge</f>
        <v>10.470927332827959</v>
      </c>
      <c r="J92">
        <f>(NBA_2026_Results3[[#This Row],[Home Margin]]-NBA_2026_Results3[[#This Row],[Home Forecast]])^2</f>
        <v>2.3380632214926202</v>
      </c>
    </row>
    <row r="93" spans="4:10" x14ac:dyDescent="0.2">
      <c r="D93" t="s">
        <v>5</v>
      </c>
      <c r="E93" t="s">
        <v>22</v>
      </c>
      <c r="F93">
        <v>137</v>
      </c>
      <c r="G93">
        <v>106</v>
      </c>
      <c r="H93">
        <v>31</v>
      </c>
      <c r="I93">
        <f>VLOOKUP(NBA_2026_Results3[[#This Row],[Home Team]], TeamRating, 2, FALSE) - VLOOKUP(NBA_2026_Results3[[#This Row],[Away Team]], TeamRating, 2, FALSE)+HomeEdge</f>
        <v>19.012400067838126</v>
      </c>
      <c r="J93">
        <f>(NBA_2026_Results3[[#This Row],[Home Margin]]-NBA_2026_Results3[[#This Row],[Home Forecast]])^2</f>
        <v>143.70255213356737</v>
      </c>
    </row>
    <row r="94" spans="4:10" x14ac:dyDescent="0.2">
      <c r="D94" t="s">
        <v>10</v>
      </c>
      <c r="E94" t="s">
        <v>16</v>
      </c>
      <c r="F94">
        <v>105</v>
      </c>
      <c r="G94">
        <v>129</v>
      </c>
      <c r="H94">
        <v>-24</v>
      </c>
      <c r="I94">
        <f>VLOOKUP(NBA_2026_Results3[[#This Row],[Home Team]], TeamRating, 2, FALSE) - VLOOKUP(NBA_2026_Results3[[#This Row],[Away Team]], TeamRating, 2, FALSE)+HomeEdge</f>
        <v>-4.998073987442929</v>
      </c>
      <c r="J94">
        <f>(NBA_2026_Results3[[#This Row],[Home Margin]]-NBA_2026_Results3[[#This Row],[Home Forecast]])^2</f>
        <v>361.07319218669306</v>
      </c>
    </row>
    <row r="95" spans="4:10" x14ac:dyDescent="0.2">
      <c r="D95" t="s">
        <v>9</v>
      </c>
      <c r="E95" t="s">
        <v>25</v>
      </c>
      <c r="F95">
        <v>126</v>
      </c>
      <c r="G95">
        <v>103</v>
      </c>
      <c r="H95">
        <v>23</v>
      </c>
      <c r="I95">
        <f>VLOOKUP(NBA_2026_Results3[[#This Row],[Home Team]], TeamRating, 2, FALSE) - VLOOKUP(NBA_2026_Results3[[#This Row],[Away Team]], TeamRating, 2, FALSE)+HomeEdge</f>
        <v>10.532832160032889</v>
      </c>
      <c r="J95">
        <f>(NBA_2026_Results3[[#This Row],[Home Margin]]-NBA_2026_Results3[[#This Row],[Home Forecast]])^2</f>
        <v>155.4302739499102</v>
      </c>
    </row>
    <row r="96" spans="4:10" x14ac:dyDescent="0.2">
      <c r="D96" t="s">
        <v>12</v>
      </c>
      <c r="E96" t="s">
        <v>17</v>
      </c>
      <c r="F96">
        <v>117</v>
      </c>
      <c r="G96">
        <v>109</v>
      </c>
      <c r="H96">
        <v>8</v>
      </c>
      <c r="I96">
        <f>VLOOKUP(NBA_2026_Results3[[#This Row],[Home Team]], TeamRating, 2, FALSE) - VLOOKUP(NBA_2026_Results3[[#This Row],[Away Team]], TeamRating, 2, FALSE)+HomeEdge</f>
        <v>5.0833218866738168</v>
      </c>
      <c r="J96">
        <f>(NBA_2026_Results3[[#This Row],[Home Margin]]-NBA_2026_Results3[[#This Row],[Home Forecast]])^2</f>
        <v>8.5070112167559842</v>
      </c>
    </row>
    <row r="97" spans="4:10" x14ac:dyDescent="0.2">
      <c r="D97" t="s">
        <v>18</v>
      </c>
      <c r="E97" t="s">
        <v>21</v>
      </c>
      <c r="F97">
        <v>117</v>
      </c>
      <c r="G97">
        <v>104</v>
      </c>
      <c r="H97">
        <v>13</v>
      </c>
      <c r="I97">
        <f>VLOOKUP(NBA_2026_Results3[[#This Row],[Home Team]], TeamRating, 2, FALSE) - VLOOKUP(NBA_2026_Results3[[#This Row],[Away Team]], TeamRating, 2, FALSE)+HomeEdge</f>
        <v>4.6800556271237159</v>
      </c>
      <c r="J97">
        <f>(NBA_2026_Results3[[#This Row],[Home Margin]]-NBA_2026_Results3[[#This Row],[Home Forecast]])^2</f>
        <v>69.221474367755746</v>
      </c>
    </row>
    <row r="98" spans="4:10" x14ac:dyDescent="0.2">
      <c r="D98" t="s">
        <v>11</v>
      </c>
      <c r="E98" t="s">
        <v>19</v>
      </c>
      <c r="F98">
        <v>128</v>
      </c>
      <c r="G98">
        <v>116</v>
      </c>
      <c r="H98">
        <v>12</v>
      </c>
      <c r="I98">
        <f>VLOOKUP(NBA_2026_Results3[[#This Row],[Home Team]], TeamRating, 2, FALSE) - VLOOKUP(NBA_2026_Results3[[#This Row],[Away Team]], TeamRating, 2, FALSE)+HomeEdge</f>
        <v>9.0236990714579584</v>
      </c>
      <c r="J98">
        <f>(NBA_2026_Results3[[#This Row],[Home Margin]]-NBA_2026_Results3[[#This Row],[Home Forecast]])^2</f>
        <v>8.8583672172402199</v>
      </c>
    </row>
    <row r="99" spans="4:10" x14ac:dyDescent="0.2">
      <c r="D99" t="s">
        <v>31</v>
      </c>
      <c r="E99" t="s">
        <v>28</v>
      </c>
      <c r="F99">
        <v>130</v>
      </c>
      <c r="G99">
        <v>118</v>
      </c>
      <c r="H99">
        <v>12</v>
      </c>
      <c r="I99">
        <f>VLOOKUP(NBA_2026_Results3[[#This Row],[Home Team]], TeamRating, 2, FALSE) - VLOOKUP(NBA_2026_Results3[[#This Row],[Away Team]], TeamRating, 2, FALSE)+HomeEdge</f>
        <v>-0.30560760653163443</v>
      </c>
      <c r="J99">
        <f>(NBA_2026_Results3[[#This Row],[Home Margin]]-NBA_2026_Results3[[#This Row],[Home Forecast]])^2</f>
        <v>151.42797856592921</v>
      </c>
    </row>
    <row r="100" spans="4:10" x14ac:dyDescent="0.2">
      <c r="D100" t="s">
        <v>7</v>
      </c>
      <c r="E100" t="s">
        <v>14</v>
      </c>
      <c r="F100">
        <v>130</v>
      </c>
      <c r="G100">
        <v>120</v>
      </c>
      <c r="H100">
        <v>10</v>
      </c>
      <c r="I100">
        <f>VLOOKUP(NBA_2026_Results3[[#This Row],[Home Team]], TeamRating, 2, FALSE) - VLOOKUP(NBA_2026_Results3[[#This Row],[Away Team]], TeamRating, 2, FALSE)+HomeEdge</f>
        <v>-1.1845832306262927</v>
      </c>
      <c r="J100">
        <f>(NBA_2026_Results3[[#This Row],[Home Margin]]-NBA_2026_Results3[[#This Row],[Home Forecast]])^2</f>
        <v>125.09490204280689</v>
      </c>
    </row>
    <row r="101" spans="4:10" x14ac:dyDescent="0.2">
      <c r="D101" t="s">
        <v>10</v>
      </c>
      <c r="E101" t="s">
        <v>30</v>
      </c>
      <c r="F101">
        <v>109</v>
      </c>
      <c r="G101">
        <v>125</v>
      </c>
      <c r="H101">
        <v>-16</v>
      </c>
      <c r="I101">
        <f>VLOOKUP(NBA_2026_Results3[[#This Row],[Home Team]], TeamRating, 2, FALSE) - VLOOKUP(NBA_2026_Results3[[#This Row],[Away Team]], TeamRating, 2, FALSE)+HomeEdge</f>
        <v>-9.2061986534952815</v>
      </c>
      <c r="J101">
        <f>(NBA_2026_Results3[[#This Row],[Home Margin]]-NBA_2026_Results3[[#This Row],[Home Forecast]])^2</f>
        <v>46.155736735769324</v>
      </c>
    </row>
    <row r="102" spans="4:10" x14ac:dyDescent="0.2">
      <c r="D102" t="s">
        <v>33</v>
      </c>
      <c r="E102" t="s">
        <v>23</v>
      </c>
      <c r="F102">
        <v>115</v>
      </c>
      <c r="G102">
        <v>117</v>
      </c>
      <c r="H102">
        <v>-2</v>
      </c>
      <c r="I102">
        <f>VLOOKUP(NBA_2026_Results3[[#This Row],[Home Team]], TeamRating, 2, FALSE) - VLOOKUP(NBA_2026_Results3[[#This Row],[Away Team]], TeamRating, 2, FALSE)+HomeEdge</f>
        <v>-1.4904146146648305</v>
      </c>
      <c r="J102">
        <f>(NBA_2026_Results3[[#This Row],[Home Margin]]-NBA_2026_Results3[[#This Row],[Home Forecast]])^2</f>
        <v>0.25967726494719318</v>
      </c>
    </row>
    <row r="103" spans="4:10" x14ac:dyDescent="0.2">
      <c r="D103" t="s">
        <v>15</v>
      </c>
      <c r="E103" t="s">
        <v>25</v>
      </c>
      <c r="F103">
        <v>103</v>
      </c>
      <c r="G103">
        <v>105</v>
      </c>
      <c r="H103">
        <v>-2</v>
      </c>
      <c r="I103">
        <f>VLOOKUP(NBA_2026_Results3[[#This Row],[Home Team]], TeamRating, 2, FALSE) - VLOOKUP(NBA_2026_Results3[[#This Row],[Away Team]], TeamRating, 2, FALSE)+HomeEdge</f>
        <v>14.889813850720291</v>
      </c>
      <c r="J103">
        <f>(NBA_2026_Results3[[#This Row],[Home Margin]]-NBA_2026_Results3[[#This Row],[Home Forecast]])^2</f>
        <v>285.26581191198295</v>
      </c>
    </row>
    <row r="104" spans="4:10" x14ac:dyDescent="0.2">
      <c r="D104" t="s">
        <v>11</v>
      </c>
      <c r="E104" t="s">
        <v>24</v>
      </c>
      <c r="F104">
        <v>119</v>
      </c>
      <c r="G104">
        <v>102</v>
      </c>
      <c r="H104">
        <v>17</v>
      </c>
      <c r="I104">
        <f>VLOOKUP(NBA_2026_Results3[[#This Row],[Home Team]], TeamRating, 2, FALSE) - VLOOKUP(NBA_2026_Results3[[#This Row],[Away Team]], TeamRating, 2, FALSE)+HomeEdge</f>
        <v>16.069639027989968</v>
      </c>
      <c r="J104">
        <f>(NBA_2026_Results3[[#This Row],[Home Margin]]-NBA_2026_Results3[[#This Row],[Home Forecast]])^2</f>
        <v>0.86557153823945132</v>
      </c>
    </row>
    <row r="105" spans="4:10" x14ac:dyDescent="0.2">
      <c r="D105" t="s">
        <v>6</v>
      </c>
      <c r="E105" t="s">
        <v>27</v>
      </c>
      <c r="F105">
        <v>110</v>
      </c>
      <c r="G105">
        <v>102</v>
      </c>
      <c r="H105">
        <v>8</v>
      </c>
      <c r="I105">
        <f>VLOOKUP(NBA_2026_Results3[[#This Row],[Home Team]], TeamRating, 2, FALSE) - VLOOKUP(NBA_2026_Results3[[#This Row],[Away Team]], TeamRating, 2, FALSE)+HomeEdge</f>
        <v>10.878711135700367</v>
      </c>
      <c r="J105">
        <f>(NBA_2026_Results3[[#This Row],[Home Margin]]-NBA_2026_Results3[[#This Row],[Home Forecast]])^2</f>
        <v>8.2869778028052998</v>
      </c>
    </row>
    <row r="106" spans="4:10" x14ac:dyDescent="0.2">
      <c r="D106" t="s">
        <v>21</v>
      </c>
      <c r="E106" t="s">
        <v>20</v>
      </c>
      <c r="F106">
        <v>106</v>
      </c>
      <c r="G106">
        <v>114</v>
      </c>
      <c r="H106">
        <v>-8</v>
      </c>
      <c r="I106">
        <f>VLOOKUP(NBA_2026_Results3[[#This Row],[Home Team]], TeamRating, 2, FALSE) - VLOOKUP(NBA_2026_Results3[[#This Row],[Away Team]], TeamRating, 2, FALSE)+HomeEdge</f>
        <v>-5.2893458862435425</v>
      </c>
      <c r="J106">
        <f>(NBA_2026_Results3[[#This Row],[Home Margin]]-NBA_2026_Results3[[#This Row],[Home Forecast]])^2</f>
        <v>7.3476457244248063</v>
      </c>
    </row>
    <row r="107" spans="4:10" x14ac:dyDescent="0.2">
      <c r="D107" t="s">
        <v>34</v>
      </c>
      <c r="E107" t="s">
        <v>32</v>
      </c>
      <c r="F107">
        <v>130</v>
      </c>
      <c r="G107">
        <v>124</v>
      </c>
      <c r="H107">
        <v>6</v>
      </c>
      <c r="I107">
        <f>VLOOKUP(NBA_2026_Results3[[#This Row],[Home Team]], TeamRating, 2, FALSE) - VLOOKUP(NBA_2026_Results3[[#This Row],[Away Team]], TeamRating, 2, FALSE)+HomeEdge</f>
        <v>13.595141149497032</v>
      </c>
      <c r="J107">
        <f>(NBA_2026_Results3[[#This Row],[Home Margin]]-NBA_2026_Results3[[#This Row],[Home Forecast]])^2</f>
        <v>57.686169080783088</v>
      </c>
    </row>
    <row r="108" spans="4:10" x14ac:dyDescent="0.2">
      <c r="D108" t="s">
        <v>29</v>
      </c>
      <c r="E108" t="s">
        <v>7</v>
      </c>
      <c r="F108">
        <v>115</v>
      </c>
      <c r="G108">
        <v>123</v>
      </c>
      <c r="H108">
        <v>-8</v>
      </c>
      <c r="I108">
        <f>VLOOKUP(NBA_2026_Results3[[#This Row],[Home Team]], TeamRating, 2, FALSE) - VLOOKUP(NBA_2026_Results3[[#This Row],[Away Team]], TeamRating, 2, FALSE)+HomeEdge</f>
        <v>1.5682680906075133</v>
      </c>
      <c r="J108">
        <f>(NBA_2026_Results3[[#This Row],[Home Margin]]-NBA_2026_Results3[[#This Row],[Home Forecast]])^2</f>
        <v>91.551754253737968</v>
      </c>
    </row>
    <row r="109" spans="4:10" x14ac:dyDescent="0.2">
      <c r="D109" t="s">
        <v>26</v>
      </c>
      <c r="E109" t="s">
        <v>14</v>
      </c>
      <c r="F109">
        <v>119</v>
      </c>
      <c r="G109">
        <v>120</v>
      </c>
      <c r="H109">
        <v>-1</v>
      </c>
      <c r="I109">
        <f>VLOOKUP(NBA_2026_Results3[[#This Row],[Home Team]], TeamRating, 2, FALSE) - VLOOKUP(NBA_2026_Results3[[#This Row],[Away Team]], TeamRating, 2, FALSE)+HomeEdge</f>
        <v>-0.38383809641127931</v>
      </c>
      <c r="J109">
        <f>(NBA_2026_Results3[[#This Row],[Home Margin]]-NBA_2026_Results3[[#This Row],[Home Forecast]])^2</f>
        <v>0.37965549143407595</v>
      </c>
    </row>
    <row r="110" spans="4:10" x14ac:dyDescent="0.2">
      <c r="D110" t="s">
        <v>18</v>
      </c>
      <c r="E110" t="s">
        <v>23</v>
      </c>
      <c r="F110">
        <v>128</v>
      </c>
      <c r="G110">
        <v>100</v>
      </c>
      <c r="H110">
        <v>28</v>
      </c>
      <c r="I110">
        <f>VLOOKUP(NBA_2026_Results3[[#This Row],[Home Team]], TeamRating, 2, FALSE) - VLOOKUP(NBA_2026_Results3[[#This Row],[Away Team]], TeamRating, 2, FALSE)+HomeEdge</f>
        <v>7.0729964428655592</v>
      </c>
      <c r="J110">
        <f>(NBA_2026_Results3[[#This Row],[Home Margin]]-NBA_2026_Results3[[#This Row],[Home Forecast]])^2</f>
        <v>437.93947788031755</v>
      </c>
    </row>
    <row r="111" spans="4:10" x14ac:dyDescent="0.2">
      <c r="D111" t="s">
        <v>17</v>
      </c>
      <c r="E111" t="s">
        <v>13</v>
      </c>
      <c r="F111">
        <v>127</v>
      </c>
      <c r="G111">
        <v>112</v>
      </c>
      <c r="H111">
        <v>15</v>
      </c>
      <c r="I111">
        <f>VLOOKUP(NBA_2026_Results3[[#This Row],[Home Team]], TeamRating, 2, FALSE) - VLOOKUP(NBA_2026_Results3[[#This Row],[Away Team]], TeamRating, 2, FALSE)+HomeEdge</f>
        <v>1.3670216808608138</v>
      </c>
      <c r="J111">
        <f>(NBA_2026_Results3[[#This Row],[Home Margin]]-NBA_2026_Results3[[#This Row],[Home Forecast]])^2</f>
        <v>185.85809785011909</v>
      </c>
    </row>
    <row r="112" spans="4:10" x14ac:dyDescent="0.2">
      <c r="D112" t="s">
        <v>19</v>
      </c>
      <c r="E112" t="s">
        <v>16</v>
      </c>
      <c r="F112">
        <v>113</v>
      </c>
      <c r="G112">
        <v>111</v>
      </c>
      <c r="H112">
        <v>2</v>
      </c>
      <c r="I112">
        <f>VLOOKUP(NBA_2026_Results3[[#This Row],[Home Team]], TeamRating, 2, FALSE) - VLOOKUP(NBA_2026_Results3[[#This Row],[Away Team]], TeamRating, 2, FALSE)+HomeEdge</f>
        <v>-1.155082713753715</v>
      </c>
      <c r="J112">
        <f>(NBA_2026_Results3[[#This Row],[Home Margin]]-NBA_2026_Results3[[#This Row],[Home Forecast]])^2</f>
        <v>9.9545469306275063</v>
      </c>
    </row>
    <row r="113" spans="4:10" x14ac:dyDescent="0.2">
      <c r="D113" t="s">
        <v>22</v>
      </c>
      <c r="E113" t="s">
        <v>9</v>
      </c>
      <c r="F113">
        <v>116</v>
      </c>
      <c r="G113">
        <v>112</v>
      </c>
      <c r="H113">
        <v>4</v>
      </c>
      <c r="I113">
        <f>VLOOKUP(NBA_2026_Results3[[#This Row],[Home Team]], TeamRating, 2, FALSE) - VLOOKUP(NBA_2026_Results3[[#This Row],[Away Team]], TeamRating, 2, FALSE)+HomeEdge</f>
        <v>-4.9488781031553692</v>
      </c>
      <c r="J113">
        <f>(NBA_2026_Results3[[#This Row],[Home Margin]]-NBA_2026_Results3[[#This Row],[Home Forecast]])^2</f>
        <v>80.082419305133641</v>
      </c>
    </row>
    <row r="114" spans="4:10" x14ac:dyDescent="0.2">
      <c r="D114" t="s">
        <v>8</v>
      </c>
      <c r="E114" t="s">
        <v>31</v>
      </c>
      <c r="F114">
        <v>118</v>
      </c>
      <c r="G114">
        <v>107</v>
      </c>
      <c r="H114">
        <v>11</v>
      </c>
      <c r="I114">
        <f>VLOOKUP(NBA_2026_Results3[[#This Row],[Home Team]], TeamRating, 2, FALSE) - VLOOKUP(NBA_2026_Results3[[#This Row],[Away Team]], TeamRating, 2, FALSE)+HomeEdge</f>
        <v>1.7045539603782234</v>
      </c>
      <c r="J114">
        <f>(NBA_2026_Results3[[#This Row],[Home Margin]]-NBA_2026_Results3[[#This Row],[Home Forecast]])^2</f>
        <v>86.405317075520159</v>
      </c>
    </row>
    <row r="115" spans="4:10" x14ac:dyDescent="0.2">
      <c r="D115" t="s">
        <v>26</v>
      </c>
      <c r="E115" t="s">
        <v>5</v>
      </c>
      <c r="F115">
        <v>107</v>
      </c>
      <c r="G115">
        <v>126</v>
      </c>
      <c r="H115">
        <v>-19</v>
      </c>
      <c r="I115">
        <f>VLOOKUP(NBA_2026_Results3[[#This Row],[Home Team]], TeamRating, 2, FALSE) - VLOOKUP(NBA_2026_Results3[[#This Row],[Away Team]], TeamRating, 2, FALSE)+HomeEdge</f>
        <v>-9.5574504864561547</v>
      </c>
      <c r="J115">
        <f>(NBA_2026_Results3[[#This Row],[Home Margin]]-NBA_2026_Results3[[#This Row],[Home Forecast]])^2</f>
        <v>89.161741315727113</v>
      </c>
    </row>
    <row r="116" spans="4:10" x14ac:dyDescent="0.2">
      <c r="D116" t="s">
        <v>12</v>
      </c>
      <c r="E116" t="s">
        <v>16</v>
      </c>
      <c r="F116">
        <v>132</v>
      </c>
      <c r="G116">
        <v>121</v>
      </c>
      <c r="H116">
        <v>11</v>
      </c>
      <c r="I116">
        <f>VLOOKUP(NBA_2026_Results3[[#This Row],[Home Team]], TeamRating, 2, FALSE) - VLOOKUP(NBA_2026_Results3[[#This Row],[Away Team]], TeamRating, 2, FALSE)+HomeEdge</f>
        <v>4.5725898393111812</v>
      </c>
      <c r="J116">
        <f>(NBA_2026_Results3[[#This Row],[Home Margin]]-NBA_2026_Results3[[#This Row],[Home Forecast]])^2</f>
        <v>41.311601373725864</v>
      </c>
    </row>
    <row r="117" spans="4:10" x14ac:dyDescent="0.2">
      <c r="D117" t="s">
        <v>20</v>
      </c>
      <c r="E117" t="s">
        <v>25</v>
      </c>
      <c r="F117">
        <v>114</v>
      </c>
      <c r="G117">
        <v>103</v>
      </c>
      <c r="H117">
        <v>11</v>
      </c>
      <c r="I117">
        <f>VLOOKUP(NBA_2026_Results3[[#This Row],[Home Team]], TeamRating, 2, FALSE) - VLOOKUP(NBA_2026_Results3[[#This Row],[Away Team]], TeamRating, 2, FALSE)+HomeEdge</f>
        <v>15.00501457405192</v>
      </c>
      <c r="J117">
        <f>(NBA_2026_Results3[[#This Row],[Home Margin]]-NBA_2026_Results3[[#This Row],[Home Forecast]])^2</f>
        <v>16.04014173836828</v>
      </c>
    </row>
    <row r="118" spans="4:10" x14ac:dyDescent="0.2">
      <c r="D118" t="s">
        <v>33</v>
      </c>
      <c r="E118" t="s">
        <v>10</v>
      </c>
      <c r="F118">
        <v>103</v>
      </c>
      <c r="G118">
        <v>112</v>
      </c>
      <c r="H118">
        <v>-9</v>
      </c>
      <c r="I118">
        <f>VLOOKUP(NBA_2026_Results3[[#This Row],[Home Team]], TeamRating, 2, FALSE) - VLOOKUP(NBA_2026_Results3[[#This Row],[Away Team]], TeamRating, 2, FALSE)+HomeEdge</f>
        <v>1.1710708953926083</v>
      </c>
      <c r="J118">
        <f>(NBA_2026_Results3[[#This Row],[Home Margin]]-NBA_2026_Results3[[#This Row],[Home Forecast]])^2</f>
        <v>103.4506831591026</v>
      </c>
    </row>
    <row r="119" spans="4:10" x14ac:dyDescent="0.2">
      <c r="D119" t="s">
        <v>15</v>
      </c>
      <c r="E119" t="s">
        <v>24</v>
      </c>
      <c r="F119">
        <v>136</v>
      </c>
      <c r="G119">
        <v>107</v>
      </c>
      <c r="H119">
        <v>29</v>
      </c>
      <c r="I119">
        <f>VLOOKUP(NBA_2026_Results3[[#This Row],[Home Team]], TeamRating, 2, FALSE) - VLOOKUP(NBA_2026_Results3[[#This Row],[Away Team]], TeamRating, 2, FALSE)+HomeEdge</f>
        <v>17.046311173887617</v>
      </c>
      <c r="J119">
        <f>(NBA_2026_Results3[[#This Row],[Home Margin]]-NBA_2026_Results3[[#This Row],[Home Forecast]])^2</f>
        <v>142.89067655152405</v>
      </c>
    </row>
    <row r="120" spans="4:10" x14ac:dyDescent="0.2">
      <c r="D120" t="s">
        <v>11</v>
      </c>
      <c r="E120" t="s">
        <v>30</v>
      </c>
      <c r="F120">
        <v>137</v>
      </c>
      <c r="G120">
        <v>114</v>
      </c>
      <c r="H120">
        <v>23</v>
      </c>
      <c r="I120">
        <f>VLOOKUP(NBA_2026_Results3[[#This Row],[Home Team]], TeamRating, 2, FALSE) - VLOOKUP(NBA_2026_Results3[[#This Row],[Away Team]], TeamRating, 2, FALSE)+HomeEdge</f>
        <v>1.8530961904850791</v>
      </c>
      <c r="J120">
        <f>(NBA_2026_Results3[[#This Row],[Home Margin]]-NBA_2026_Results3[[#This Row],[Home Forecast]])^2</f>
        <v>447.19154072887665</v>
      </c>
    </row>
    <row r="121" spans="4:10" x14ac:dyDescent="0.2">
      <c r="D121" t="s">
        <v>21</v>
      </c>
      <c r="E121" t="s">
        <v>6</v>
      </c>
      <c r="F121">
        <v>109</v>
      </c>
      <c r="G121">
        <v>124</v>
      </c>
      <c r="H121">
        <v>-15</v>
      </c>
      <c r="I121">
        <f>VLOOKUP(NBA_2026_Results3[[#This Row],[Home Team]], TeamRating, 2, FALSE) - VLOOKUP(NBA_2026_Results3[[#This Row],[Away Team]], TeamRating, 2, FALSE)+HomeEdge</f>
        <v>-5.697129689115954</v>
      </c>
      <c r="J121">
        <f>(NBA_2026_Results3[[#This Row],[Home Margin]]-NBA_2026_Results3[[#This Row],[Home Forecast]])^2</f>
        <v>86.543396021127833</v>
      </c>
    </row>
    <row r="122" spans="4:10" x14ac:dyDescent="0.2">
      <c r="D122" t="s">
        <v>27</v>
      </c>
      <c r="E122" t="s">
        <v>22</v>
      </c>
      <c r="F122">
        <v>99</v>
      </c>
      <c r="G122">
        <v>101</v>
      </c>
      <c r="H122">
        <v>-2</v>
      </c>
      <c r="I122">
        <f>VLOOKUP(NBA_2026_Results3[[#This Row],[Home Team]], TeamRating, 2, FALSE) - VLOOKUP(NBA_2026_Results3[[#This Row],[Away Team]], TeamRating, 2, FALSE)+HomeEdge</f>
        <v>4.3723196878468826</v>
      </c>
      <c r="J122">
        <f>(NBA_2026_Results3[[#This Row],[Home Margin]]-NBA_2026_Results3[[#This Row],[Home Forecast]])^2</f>
        <v>40.60645820412099</v>
      </c>
    </row>
    <row r="123" spans="4:10" x14ac:dyDescent="0.2">
      <c r="D123" t="s">
        <v>34</v>
      </c>
      <c r="E123" t="s">
        <v>14</v>
      </c>
      <c r="F123">
        <v>122</v>
      </c>
      <c r="G123">
        <v>112</v>
      </c>
      <c r="H123">
        <v>10</v>
      </c>
      <c r="I123">
        <f>VLOOKUP(NBA_2026_Results3[[#This Row],[Home Team]], TeamRating, 2, FALSE) - VLOOKUP(NBA_2026_Results3[[#This Row],[Away Team]], TeamRating, 2, FALSE)+HomeEdge</f>
        <v>2.7176174701738613</v>
      </c>
      <c r="J123">
        <f>(NBA_2026_Results3[[#This Row],[Home Margin]]-NBA_2026_Results3[[#This Row],[Home Forecast]])^2</f>
        <v>53.033095310716952</v>
      </c>
    </row>
    <row r="124" spans="4:10" x14ac:dyDescent="0.2">
      <c r="D124" t="s">
        <v>7</v>
      </c>
      <c r="E124" t="s">
        <v>28</v>
      </c>
      <c r="F124">
        <v>118</v>
      </c>
      <c r="G124">
        <v>116</v>
      </c>
      <c r="H124">
        <v>2</v>
      </c>
      <c r="I124">
        <f>VLOOKUP(NBA_2026_Results3[[#This Row],[Home Team]], TeamRating, 2, FALSE) - VLOOKUP(NBA_2026_Results3[[#This Row],[Away Team]], TeamRating, 2, FALSE)+HomeEdge</f>
        <v>-4.0086060868916134</v>
      </c>
      <c r="J124">
        <f>(NBA_2026_Results3[[#This Row],[Home Margin]]-NBA_2026_Results3[[#This Row],[Home Forecast]])^2</f>
        <v>36.103347107430949</v>
      </c>
    </row>
    <row r="125" spans="4:10" x14ac:dyDescent="0.2">
      <c r="D125" t="s">
        <v>29</v>
      </c>
      <c r="E125" t="s">
        <v>5</v>
      </c>
      <c r="F125">
        <v>121</v>
      </c>
      <c r="G125">
        <v>119</v>
      </c>
      <c r="H125">
        <v>2</v>
      </c>
      <c r="I125">
        <f>VLOOKUP(NBA_2026_Results3[[#This Row],[Home Team]], TeamRating, 2, FALSE) - VLOOKUP(NBA_2026_Results3[[#This Row],[Away Team]], TeamRating, 2, FALSE)+HomeEdge</f>
        <v>-10.59732303123047</v>
      </c>
      <c r="J125">
        <f>(NBA_2026_Results3[[#This Row],[Home Margin]]-NBA_2026_Results3[[#This Row],[Home Forecast]])^2</f>
        <v>158.69254755316965</v>
      </c>
    </row>
    <row r="126" spans="4:10" x14ac:dyDescent="0.2">
      <c r="D126" t="s">
        <v>32</v>
      </c>
      <c r="E126" t="s">
        <v>8</v>
      </c>
      <c r="F126">
        <v>121</v>
      </c>
      <c r="G126">
        <v>116</v>
      </c>
      <c r="H126">
        <v>5</v>
      </c>
      <c r="I126">
        <f>VLOOKUP(NBA_2026_Results3[[#This Row],[Home Team]], TeamRating, 2, FALSE) - VLOOKUP(NBA_2026_Results3[[#This Row],[Away Team]], TeamRating, 2, FALSE)+HomeEdge</f>
        <v>-9.6783063859346399</v>
      </c>
      <c r="J126">
        <f>(NBA_2026_Results3[[#This Row],[Home Margin]]-NBA_2026_Results3[[#This Row],[Home Forecast]])^2</f>
        <v>215.45267835936963</v>
      </c>
    </row>
    <row r="127" spans="4:10" x14ac:dyDescent="0.2">
      <c r="D127" t="s">
        <v>31</v>
      </c>
      <c r="E127" t="s">
        <v>26</v>
      </c>
      <c r="F127">
        <v>115</v>
      </c>
      <c r="G127">
        <v>102</v>
      </c>
      <c r="H127">
        <v>13</v>
      </c>
      <c r="I127">
        <f>VLOOKUP(NBA_2026_Results3[[#This Row],[Home Team]], TeamRating, 2, FALSE) - VLOOKUP(NBA_2026_Results3[[#This Row],[Away Team]], TeamRating, 2, FALSE)+HomeEdge</f>
        <v>4.7096488473117795</v>
      </c>
      <c r="J127">
        <f>(NBA_2026_Results3[[#This Row],[Home Margin]]-NBA_2026_Results3[[#This Row],[Home Forecast]])^2</f>
        <v>68.729922234878913</v>
      </c>
    </row>
    <row r="128" spans="4:10" x14ac:dyDescent="0.2">
      <c r="D128" t="s">
        <v>13</v>
      </c>
      <c r="E128" t="s">
        <v>15</v>
      </c>
      <c r="F128">
        <v>123</v>
      </c>
      <c r="G128">
        <v>110</v>
      </c>
      <c r="H128">
        <v>13</v>
      </c>
      <c r="I128">
        <f>VLOOKUP(NBA_2026_Results3[[#This Row],[Home Team]], TeamRating, 2, FALSE) - VLOOKUP(NBA_2026_Results3[[#This Row],[Away Team]], TeamRating, 2, FALSE)+HomeEdge</f>
        <v>-3.4934602271580886</v>
      </c>
      <c r="J128">
        <f>(NBA_2026_Results3[[#This Row],[Home Margin]]-NBA_2026_Results3[[#This Row],[Home Forecast]])^2</f>
        <v>272.03423026484575</v>
      </c>
    </row>
    <row r="129" spans="4:10" x14ac:dyDescent="0.2">
      <c r="D129" t="s">
        <v>24</v>
      </c>
      <c r="E129" t="s">
        <v>12</v>
      </c>
      <c r="F129">
        <v>115</v>
      </c>
      <c r="G129">
        <v>148</v>
      </c>
      <c r="H129">
        <v>-33</v>
      </c>
      <c r="I129">
        <f>VLOOKUP(NBA_2026_Results3[[#This Row],[Home Team]], TeamRating, 2, FALSE) - VLOOKUP(NBA_2026_Results3[[#This Row],[Away Team]], TeamRating, 2, FALSE)+HomeEdge</f>
        <v>-10.966217008430093</v>
      </c>
      <c r="J129">
        <f>(NBA_2026_Results3[[#This Row],[Home Margin]]-NBA_2026_Results3[[#This Row],[Home Forecast]])^2</f>
        <v>485.48759291959533</v>
      </c>
    </row>
    <row r="130" spans="4:10" x14ac:dyDescent="0.2">
      <c r="D130" t="s">
        <v>17</v>
      </c>
      <c r="E130" t="s">
        <v>18</v>
      </c>
      <c r="F130">
        <v>97</v>
      </c>
      <c r="G130">
        <v>109</v>
      </c>
      <c r="H130">
        <v>-12</v>
      </c>
      <c r="I130">
        <f>VLOOKUP(NBA_2026_Results3[[#This Row],[Home Team]], TeamRating, 2, FALSE) - VLOOKUP(NBA_2026_Results3[[#This Row],[Away Team]], TeamRating, 2, FALSE)+HomeEdge</f>
        <v>0.17504649065773537</v>
      </c>
      <c r="J130">
        <f>(NBA_2026_Results3[[#This Row],[Home Margin]]-NBA_2026_Results3[[#This Row],[Home Forecast]])^2</f>
        <v>148.23175704967721</v>
      </c>
    </row>
    <row r="131" spans="4:10" x14ac:dyDescent="0.2">
      <c r="D131" t="s">
        <v>10</v>
      </c>
      <c r="E131" t="s">
        <v>20</v>
      </c>
      <c r="F131">
        <v>107</v>
      </c>
      <c r="G131">
        <v>125</v>
      </c>
      <c r="H131">
        <v>-18</v>
      </c>
      <c r="I131">
        <f>VLOOKUP(NBA_2026_Results3[[#This Row],[Home Team]], TeamRating, 2, FALSE) - VLOOKUP(NBA_2026_Results3[[#This Row],[Away Team]], TeamRating, 2, FALSE)+HomeEdge</f>
        <v>-10.343772212042825</v>
      </c>
      <c r="J131">
        <f>(NBA_2026_Results3[[#This Row],[Home Margin]]-NBA_2026_Results3[[#This Row],[Home Forecast]])^2</f>
        <v>58.617823941087607</v>
      </c>
    </row>
    <row r="132" spans="4:10" x14ac:dyDescent="0.2">
      <c r="D132" t="s">
        <v>28</v>
      </c>
      <c r="E132" t="s">
        <v>6</v>
      </c>
      <c r="F132">
        <v>121</v>
      </c>
      <c r="G132">
        <v>110</v>
      </c>
      <c r="H132">
        <v>11</v>
      </c>
      <c r="I132">
        <f>VLOOKUP(NBA_2026_Results3[[#This Row],[Home Team]], TeamRating, 2, FALSE) - VLOOKUP(NBA_2026_Results3[[#This Row],[Away Team]], TeamRating, 2, FALSE)+HomeEdge</f>
        <v>1.0265707128449462</v>
      </c>
      <c r="J132">
        <f>(NBA_2026_Results3[[#This Row],[Home Margin]]-NBA_2026_Results3[[#This Row],[Home Forecast]])^2</f>
        <v>99.469291745882146</v>
      </c>
    </row>
    <row r="133" spans="4:10" x14ac:dyDescent="0.2">
      <c r="D133" t="s">
        <v>21</v>
      </c>
      <c r="E133" t="s">
        <v>27</v>
      </c>
      <c r="F133">
        <v>118</v>
      </c>
      <c r="G133">
        <v>104</v>
      </c>
      <c r="H133">
        <v>14</v>
      </c>
      <c r="I133">
        <f>VLOOKUP(NBA_2026_Results3[[#This Row],[Home Team]], TeamRating, 2, FALSE) - VLOOKUP(NBA_2026_Results3[[#This Row],[Away Team]], TeamRating, 2, FALSE)+HomeEdge</f>
        <v>3.3741859454176018</v>
      </c>
      <c r="J133">
        <f>(NBA_2026_Results3[[#This Row],[Home Margin]]-NBA_2026_Results3[[#This Row],[Home Forecast]])^2</f>
        <v>112.90792432256085</v>
      </c>
    </row>
    <row r="134" spans="4:10" x14ac:dyDescent="0.2">
      <c r="D134" t="s">
        <v>14</v>
      </c>
      <c r="E134" t="s">
        <v>9</v>
      </c>
      <c r="F134">
        <v>126</v>
      </c>
      <c r="G134">
        <v>108</v>
      </c>
      <c r="H134">
        <v>18</v>
      </c>
      <c r="I134">
        <f>VLOOKUP(NBA_2026_Results3[[#This Row],[Home Team]], TeamRating, 2, FALSE) - VLOOKUP(NBA_2026_Results3[[#This Row],[Away Team]], TeamRating, 2, FALSE)+HomeEdge</f>
        <v>3.0825140734710672</v>
      </c>
      <c r="J134">
        <f>(NBA_2026_Results3[[#This Row],[Home Margin]]-NBA_2026_Results3[[#This Row],[Home Forecast]])^2</f>
        <v>222.53138636818878</v>
      </c>
    </row>
    <row r="135" spans="4:10" x14ac:dyDescent="0.2">
      <c r="D135" t="s">
        <v>23</v>
      </c>
      <c r="E135" t="s">
        <v>19</v>
      </c>
      <c r="F135">
        <v>126</v>
      </c>
      <c r="G135">
        <v>110</v>
      </c>
      <c r="H135">
        <v>16</v>
      </c>
      <c r="I135">
        <f>VLOOKUP(NBA_2026_Results3[[#This Row],[Home Team]], TeamRating, 2, FALSE) - VLOOKUP(NBA_2026_Results3[[#This Row],[Away Team]], TeamRating, 2, FALSE)+HomeEdge</f>
        <v>0.62588973753503829</v>
      </c>
      <c r="J135">
        <f>(NBA_2026_Results3[[#This Row],[Home Margin]]-NBA_2026_Results3[[#This Row],[Home Forecast]])^2</f>
        <v>236.36326636243047</v>
      </c>
    </row>
    <row r="136" spans="4:10" x14ac:dyDescent="0.2">
      <c r="D136" t="s">
        <v>30</v>
      </c>
      <c r="E136" t="s">
        <v>25</v>
      </c>
      <c r="F136">
        <v>137</v>
      </c>
      <c r="G136">
        <v>97</v>
      </c>
      <c r="H136">
        <v>40</v>
      </c>
      <c r="I136">
        <f>VLOOKUP(NBA_2026_Results3[[#This Row],[Home Team]], TeamRating, 2, FALSE) - VLOOKUP(NBA_2026_Results3[[#This Row],[Away Team]], TeamRating, 2, FALSE)+HomeEdge</f>
        <v>13.867441015504376</v>
      </c>
      <c r="J136">
        <f>(NBA_2026_Results3[[#This Row],[Home Margin]]-NBA_2026_Results3[[#This Row],[Home Forecast]])^2</f>
        <v>682.91063907814294</v>
      </c>
    </row>
    <row r="137" spans="4:10" x14ac:dyDescent="0.2">
      <c r="D137" t="s">
        <v>34</v>
      </c>
      <c r="E137" t="s">
        <v>8</v>
      </c>
      <c r="F137">
        <v>129</v>
      </c>
      <c r="G137">
        <v>104</v>
      </c>
      <c r="H137">
        <v>25</v>
      </c>
      <c r="I137">
        <f>VLOOKUP(NBA_2026_Results3[[#This Row],[Home Team]], TeamRating, 2, FALSE) - VLOOKUP(NBA_2026_Results3[[#This Row],[Away Team]], TeamRating, 2, FALSE)+HomeEdge</f>
        <v>2.1094392623955787</v>
      </c>
      <c r="J137">
        <f>(NBA_2026_Results3[[#This Row],[Home Margin]]-NBA_2026_Results3[[#This Row],[Home Forecast]])^2</f>
        <v>523.9777708819571</v>
      </c>
    </row>
    <row r="138" spans="4:10" x14ac:dyDescent="0.2">
      <c r="D138" t="s">
        <v>32</v>
      </c>
      <c r="E138" t="s">
        <v>5</v>
      </c>
      <c r="F138">
        <v>101</v>
      </c>
      <c r="G138">
        <v>132</v>
      </c>
      <c r="H138">
        <v>-31</v>
      </c>
      <c r="I138">
        <f>VLOOKUP(NBA_2026_Results3[[#This Row],[Home Team]], TeamRating, 2, FALSE) - VLOOKUP(NBA_2026_Results3[[#This Row],[Away Team]], TeamRating, 2, FALSE)+HomeEdge</f>
        <v>-18.243740568201236</v>
      </c>
      <c r="J138">
        <f>(NBA_2026_Results3[[#This Row],[Home Margin]]-NBA_2026_Results3[[#This Row],[Home Forecast]])^2</f>
        <v>162.72215469135492</v>
      </c>
    </row>
    <row r="139" spans="4:10" x14ac:dyDescent="0.2">
      <c r="D139" t="s">
        <v>24</v>
      </c>
      <c r="E139" t="s">
        <v>27</v>
      </c>
      <c r="F139">
        <v>105</v>
      </c>
      <c r="G139">
        <v>111</v>
      </c>
      <c r="H139">
        <v>-6</v>
      </c>
      <c r="I139">
        <f>VLOOKUP(NBA_2026_Results3[[#This Row],[Home Team]], TeamRating, 2, FALSE) - VLOOKUP(NBA_2026_Results3[[#This Row],[Away Team]], TeamRating, 2, FALSE)+HomeEdge</f>
        <v>-4.8831890632244752</v>
      </c>
      <c r="J139">
        <f>(NBA_2026_Results3[[#This Row],[Home Margin]]-NBA_2026_Results3[[#This Row],[Home Forecast]])^2</f>
        <v>1.2472666685014253</v>
      </c>
    </row>
    <row r="140" spans="4:10" x14ac:dyDescent="0.2">
      <c r="D140" t="s">
        <v>16</v>
      </c>
      <c r="E140" t="s">
        <v>18</v>
      </c>
      <c r="F140">
        <v>130</v>
      </c>
      <c r="G140">
        <v>120</v>
      </c>
      <c r="H140">
        <v>10</v>
      </c>
      <c r="I140">
        <f>VLOOKUP(NBA_2026_Results3[[#This Row],[Home Team]], TeamRating, 2, FALSE) - VLOOKUP(NBA_2026_Results3[[#This Row],[Away Team]], TeamRating, 2, FALSE)+HomeEdge</f>
        <v>0.68577853802037136</v>
      </c>
      <c r="J140">
        <f>(NBA_2026_Results3[[#This Row],[Home Margin]]-NBA_2026_Results3[[#This Row],[Home Forecast]])^2</f>
        <v>86.754721442801909</v>
      </c>
    </row>
    <row r="141" spans="4:10" x14ac:dyDescent="0.2">
      <c r="D141" t="s">
        <v>17</v>
      </c>
      <c r="E141" t="s">
        <v>7</v>
      </c>
      <c r="F141">
        <v>122</v>
      </c>
      <c r="G141">
        <v>102</v>
      </c>
      <c r="H141">
        <v>20</v>
      </c>
      <c r="I141">
        <f>VLOOKUP(NBA_2026_Results3[[#This Row],[Home Team]], TeamRating, 2, FALSE) - VLOOKUP(NBA_2026_Results3[[#This Row],[Away Team]], TeamRating, 2, FALSE)+HomeEdge</f>
        <v>2.1400078027121645</v>
      </c>
      <c r="J141">
        <f>(NBA_2026_Results3[[#This Row],[Home Margin]]-NBA_2026_Results3[[#This Row],[Home Forecast]])^2</f>
        <v>318.9793212871823</v>
      </c>
    </row>
    <row r="142" spans="4:10" x14ac:dyDescent="0.2">
      <c r="D142" t="s">
        <v>12</v>
      </c>
      <c r="E142" t="s">
        <v>19</v>
      </c>
      <c r="F142">
        <v>128</v>
      </c>
      <c r="G142">
        <v>122</v>
      </c>
      <c r="H142">
        <v>6</v>
      </c>
      <c r="I142">
        <f>VLOOKUP(NBA_2026_Results3[[#This Row],[Home Team]], TeamRating, 2, FALSE) - VLOOKUP(NBA_2026_Results3[[#This Row],[Away Team]], TeamRating, 2, FALSE)+HomeEdge</f>
        <v>7.5350680542317088</v>
      </c>
      <c r="J142">
        <f>(NBA_2026_Results3[[#This Row],[Home Margin]]-NBA_2026_Results3[[#This Row],[Home Forecast]])^2</f>
        <v>2.3564339311227243</v>
      </c>
    </row>
    <row r="143" spans="4:10" x14ac:dyDescent="0.2">
      <c r="D143" t="s">
        <v>14</v>
      </c>
      <c r="E143" t="s">
        <v>29</v>
      </c>
      <c r="F143">
        <v>136</v>
      </c>
      <c r="G143">
        <v>131</v>
      </c>
      <c r="H143">
        <v>5</v>
      </c>
      <c r="I143">
        <f>VLOOKUP(NBA_2026_Results3[[#This Row],[Home Team]], TeamRating, 2, FALSE) - VLOOKUP(NBA_2026_Results3[[#This Row],[Away Team]], TeamRating, 2, FALSE)+HomeEdge</f>
        <v>5.0385016435192203</v>
      </c>
      <c r="J143">
        <f>(NBA_2026_Results3[[#This Row],[Home Margin]]-NBA_2026_Results3[[#This Row],[Home Forecast]])^2</f>
        <v>1.4823765536811149E-3</v>
      </c>
    </row>
    <row r="144" spans="4:10" x14ac:dyDescent="0.2">
      <c r="D144" t="s">
        <v>28</v>
      </c>
      <c r="E144" t="s">
        <v>22</v>
      </c>
      <c r="F144">
        <v>126</v>
      </c>
      <c r="G144">
        <v>119</v>
      </c>
      <c r="H144">
        <v>7</v>
      </c>
      <c r="I144">
        <f>VLOOKUP(NBA_2026_Results3[[#This Row],[Home Team]], TeamRating, 2, FALSE) - VLOOKUP(NBA_2026_Results3[[#This Row],[Away Team]], TeamRating, 2, FALSE)+HomeEdge</f>
        <v>12.662810534058572</v>
      </c>
      <c r="J144">
        <f>(NBA_2026_Results3[[#This Row],[Home Margin]]-NBA_2026_Results3[[#This Row],[Home Forecast]])^2</f>
        <v>32.067423144644728</v>
      </c>
    </row>
    <row r="145" spans="4:10" x14ac:dyDescent="0.2">
      <c r="D145" t="s">
        <v>34</v>
      </c>
      <c r="E145" t="s">
        <v>33</v>
      </c>
      <c r="F145">
        <v>117</v>
      </c>
      <c r="G145">
        <v>100</v>
      </c>
      <c r="H145">
        <v>17</v>
      </c>
      <c r="I145">
        <f>VLOOKUP(NBA_2026_Results3[[#This Row],[Home Team]], TeamRating, 2, FALSE) - VLOOKUP(NBA_2026_Results3[[#This Row],[Away Team]], TeamRating, 2, FALSE)+HomeEdge</f>
        <v>12.308045947442928</v>
      </c>
      <c r="J145">
        <f>(NBA_2026_Results3[[#This Row],[Home Margin]]-NBA_2026_Results3[[#This Row],[Home Forecast]])^2</f>
        <v>22.014432831306735</v>
      </c>
    </row>
    <row r="146" spans="4:10" x14ac:dyDescent="0.2">
      <c r="D146" t="s">
        <v>26</v>
      </c>
      <c r="E146" t="s">
        <v>31</v>
      </c>
      <c r="F146">
        <v>103</v>
      </c>
      <c r="G146">
        <v>114</v>
      </c>
      <c r="H146">
        <v>-11</v>
      </c>
      <c r="I146">
        <f>VLOOKUP(NBA_2026_Results3[[#This Row],[Home Team]], TeamRating, 2, FALSE) - VLOOKUP(NBA_2026_Results3[[#This Row],[Away Team]], TeamRating, 2, FALSE)+HomeEdge</f>
        <v>-1.0948578449781521</v>
      </c>
      <c r="J146">
        <f>(NBA_2026_Results3[[#This Row],[Home Margin]]-NBA_2026_Results3[[#This Row],[Home Forecast]])^2</f>
        <v>98.111841111190856</v>
      </c>
    </row>
    <row r="147" spans="4:10" x14ac:dyDescent="0.2">
      <c r="D147" t="s">
        <v>23</v>
      </c>
      <c r="E147" t="s">
        <v>6</v>
      </c>
      <c r="F147">
        <v>115</v>
      </c>
      <c r="G147">
        <v>122</v>
      </c>
      <c r="H147">
        <v>-7</v>
      </c>
      <c r="I147">
        <f>VLOOKUP(NBA_2026_Results3[[#This Row],[Home Team]], TeamRating, 2, FALSE) - VLOOKUP(NBA_2026_Results3[[#This Row],[Away Team]], TeamRating, 2, FALSE)+HomeEdge</f>
        <v>-8.090070504857799</v>
      </c>
      <c r="J147">
        <f>(NBA_2026_Results3[[#This Row],[Home Margin]]-NBA_2026_Results3[[#This Row],[Home Forecast]])^2</f>
        <v>1.1882537055609368</v>
      </c>
    </row>
    <row r="148" spans="4:10" x14ac:dyDescent="0.2">
      <c r="D148" t="s">
        <v>21</v>
      </c>
      <c r="E148" t="s">
        <v>5</v>
      </c>
      <c r="F148">
        <v>100</v>
      </c>
      <c r="G148">
        <v>114</v>
      </c>
      <c r="H148">
        <v>-14</v>
      </c>
      <c r="I148">
        <f>VLOOKUP(NBA_2026_Results3[[#This Row],[Home Team]], TeamRating, 2, FALSE) - VLOOKUP(NBA_2026_Results3[[#This Row],[Away Team]], TeamRating, 2, FALSE)+HomeEdge</f>
        <v>-11.265894434573642</v>
      </c>
      <c r="J148">
        <f>(NBA_2026_Results3[[#This Row],[Home Margin]]-NBA_2026_Results3[[#This Row],[Home Forecast]])^2</f>
        <v>7.4753332428953838</v>
      </c>
    </row>
    <row r="149" spans="4:10" x14ac:dyDescent="0.2">
      <c r="D149" t="s">
        <v>11</v>
      </c>
      <c r="E149" t="s">
        <v>10</v>
      </c>
      <c r="F149">
        <v>134</v>
      </c>
      <c r="G149">
        <v>98</v>
      </c>
      <c r="H149">
        <v>36</v>
      </c>
      <c r="I149">
        <f>VLOOKUP(NBA_2026_Results3[[#This Row],[Home Team]], TeamRating, 2, FALSE) - VLOOKUP(NBA_2026_Results3[[#This Row],[Away Team]], TeamRating, 2, FALSE)+HomeEdge</f>
        <v>12.866690345147173</v>
      </c>
      <c r="J149">
        <f>(NBA_2026_Results3[[#This Row],[Home Margin]]-NBA_2026_Results3[[#This Row],[Home Forecast]])^2</f>
        <v>535.15001558730705</v>
      </c>
    </row>
    <row r="150" spans="4:10" x14ac:dyDescent="0.2">
      <c r="D150" t="s">
        <v>13</v>
      </c>
      <c r="E150" t="s">
        <v>15</v>
      </c>
      <c r="F150">
        <v>107</v>
      </c>
      <c r="G150">
        <v>111</v>
      </c>
      <c r="H150">
        <v>-4</v>
      </c>
      <c r="I150">
        <f>VLOOKUP(NBA_2026_Results3[[#This Row],[Home Team]], TeamRating, 2, FALSE) - VLOOKUP(NBA_2026_Results3[[#This Row],[Away Team]], TeamRating, 2, FALSE)+HomeEdge</f>
        <v>-3.4934602271580886</v>
      </c>
      <c r="J150">
        <f>(NBA_2026_Results3[[#This Row],[Home Margin]]-NBA_2026_Results3[[#This Row],[Home Forecast]])^2</f>
        <v>0.25658254147073523</v>
      </c>
    </row>
    <row r="151" spans="4:10" x14ac:dyDescent="0.2">
      <c r="D151" t="s">
        <v>16</v>
      </c>
      <c r="E151" t="s">
        <v>20</v>
      </c>
      <c r="F151">
        <v>108</v>
      </c>
      <c r="G151">
        <v>111</v>
      </c>
      <c r="H151">
        <v>-3</v>
      </c>
      <c r="I151">
        <f>VLOOKUP(NBA_2026_Results3[[#This Row],[Home Team]], TeamRating, 2, FALSE) - VLOOKUP(NBA_2026_Results3[[#This Row],[Away Team]], TeamRating, 2, FALSE)+HomeEdge</f>
        <v>-3.5383027234330822</v>
      </c>
      <c r="J151">
        <f>(NBA_2026_Results3[[#This Row],[Home Margin]]-NBA_2026_Results3[[#This Row],[Home Forecast]])^2</f>
        <v>0.28976982205547336</v>
      </c>
    </row>
    <row r="152" spans="4:10" x14ac:dyDescent="0.2">
      <c r="D152" t="s">
        <v>8</v>
      </c>
      <c r="E152" t="s">
        <v>33</v>
      </c>
      <c r="F152">
        <v>114</v>
      </c>
      <c r="G152">
        <v>83</v>
      </c>
      <c r="H152">
        <v>31</v>
      </c>
      <c r="I152">
        <f>VLOOKUP(NBA_2026_Results3[[#This Row],[Home Team]], TeamRating, 2, FALSE) - VLOOKUP(NBA_2026_Results3[[#This Row],[Away Team]], TeamRating, 2, FALSE)+HomeEdge</f>
        <v>12.006002186214161</v>
      </c>
      <c r="J152">
        <f>(NBA_2026_Results3[[#This Row],[Home Margin]]-NBA_2026_Results3[[#This Row],[Home Forecast]])^2</f>
        <v>360.77195295010125</v>
      </c>
    </row>
    <row r="153" spans="4:10" x14ac:dyDescent="0.2">
      <c r="D153" t="s">
        <v>32</v>
      </c>
      <c r="E153" t="s">
        <v>30</v>
      </c>
      <c r="F153">
        <v>117</v>
      </c>
      <c r="G153">
        <v>144</v>
      </c>
      <c r="H153">
        <v>-27</v>
      </c>
      <c r="I153">
        <f>VLOOKUP(NBA_2026_Results3[[#This Row],[Home Team]], TeamRating, 2, FALSE) - VLOOKUP(NBA_2026_Results3[[#This Row],[Away Team]], TeamRating, 2, FALSE)+HomeEdge</f>
        <v>-11.129618461323592</v>
      </c>
      <c r="J153">
        <f>(NBA_2026_Results3[[#This Row],[Home Margin]]-NBA_2026_Results3[[#This Row],[Home Forecast]])^2</f>
        <v>251.86901018316095</v>
      </c>
    </row>
    <row r="154" spans="4:10" x14ac:dyDescent="0.2">
      <c r="D154" t="s">
        <v>9</v>
      </c>
      <c r="E154" t="s">
        <v>7</v>
      </c>
      <c r="F154">
        <v>111</v>
      </c>
      <c r="G154">
        <v>121</v>
      </c>
      <c r="H154">
        <v>-10</v>
      </c>
      <c r="I154">
        <f>VLOOKUP(NBA_2026_Results3[[#This Row],[Home Team]], TeamRating, 2, FALSE) - VLOOKUP(NBA_2026_Results3[[#This Row],[Away Team]], TeamRating, 2, FALSE)+HomeEdge</f>
        <v>3.5242556606556654</v>
      </c>
      <c r="J154">
        <f>(NBA_2026_Results3[[#This Row],[Home Margin]]-NBA_2026_Results3[[#This Row],[Home Forecast]])^2</f>
        <v>182.90549117477681</v>
      </c>
    </row>
    <row r="155" spans="4:10" x14ac:dyDescent="0.2">
      <c r="D155" t="s">
        <v>20</v>
      </c>
      <c r="E155" t="s">
        <v>24</v>
      </c>
      <c r="F155">
        <v>137</v>
      </c>
      <c r="G155">
        <v>135</v>
      </c>
      <c r="H155">
        <v>2</v>
      </c>
      <c r="I155">
        <f>VLOOKUP(NBA_2026_Results3[[#This Row],[Home Team]], TeamRating, 2, FALSE) - VLOOKUP(NBA_2026_Results3[[#This Row],[Away Team]], TeamRating, 2, FALSE)+HomeEdge</f>
        <v>17.161511897219246</v>
      </c>
      <c r="J155">
        <f>(NBA_2026_Results3[[#This Row],[Home Margin]]-NBA_2026_Results3[[#This Row],[Home Forecast]])^2</f>
        <v>229.87144300952073</v>
      </c>
    </row>
    <row r="156" spans="4:10" x14ac:dyDescent="0.2">
      <c r="D156" t="s">
        <v>13</v>
      </c>
      <c r="E156" t="s">
        <v>29</v>
      </c>
      <c r="F156">
        <v>115</v>
      </c>
      <c r="G156">
        <v>112</v>
      </c>
      <c r="H156">
        <v>3</v>
      </c>
      <c r="I156">
        <f>VLOOKUP(NBA_2026_Results3[[#This Row],[Home Team]], TeamRating, 2, FALSE) - VLOOKUP(NBA_2026_Results3[[#This Row],[Away Team]], TeamRating, 2, FALSE)+HomeEdge</f>
        <v>2.8195090335774644</v>
      </c>
      <c r="J156">
        <f>(NBA_2026_Results3[[#This Row],[Home Margin]]-NBA_2026_Results3[[#This Row],[Home Forecast]])^2</f>
        <v>3.2576988960140871E-2</v>
      </c>
    </row>
    <row r="157" spans="4:10" x14ac:dyDescent="0.2">
      <c r="D157" t="s">
        <v>14</v>
      </c>
      <c r="E157" t="s">
        <v>12</v>
      </c>
      <c r="F157">
        <v>140</v>
      </c>
      <c r="G157">
        <v>138</v>
      </c>
      <c r="H157">
        <v>2</v>
      </c>
      <c r="I157">
        <f>VLOOKUP(NBA_2026_Results3[[#This Row],[Home Team]], TeamRating, 2, FALSE) - VLOOKUP(NBA_2026_Results3[[#This Row],[Away Team]], TeamRating, 2, FALSE)+HomeEdge</f>
        <v>1.1908355459075652</v>
      </c>
      <c r="J157">
        <f>(NBA_2026_Results3[[#This Row],[Home Margin]]-NBA_2026_Results3[[#This Row],[Home Forecast]])^2</f>
        <v>0.65474711376670791</v>
      </c>
    </row>
    <row r="158" spans="4:10" x14ac:dyDescent="0.2">
      <c r="D158" t="s">
        <v>19</v>
      </c>
      <c r="E158" t="s">
        <v>28</v>
      </c>
      <c r="F158">
        <v>117</v>
      </c>
      <c r="G158">
        <v>121</v>
      </c>
      <c r="H158">
        <v>-4</v>
      </c>
      <c r="I158">
        <f>VLOOKUP(NBA_2026_Results3[[#This Row],[Home Team]], TeamRating, 2, FALSE) - VLOOKUP(NBA_2026_Results3[[#This Row],[Away Team]], TeamRating, 2, FALSE)+HomeEdge</f>
        <v>-6.1277399529041547</v>
      </c>
      <c r="J158">
        <f>(NBA_2026_Results3[[#This Row],[Home Margin]]-NBA_2026_Results3[[#This Row],[Home Forecast]])^2</f>
        <v>4.5272773071845744</v>
      </c>
    </row>
    <row r="159" spans="4:10" x14ac:dyDescent="0.2">
      <c r="D159" t="s">
        <v>27</v>
      </c>
      <c r="E159" t="s">
        <v>23</v>
      </c>
      <c r="F159">
        <v>114</v>
      </c>
      <c r="G159">
        <v>116</v>
      </c>
      <c r="H159">
        <v>-2</v>
      </c>
      <c r="I159">
        <f>VLOOKUP(NBA_2026_Results3[[#This Row],[Home Team]], TeamRating, 2, FALSE) - VLOOKUP(NBA_2026_Results3[[#This Row],[Away Team]], TeamRating, 2, FALSE)+HomeEdge</f>
        <v>2.6335458726578689</v>
      </c>
      <c r="J159">
        <f>(NBA_2026_Results3[[#This Row],[Home Margin]]-NBA_2026_Results3[[#This Row],[Home Forecast]])^2</f>
        <v>21.469747354024776</v>
      </c>
    </row>
    <row r="160" spans="4:10" x14ac:dyDescent="0.2">
      <c r="D160" t="s">
        <v>31</v>
      </c>
      <c r="E160" t="s">
        <v>22</v>
      </c>
      <c r="F160">
        <v>121</v>
      </c>
      <c r="G160">
        <v>98</v>
      </c>
      <c r="H160">
        <v>23</v>
      </c>
      <c r="I160">
        <f>VLOOKUP(NBA_2026_Results3[[#This Row],[Home Team]], TeamRating, 2, FALSE) - VLOOKUP(NBA_2026_Results3[[#This Row],[Away Team]], TeamRating, 2, FALSE)+HomeEdge</f>
        <v>10.549807426360122</v>
      </c>
      <c r="J160">
        <f>(NBA_2026_Results3[[#This Row],[Home Margin]]-NBA_2026_Results3[[#This Row],[Home Forecast]])^2</f>
        <v>155.00729512071757</v>
      </c>
    </row>
    <row r="161" spans="4:10" x14ac:dyDescent="0.2">
      <c r="D161" t="s">
        <v>25</v>
      </c>
      <c r="E161" t="s">
        <v>30</v>
      </c>
      <c r="F161">
        <v>113</v>
      </c>
      <c r="G161">
        <v>120</v>
      </c>
      <c r="H161">
        <v>-7</v>
      </c>
      <c r="I161">
        <f>VLOOKUP(NBA_2026_Results3[[#This Row],[Home Team]], TeamRating, 2, FALSE) - VLOOKUP(NBA_2026_Results3[[#This Row],[Away Team]], TeamRating, 2, FALSE)+HomeEdge</f>
        <v>-10.252650013170751</v>
      </c>
      <c r="J161">
        <f>(NBA_2026_Results3[[#This Row],[Home Margin]]-NBA_2026_Results3[[#This Row],[Home Forecast]])^2</f>
        <v>10.579732108179686</v>
      </c>
    </row>
    <row r="162" spans="4:10" x14ac:dyDescent="0.2">
      <c r="D162" t="s">
        <v>26</v>
      </c>
      <c r="E162" t="s">
        <v>17</v>
      </c>
      <c r="F162">
        <v>102</v>
      </c>
      <c r="G162">
        <v>105</v>
      </c>
      <c r="H162">
        <v>-3</v>
      </c>
      <c r="I162">
        <f>VLOOKUP(NBA_2026_Results3[[#This Row],[Home Team]], TeamRating, 2, FALSE) - VLOOKUP(NBA_2026_Results3[[#This Row],[Away Team]], TeamRating, 2, FALSE)+HomeEdge</f>
        <v>2.2755283338364758</v>
      </c>
      <c r="J162">
        <f>(NBA_2026_Results3[[#This Row],[Home Margin]]-NBA_2026_Results3[[#This Row],[Home Forecast]])^2</f>
        <v>27.831199201111467</v>
      </c>
    </row>
    <row r="163" spans="4:10" x14ac:dyDescent="0.2">
      <c r="D163" t="s">
        <v>10</v>
      </c>
      <c r="E163" t="s">
        <v>18</v>
      </c>
      <c r="F163">
        <v>109</v>
      </c>
      <c r="G163">
        <v>119</v>
      </c>
      <c r="H163">
        <v>-10</v>
      </c>
      <c r="I163">
        <f>VLOOKUP(NBA_2026_Results3[[#This Row],[Home Team]], TeamRating, 2, FALSE) - VLOOKUP(NBA_2026_Results3[[#This Row],[Away Team]], TeamRating, 2, FALSE)+HomeEdge</f>
        <v>-6.1196909505893711</v>
      </c>
      <c r="J163">
        <f>(NBA_2026_Results3[[#This Row],[Home Margin]]-NBA_2026_Results3[[#This Row],[Home Forecast]])^2</f>
        <v>15.056798318938018</v>
      </c>
    </row>
    <row r="164" spans="4:10" x14ac:dyDescent="0.2">
      <c r="D164" t="s">
        <v>11</v>
      </c>
      <c r="E164" t="s">
        <v>21</v>
      </c>
      <c r="F164">
        <v>133</v>
      </c>
      <c r="G164">
        <v>120</v>
      </c>
      <c r="H164">
        <v>13</v>
      </c>
      <c r="I164">
        <f>VLOOKUP(NBA_2026_Results3[[#This Row],[Home Team]], TeamRating, 2, FALSE) - VLOOKUP(NBA_2026_Results3[[#This Row],[Away Team]], TeamRating, 2, FALSE)+HomeEdge</f>
        <v>7.8122640193478912</v>
      </c>
      <c r="J164">
        <f>(NBA_2026_Results3[[#This Row],[Home Margin]]-NBA_2026_Results3[[#This Row],[Home Forecast]])^2</f>
        <v>26.912604604952499</v>
      </c>
    </row>
    <row r="165" spans="4:10" x14ac:dyDescent="0.2">
      <c r="D165" t="s">
        <v>5</v>
      </c>
      <c r="E165" t="s">
        <v>8</v>
      </c>
      <c r="F165">
        <v>126</v>
      </c>
      <c r="G165">
        <v>102</v>
      </c>
      <c r="H165">
        <v>24</v>
      </c>
      <c r="I165">
        <f>VLOOKUP(NBA_2026_Results3[[#This Row],[Home Team]], TeamRating, 2, FALSE) - VLOOKUP(NBA_2026_Results3[[#This Row],[Away Team]], TeamRating, 2, FALSE)+HomeEdge</f>
        <v>10.372829683433405</v>
      </c>
      <c r="J165">
        <f>(NBA_2026_Results3[[#This Row],[Home Margin]]-NBA_2026_Results3[[#This Row],[Home Forecast]])^2</f>
        <v>185.6997708367137</v>
      </c>
    </row>
    <row r="166" spans="4:10" x14ac:dyDescent="0.2">
      <c r="D166" t="s">
        <v>16</v>
      </c>
      <c r="E166" t="s">
        <v>15</v>
      </c>
      <c r="F166">
        <v>102</v>
      </c>
      <c r="G166">
        <v>100</v>
      </c>
      <c r="H166">
        <v>2</v>
      </c>
      <c r="I166">
        <f>VLOOKUP(NBA_2026_Results3[[#This Row],[Home Team]], TeamRating, 2, FALSE) - VLOOKUP(NBA_2026_Results3[[#This Row],[Away Team]], TeamRating, 2, FALSE)+HomeEdge</f>
        <v>-3.4231020001014523</v>
      </c>
      <c r="J166">
        <f>(NBA_2026_Results3[[#This Row],[Home Margin]]-NBA_2026_Results3[[#This Row],[Home Forecast]])^2</f>
        <v>29.410035303504372</v>
      </c>
    </row>
    <row r="167" spans="4:10" x14ac:dyDescent="0.2">
      <c r="D167" t="s">
        <v>25</v>
      </c>
      <c r="E167" t="s">
        <v>33</v>
      </c>
      <c r="F167">
        <v>152</v>
      </c>
      <c r="G167">
        <v>128</v>
      </c>
      <c r="H167">
        <v>24</v>
      </c>
      <c r="I167">
        <f>VLOOKUP(NBA_2026_Results3[[#This Row],[Home Team]], TeamRating, 2, FALSE) - VLOOKUP(NBA_2026_Results3[[#This Row],[Away Team]], TeamRating, 2, FALSE)+HomeEdge</f>
        <v>1.3972687472655494</v>
      </c>
      <c r="J167">
        <f>(NBA_2026_Results3[[#This Row],[Home Margin]]-NBA_2026_Results3[[#This Row],[Home Forecast]])^2</f>
        <v>510.88346008333866</v>
      </c>
    </row>
    <row r="168" spans="4:10" x14ac:dyDescent="0.2">
      <c r="D168" t="s">
        <v>32</v>
      </c>
      <c r="E168" t="s">
        <v>34</v>
      </c>
      <c r="F168">
        <v>108</v>
      </c>
      <c r="G168">
        <v>122</v>
      </c>
      <c r="H168">
        <v>-14</v>
      </c>
      <c r="I168">
        <f>VLOOKUP(NBA_2026_Results3[[#This Row],[Home Team]], TeamRating, 2, FALSE) - VLOOKUP(NBA_2026_Results3[[#This Row],[Away Team]], TeamRating, 2, FALSE)+HomeEdge</f>
        <v>-9.9803501471634064</v>
      </c>
      <c r="J168">
        <f>(NBA_2026_Results3[[#This Row],[Home Margin]]-NBA_2026_Results3[[#This Row],[Home Forecast]])^2</f>
        <v>16.157584939409247</v>
      </c>
    </row>
    <row r="169" spans="4:10" x14ac:dyDescent="0.2">
      <c r="D169" t="s">
        <v>9</v>
      </c>
      <c r="E169" t="s">
        <v>23</v>
      </c>
      <c r="F169">
        <v>111</v>
      </c>
      <c r="G169">
        <v>100</v>
      </c>
      <c r="H169">
        <v>11</v>
      </c>
      <c r="I169">
        <f>VLOOKUP(NBA_2026_Results3[[#This Row],[Home Team]], TeamRating, 2, FALSE) - VLOOKUP(NBA_2026_Results3[[#This Row],[Away Team]], TeamRating, 2, FALSE)+HomeEdge</f>
        <v>6.824895290299982</v>
      </c>
      <c r="J169">
        <f>(NBA_2026_Results3[[#This Row],[Home Margin]]-NBA_2026_Results3[[#This Row],[Home Forecast]])^2</f>
        <v>17.431499336959273</v>
      </c>
    </row>
    <row r="170" spans="4:10" x14ac:dyDescent="0.2">
      <c r="D170" t="s">
        <v>20</v>
      </c>
      <c r="E170" t="s">
        <v>19</v>
      </c>
      <c r="F170">
        <v>124</v>
      </c>
      <c r="G170">
        <v>113</v>
      </c>
      <c r="H170">
        <v>11</v>
      </c>
      <c r="I170">
        <f>VLOOKUP(NBA_2026_Results3[[#This Row],[Home Team]], TeamRating, 2, FALSE) - VLOOKUP(NBA_2026_Results3[[#This Row],[Away Team]], TeamRating, 2, FALSE)+HomeEdge</f>
        <v>10.115571940687236</v>
      </c>
      <c r="J170">
        <f>(NBA_2026_Results3[[#This Row],[Home Margin]]-NBA_2026_Results3[[#This Row],[Home Forecast]])^2</f>
        <v>0.78221299209974249</v>
      </c>
    </row>
    <row r="171" spans="4:10" x14ac:dyDescent="0.2">
      <c r="D171" t="s">
        <v>11</v>
      </c>
      <c r="E171" t="s">
        <v>13</v>
      </c>
      <c r="F171">
        <v>107</v>
      </c>
      <c r="G171">
        <v>124</v>
      </c>
      <c r="H171">
        <v>-17</v>
      </c>
      <c r="I171">
        <f>VLOOKUP(NBA_2026_Results3[[#This Row],[Home Team]], TeamRating, 2, FALSE) - VLOOKUP(NBA_2026_Results3[[#This Row],[Away Team]], TeamRating, 2, FALSE)+HomeEdge</f>
        <v>6.1315790835940671</v>
      </c>
      <c r="J171">
        <f>(NBA_2026_Results3[[#This Row],[Home Margin]]-NBA_2026_Results3[[#This Row],[Home Forecast]])^2</f>
        <v>535.0699509005666</v>
      </c>
    </row>
    <row r="172" spans="4:10" x14ac:dyDescent="0.2">
      <c r="D172" t="s">
        <v>15</v>
      </c>
      <c r="E172" t="s">
        <v>21</v>
      </c>
      <c r="F172">
        <v>131</v>
      </c>
      <c r="G172">
        <v>95</v>
      </c>
      <c r="H172">
        <v>36</v>
      </c>
      <c r="I172">
        <f>VLOOKUP(NBA_2026_Results3[[#This Row],[Home Team]], TeamRating, 2, FALSE) - VLOOKUP(NBA_2026_Results3[[#This Row],[Away Team]], TeamRating, 2, FALSE)+HomeEdge</f>
        <v>8.7889361652455396</v>
      </c>
      <c r="J172">
        <f>(NBA_2026_Results3[[#This Row],[Home Margin]]-NBA_2026_Results3[[#This Row],[Home Forecast]])^2</f>
        <v>740.44199501908224</v>
      </c>
    </row>
    <row r="173" spans="4:10" x14ac:dyDescent="0.2">
      <c r="D173" t="s">
        <v>14</v>
      </c>
      <c r="E173" t="s">
        <v>12</v>
      </c>
      <c r="F173">
        <v>116</v>
      </c>
      <c r="G173">
        <v>130</v>
      </c>
      <c r="H173">
        <v>-14</v>
      </c>
      <c r="I173">
        <f>VLOOKUP(NBA_2026_Results3[[#This Row],[Home Team]], TeamRating, 2, FALSE) - VLOOKUP(NBA_2026_Results3[[#This Row],[Away Team]], TeamRating, 2, FALSE)+HomeEdge</f>
        <v>1.1908355459075652</v>
      </c>
      <c r="J173">
        <f>(NBA_2026_Results3[[#This Row],[Home Margin]]-NBA_2026_Results3[[#This Row],[Home Forecast]])^2</f>
        <v>230.76148458280878</v>
      </c>
    </row>
    <row r="174" spans="4:10" x14ac:dyDescent="0.2">
      <c r="D174" t="s">
        <v>6</v>
      </c>
      <c r="E174" t="s">
        <v>24</v>
      </c>
      <c r="F174">
        <v>135</v>
      </c>
      <c r="G174">
        <v>112</v>
      </c>
      <c r="H174">
        <v>23</v>
      </c>
      <c r="I174">
        <f>VLOOKUP(NBA_2026_Results3[[#This Row],[Home Team]], TeamRating, 2, FALSE) - VLOOKUP(NBA_2026_Results3[[#This Row],[Away Team]], TeamRating, 2, FALSE)+HomeEdge</f>
        <v>17.569295700091658</v>
      </c>
      <c r="J174">
        <f>(NBA_2026_Results3[[#This Row],[Home Margin]]-NBA_2026_Results3[[#This Row],[Home Forecast]])^2</f>
        <v>29.492549193042958</v>
      </c>
    </row>
    <row r="175" spans="4:10" x14ac:dyDescent="0.2">
      <c r="D175" t="s">
        <v>22</v>
      </c>
      <c r="E175" t="s">
        <v>29</v>
      </c>
      <c r="F175">
        <v>117</v>
      </c>
      <c r="G175">
        <v>125</v>
      </c>
      <c r="H175">
        <v>-8</v>
      </c>
      <c r="I175">
        <f>VLOOKUP(NBA_2026_Results3[[#This Row],[Home Team]], TeamRating, 2, FALSE) - VLOOKUP(NBA_2026_Results3[[#This Row],[Away Team]], TeamRating, 2, FALSE)+HomeEdge</f>
        <v>-2.9928905331072171</v>
      </c>
      <c r="J175">
        <f>(NBA_2026_Results3[[#This Row],[Home Margin]]-NBA_2026_Results3[[#This Row],[Home Forecast]])^2</f>
        <v>25.071145213447327</v>
      </c>
    </row>
    <row r="176" spans="4:10" x14ac:dyDescent="0.2">
      <c r="D176" t="s">
        <v>28</v>
      </c>
      <c r="E176" t="s">
        <v>8</v>
      </c>
      <c r="F176">
        <v>120</v>
      </c>
      <c r="G176">
        <v>125</v>
      </c>
      <c r="H176">
        <v>-5</v>
      </c>
      <c r="I176">
        <f>VLOOKUP(NBA_2026_Results3[[#This Row],[Home Team]], TeamRating, 2, FALSE) - VLOOKUP(NBA_2026_Results3[[#This Row],[Away Team]], TeamRating, 2, FALSE)+HomeEdge</f>
        <v>4.0232401496538515</v>
      </c>
      <c r="J176">
        <f>(NBA_2026_Results3[[#This Row],[Home Margin]]-NBA_2026_Results3[[#This Row],[Home Forecast]])^2</f>
        <v>81.418862798325264</v>
      </c>
    </row>
    <row r="177" spans="4:10" x14ac:dyDescent="0.2">
      <c r="D177" t="s">
        <v>27</v>
      </c>
      <c r="E177" t="s">
        <v>31</v>
      </c>
      <c r="F177">
        <v>114</v>
      </c>
      <c r="G177">
        <v>123</v>
      </c>
      <c r="H177">
        <v>-9</v>
      </c>
      <c r="I177">
        <f>VLOOKUP(NBA_2026_Results3[[#This Row],[Home Team]], TeamRating, 2, FALSE) - VLOOKUP(NBA_2026_Results3[[#This Row],[Away Team]], TeamRating, 2, FALSE)+HomeEdge</f>
        <v>-4.3700922373464266</v>
      </c>
      <c r="J177">
        <f>(NBA_2026_Results3[[#This Row],[Home Margin]]-NBA_2026_Results3[[#This Row],[Home Forecast]])^2</f>
        <v>21.436045890679818</v>
      </c>
    </row>
    <row r="178" spans="4:10" x14ac:dyDescent="0.2">
      <c r="D178" t="s">
        <v>5</v>
      </c>
      <c r="E178" t="s">
        <v>7</v>
      </c>
      <c r="F178">
        <v>121</v>
      </c>
      <c r="G178">
        <v>92</v>
      </c>
      <c r="H178">
        <v>29</v>
      </c>
      <c r="I178">
        <f>VLOOKUP(NBA_2026_Results3[[#This Row],[Home Team]], TeamRating, 2, FALSE) - VLOOKUP(NBA_2026_Results3[[#This Row],[Away Team]], TeamRating, 2, FALSE)+HomeEdge</f>
        <v>13.972986623004793</v>
      </c>
      <c r="J178">
        <f>(NBA_2026_Results3[[#This Row],[Home Margin]]-NBA_2026_Results3[[#This Row],[Home Forecast]])^2</f>
        <v>225.81113103239289</v>
      </c>
    </row>
    <row r="179" spans="4:10" x14ac:dyDescent="0.2">
      <c r="D179" t="s">
        <v>32</v>
      </c>
      <c r="E179" t="s">
        <v>17</v>
      </c>
      <c r="F179">
        <v>100</v>
      </c>
      <c r="G179">
        <v>133</v>
      </c>
      <c r="H179">
        <v>-33</v>
      </c>
      <c r="I179">
        <f>VLOOKUP(NBA_2026_Results3[[#This Row],[Home Team]], TeamRating, 2, FALSE) - VLOOKUP(NBA_2026_Results3[[#This Row],[Away Team]], TeamRating, 2, FALSE)+HomeEdge</f>
        <v>-6.4107617479086025</v>
      </c>
      <c r="J179">
        <f>(NBA_2026_Results3[[#This Row],[Home Margin]]-NBA_2026_Results3[[#This Row],[Home Forecast]])^2</f>
        <v>706.98759082648041</v>
      </c>
    </row>
    <row r="180" spans="4:10" x14ac:dyDescent="0.2">
      <c r="D180" t="s">
        <v>26</v>
      </c>
      <c r="E180" t="s">
        <v>34</v>
      </c>
      <c r="F180">
        <v>116</v>
      </c>
      <c r="G180">
        <v>130</v>
      </c>
      <c r="H180">
        <v>-14</v>
      </c>
      <c r="I180">
        <f>VLOOKUP(NBA_2026_Results3[[#This Row],[Home Team]], TeamRating, 2, FALSE) - VLOOKUP(NBA_2026_Results3[[#This Row],[Away Team]], TeamRating, 2, FALSE)+HomeEdge</f>
        <v>-1.2940600654183272</v>
      </c>
      <c r="J180">
        <f>(NBA_2026_Results3[[#This Row],[Home Margin]]-NBA_2026_Results3[[#This Row],[Home Forecast]])^2</f>
        <v>161.44090962119733</v>
      </c>
    </row>
    <row r="181" spans="4:10" x14ac:dyDescent="0.2">
      <c r="D181" t="s">
        <v>12</v>
      </c>
      <c r="E181" t="s">
        <v>18</v>
      </c>
      <c r="F181">
        <v>113</v>
      </c>
      <c r="G181">
        <v>126</v>
      </c>
      <c r="H181">
        <v>-13</v>
      </c>
      <c r="I181">
        <f>VLOOKUP(NBA_2026_Results3[[#This Row],[Home Team]], TeamRating, 2, FALSE) - VLOOKUP(NBA_2026_Results3[[#This Row],[Away Team]], TeamRating, 2, FALSE)+HomeEdge</f>
        <v>3.4509728761647387</v>
      </c>
      <c r="J181">
        <f>(NBA_2026_Results3[[#This Row],[Home Margin]]-NBA_2026_Results3[[#This Row],[Home Forecast]])^2</f>
        <v>270.63450857230788</v>
      </c>
    </row>
    <row r="182" spans="4:10" x14ac:dyDescent="0.2">
      <c r="D182" t="s">
        <v>31</v>
      </c>
      <c r="E182" t="s">
        <v>33</v>
      </c>
      <c r="F182">
        <v>133</v>
      </c>
      <c r="G182">
        <v>98</v>
      </c>
      <c r="H182">
        <v>35</v>
      </c>
      <c r="I182">
        <f>VLOOKUP(NBA_2026_Results3[[#This Row],[Home Team]], TeamRating, 2, FALSE) - VLOOKUP(NBA_2026_Results3[[#This Row],[Away Team]], TeamRating, 2, FALSE)+HomeEdge</f>
        <v>12.108843727002753</v>
      </c>
      <c r="J182">
        <f>(NBA_2026_Results3[[#This Row],[Home Margin]]-NBA_2026_Results3[[#This Row],[Home Forecast]])^2</f>
        <v>524.00503551478118</v>
      </c>
    </row>
    <row r="183" spans="4:10" x14ac:dyDescent="0.2">
      <c r="D183" t="s">
        <v>25</v>
      </c>
      <c r="E183" t="s">
        <v>17</v>
      </c>
      <c r="F183">
        <v>122</v>
      </c>
      <c r="G183">
        <v>132</v>
      </c>
      <c r="H183">
        <v>-10</v>
      </c>
      <c r="I183">
        <f>VLOOKUP(NBA_2026_Results3[[#This Row],[Home Team]], TeamRating, 2, FALSE) - VLOOKUP(NBA_2026_Results3[[#This Row],[Away Team]], TeamRating, 2, FALSE)+HomeEdge</f>
        <v>-5.5337932997557617</v>
      </c>
      <c r="J183">
        <f>(NBA_2026_Results3[[#This Row],[Home Margin]]-NBA_2026_Results3[[#This Row],[Home Forecast]])^2</f>
        <v>19.947002289306528</v>
      </c>
    </row>
    <row r="184" spans="4:10" x14ac:dyDescent="0.2">
      <c r="D184" t="s">
        <v>11</v>
      </c>
      <c r="E184" t="s">
        <v>14</v>
      </c>
      <c r="F184">
        <v>140</v>
      </c>
      <c r="G184">
        <v>132</v>
      </c>
      <c r="H184">
        <v>8</v>
      </c>
      <c r="I184">
        <f>VLOOKUP(NBA_2026_Results3[[#This Row],[Home Team]], TeamRating, 2, FALSE) - VLOOKUP(NBA_2026_Results3[[#This Row],[Away Team]], TeamRating, 2, FALSE)+HomeEdge</f>
        <v>3.9125864736523117</v>
      </c>
      <c r="J184">
        <f>(NBA_2026_Results3[[#This Row],[Home Margin]]-NBA_2026_Results3[[#This Row],[Home Forecast]])^2</f>
        <v>16.706949335370048</v>
      </c>
    </row>
    <row r="185" spans="4:10" x14ac:dyDescent="0.2">
      <c r="D185" t="s">
        <v>13</v>
      </c>
      <c r="E185" t="s">
        <v>10</v>
      </c>
      <c r="F185">
        <v>105</v>
      </c>
      <c r="G185">
        <v>98</v>
      </c>
      <c r="H185">
        <v>7</v>
      </c>
      <c r="I185">
        <f>VLOOKUP(NBA_2026_Results3[[#This Row],[Home Team]], TeamRating, 2, FALSE) - VLOOKUP(NBA_2026_Results3[[#This Row],[Away Team]], TeamRating, 2, FALSE)+HomeEdge</f>
        <v>8.5425067627199205</v>
      </c>
      <c r="J185">
        <f>(NBA_2026_Results3[[#This Row],[Home Margin]]-NBA_2026_Results3[[#This Row],[Home Forecast]])^2</f>
        <v>2.3793271130366889</v>
      </c>
    </row>
    <row r="186" spans="4:10" x14ac:dyDescent="0.2">
      <c r="D186" t="s">
        <v>20</v>
      </c>
      <c r="E186" t="s">
        <v>16</v>
      </c>
      <c r="F186">
        <v>114</v>
      </c>
      <c r="G186">
        <v>105</v>
      </c>
      <c r="H186">
        <v>9</v>
      </c>
      <c r="I186">
        <f>VLOOKUP(NBA_2026_Results3[[#This Row],[Home Team]], TeamRating, 2, FALSE) - VLOOKUP(NBA_2026_Results3[[#This Row],[Away Team]], TeamRating, 2, FALSE)+HomeEdge</f>
        <v>7.1530937257667091</v>
      </c>
      <c r="J186">
        <f>(NBA_2026_Results3[[#This Row],[Home Margin]]-NBA_2026_Results3[[#This Row],[Home Forecast]])^2</f>
        <v>3.4110627858022959</v>
      </c>
    </row>
    <row r="187" spans="4:10" x14ac:dyDescent="0.2">
      <c r="D187" t="s">
        <v>6</v>
      </c>
      <c r="E187" t="s">
        <v>29</v>
      </c>
      <c r="F187">
        <v>140</v>
      </c>
      <c r="G187">
        <v>116</v>
      </c>
      <c r="H187">
        <v>24</v>
      </c>
      <c r="I187">
        <f>VLOOKUP(NBA_2026_Results3[[#This Row],[Home Team]], TeamRating, 2, FALSE) - VLOOKUP(NBA_2026_Results3[[#This Row],[Away Team]], TeamRating, 2, FALSE)+HomeEdge</f>
        <v>8.6433492881064069</v>
      </c>
      <c r="J187">
        <f>(NBA_2026_Results3[[#This Row],[Home Margin]]-NBA_2026_Results3[[#This Row],[Home Forecast]])^2</f>
        <v>235.82672108710199</v>
      </c>
    </row>
    <row r="188" spans="4:10" x14ac:dyDescent="0.2">
      <c r="D188" t="s">
        <v>23</v>
      </c>
      <c r="E188" t="s">
        <v>9</v>
      </c>
      <c r="F188">
        <v>147</v>
      </c>
      <c r="G188">
        <v>134</v>
      </c>
      <c r="H188">
        <v>13</v>
      </c>
      <c r="I188">
        <f>VLOOKUP(NBA_2026_Results3[[#This Row],[Home Team]], TeamRating, 2, FALSE) - VLOOKUP(NBA_2026_Results3[[#This Row],[Away Team]], TeamRating, 2, FALSE)+HomeEdge</f>
        <v>-3.2101042879663551</v>
      </c>
      <c r="J188">
        <f>(NBA_2026_Results3[[#This Row],[Home Margin]]-NBA_2026_Results3[[#This Row],[Home Forecast]])^2</f>
        <v>262.76748102674526</v>
      </c>
    </row>
    <row r="189" spans="4:10" x14ac:dyDescent="0.2">
      <c r="D189" t="s">
        <v>30</v>
      </c>
      <c r="E189" t="s">
        <v>32</v>
      </c>
      <c r="F189">
        <v>124</v>
      </c>
      <c r="G189">
        <v>110</v>
      </c>
      <c r="H189">
        <v>14</v>
      </c>
      <c r="I189">
        <f>VLOOKUP(NBA_2026_Results3[[#This Row],[Home Team]], TeamRating, 2, FALSE) - VLOOKUP(NBA_2026_Results3[[#This Row],[Away Team]], TeamRating, 2, FALSE)+HomeEdge</f>
        <v>14.744409463657217</v>
      </c>
      <c r="J189">
        <f>(NBA_2026_Results3[[#This Row],[Home Margin]]-NBA_2026_Results3[[#This Row],[Home Forecast]])^2</f>
        <v>0.55414544958242506</v>
      </c>
    </row>
    <row r="190" spans="4:10" x14ac:dyDescent="0.2">
      <c r="D190" t="s">
        <v>22</v>
      </c>
      <c r="E190" t="s">
        <v>7</v>
      </c>
      <c r="F190">
        <v>104</v>
      </c>
      <c r="G190">
        <v>118</v>
      </c>
      <c r="H190">
        <v>-14</v>
      </c>
      <c r="I190">
        <f>VLOOKUP(NBA_2026_Results3[[#This Row],[Home Team]], TeamRating, 2, FALSE) - VLOOKUP(NBA_2026_Results3[[#This Row],[Away Team]], TeamRating, 2, FALSE)+HomeEdge</f>
        <v>-3.2320179436665173</v>
      </c>
      <c r="J190">
        <f>(NBA_2026_Results3[[#This Row],[Home Margin]]-NBA_2026_Results3[[#This Row],[Home Forecast]])^2</f>
        <v>115.94943756551987</v>
      </c>
    </row>
    <row r="191" spans="4:10" x14ac:dyDescent="0.2">
      <c r="D191" t="s">
        <v>27</v>
      </c>
      <c r="E191" t="s">
        <v>26</v>
      </c>
      <c r="F191">
        <v>127</v>
      </c>
      <c r="G191">
        <v>133</v>
      </c>
      <c r="H191">
        <v>-6</v>
      </c>
      <c r="I191">
        <f>VLOOKUP(NBA_2026_Results3[[#This Row],[Home Team]], TeamRating, 2, FALSE) - VLOOKUP(NBA_2026_Results3[[#This Row],[Away Team]], TeamRating, 2, FALSE)+HomeEdge</f>
        <v>-1.467838891201461</v>
      </c>
      <c r="J191">
        <f>(NBA_2026_Results3[[#This Row],[Home Margin]]-NBA_2026_Results3[[#This Row],[Home Forecast]])^2</f>
        <v>20.540484316105999</v>
      </c>
    </row>
    <row r="192" spans="4:10" x14ac:dyDescent="0.2">
      <c r="D192" t="s">
        <v>28</v>
      </c>
      <c r="E192" t="s">
        <v>8</v>
      </c>
      <c r="F192">
        <v>108</v>
      </c>
      <c r="G192">
        <v>109</v>
      </c>
      <c r="H192">
        <v>-1</v>
      </c>
      <c r="I192">
        <f>VLOOKUP(NBA_2026_Results3[[#This Row],[Home Team]], TeamRating, 2, FALSE) - VLOOKUP(NBA_2026_Results3[[#This Row],[Away Team]], TeamRating, 2, FALSE)+HomeEdge</f>
        <v>4.0232401496538515</v>
      </c>
      <c r="J192">
        <f>(NBA_2026_Results3[[#This Row],[Home Margin]]-NBA_2026_Results3[[#This Row],[Home Forecast]])^2</f>
        <v>25.232941601094449</v>
      </c>
    </row>
    <row r="193" spans="4:10" x14ac:dyDescent="0.2">
      <c r="D193" t="s">
        <v>12</v>
      </c>
      <c r="E193" t="s">
        <v>21</v>
      </c>
      <c r="F193">
        <v>108</v>
      </c>
      <c r="G193">
        <v>100</v>
      </c>
      <c r="H193">
        <v>8</v>
      </c>
      <c r="I193">
        <f>VLOOKUP(NBA_2026_Results3[[#This Row],[Home Team]], TeamRating, 2, FALSE) - VLOOKUP(NBA_2026_Results3[[#This Row],[Away Team]], TeamRating, 2, FALSE)+HomeEdge</f>
        <v>6.3236330021216407</v>
      </c>
      <c r="J193">
        <f>(NBA_2026_Results3[[#This Row],[Home Margin]]-NBA_2026_Results3[[#This Row],[Home Forecast]])^2</f>
        <v>2.810206311575703</v>
      </c>
    </row>
    <row r="194" spans="4:10" x14ac:dyDescent="0.2">
      <c r="D194" t="s">
        <v>9</v>
      </c>
      <c r="E194" t="s">
        <v>5</v>
      </c>
      <c r="F194">
        <v>96</v>
      </c>
      <c r="G194">
        <v>109</v>
      </c>
      <c r="H194">
        <v>-13</v>
      </c>
      <c r="I194">
        <f>VLOOKUP(NBA_2026_Results3[[#This Row],[Home Team]], TeamRating, 2, FALSE) - VLOOKUP(NBA_2026_Results3[[#This Row],[Away Team]], TeamRating, 2, FALSE)+HomeEdge</f>
        <v>-8.6413354611823152</v>
      </c>
      <c r="J194">
        <f>(NBA_2026_Results3[[#This Row],[Home Margin]]-NBA_2026_Results3[[#This Row],[Home Forecast]])^2</f>
        <v>18.997956561946779</v>
      </c>
    </row>
    <row r="195" spans="4:10" x14ac:dyDescent="0.2">
      <c r="D195" t="s">
        <v>33</v>
      </c>
      <c r="E195" t="s">
        <v>18</v>
      </c>
      <c r="F195">
        <v>111</v>
      </c>
      <c r="G195">
        <v>129</v>
      </c>
      <c r="H195">
        <v>-18</v>
      </c>
      <c r="I195">
        <f>VLOOKUP(NBA_2026_Results3[[#This Row],[Home Team]], TeamRating, 2, FALSE) - VLOOKUP(NBA_2026_Results3[[#This Row],[Away Team]], TeamRating, 2, FALSE)+HomeEdge</f>
        <v>-6.7560155563635762</v>
      </c>
      <c r="J195">
        <f>(NBA_2026_Results3[[#This Row],[Home Margin]]-NBA_2026_Results3[[#This Row],[Home Forecast]])^2</f>
        <v>126.42718616873792</v>
      </c>
    </row>
    <row r="196" spans="4:10" x14ac:dyDescent="0.2">
      <c r="D196" t="s">
        <v>23</v>
      </c>
      <c r="E196" t="s">
        <v>7</v>
      </c>
      <c r="F196">
        <v>95</v>
      </c>
      <c r="G196">
        <v>119</v>
      </c>
      <c r="H196">
        <v>-24</v>
      </c>
      <c r="I196">
        <f>VLOOKUP(NBA_2026_Results3[[#This Row],[Home Team]], TeamRating, 2, FALSE) - VLOOKUP(NBA_2026_Results3[[#This Row],[Away Team]], TeamRating, 2, FALSE)+HomeEdge</f>
        <v>-1.4932441284775031</v>
      </c>
      <c r="J196">
        <f>(NBA_2026_Results3[[#This Row],[Home Margin]]-NBA_2026_Results3[[#This Row],[Home Forecast]])^2</f>
        <v>506.55405986031241</v>
      </c>
    </row>
    <row r="197" spans="4:10" x14ac:dyDescent="0.2">
      <c r="D197" t="s">
        <v>30</v>
      </c>
      <c r="E197" t="s">
        <v>34</v>
      </c>
      <c r="F197">
        <v>112</v>
      </c>
      <c r="G197">
        <v>123</v>
      </c>
      <c r="H197">
        <v>-11</v>
      </c>
      <c r="I197">
        <f>VLOOKUP(NBA_2026_Results3[[#This Row],[Home Team]], TeamRating, 2, FALSE) - VLOOKUP(NBA_2026_Results3[[#This Row],[Away Team]], TeamRating, 2, FALSE)+HomeEdge</f>
        <v>2.9566638153269982</v>
      </c>
      <c r="J197">
        <f>(NBA_2026_Results3[[#This Row],[Home Margin]]-NBA_2026_Results3[[#This Row],[Home Forecast]])^2</f>
        <v>194.78846485405796</v>
      </c>
    </row>
    <row r="198" spans="4:10" x14ac:dyDescent="0.2">
      <c r="D198" t="s">
        <v>15</v>
      </c>
      <c r="E198" t="s">
        <v>26</v>
      </c>
      <c r="F198">
        <v>121</v>
      </c>
      <c r="G198">
        <v>118</v>
      </c>
      <c r="H198">
        <v>3</v>
      </c>
      <c r="I198">
        <f>VLOOKUP(NBA_2026_Results3[[#This Row],[Home Team]], TeamRating, 2, FALSE) - VLOOKUP(NBA_2026_Results3[[#This Row],[Away Team]], TeamRating, 2, FALSE)+HomeEdge</f>
        <v>7.0804922171280529</v>
      </c>
      <c r="J198">
        <f>(NBA_2026_Results3[[#This Row],[Home Margin]]-NBA_2026_Results3[[#This Row],[Home Forecast]])^2</f>
        <v>16.650416734042611</v>
      </c>
    </row>
    <row r="199" spans="4:10" x14ac:dyDescent="0.2">
      <c r="D199" t="s">
        <v>28</v>
      </c>
      <c r="E199" t="s">
        <v>32</v>
      </c>
      <c r="F199">
        <v>123</v>
      </c>
      <c r="G199">
        <v>110</v>
      </c>
      <c r="H199">
        <v>13</v>
      </c>
      <c r="I199">
        <f>VLOOKUP(NBA_2026_Results3[[#This Row],[Home Team]], TeamRating, 2, FALSE) - VLOOKUP(NBA_2026_Results3[[#This Row],[Away Team]], TeamRating, 2, FALSE)+HomeEdge</f>
        <v>15.508942036755304</v>
      </c>
      <c r="J199">
        <f>(NBA_2026_Results3[[#This Row],[Home Margin]]-NBA_2026_Results3[[#This Row],[Home Forecast]])^2</f>
        <v>6.2947901437978526</v>
      </c>
    </row>
    <row r="200" spans="4:10" x14ac:dyDescent="0.2">
      <c r="D200" t="s">
        <v>24</v>
      </c>
      <c r="E200" t="s">
        <v>10</v>
      </c>
      <c r="F200">
        <v>106</v>
      </c>
      <c r="G200">
        <v>129</v>
      </c>
      <c r="H200">
        <v>-23</v>
      </c>
      <c r="I200">
        <f>VLOOKUP(NBA_2026_Results3[[#This Row],[Home Team]], TeamRating, 2, FALSE) - VLOOKUP(NBA_2026_Results3[[#This Row],[Away Team]], TeamRating, 2, FALSE)+HomeEdge</f>
        <v>-1.3955531816759814</v>
      </c>
      <c r="J200">
        <f>(NBA_2026_Results3[[#This Row],[Home Margin]]-NBA_2026_Results3[[#This Row],[Home Forecast]])^2</f>
        <v>466.75212232579076</v>
      </c>
    </row>
    <row r="201" spans="4:10" x14ac:dyDescent="0.2">
      <c r="D201" t="s">
        <v>6</v>
      </c>
      <c r="E201" t="s">
        <v>13</v>
      </c>
      <c r="F201">
        <v>117</v>
      </c>
      <c r="G201">
        <v>113</v>
      </c>
      <c r="H201">
        <v>4</v>
      </c>
      <c r="I201">
        <f>VLOOKUP(NBA_2026_Results3[[#This Row],[Home Team]], TeamRating, 2, FALSE) - VLOOKUP(NBA_2026_Results3[[#This Row],[Away Team]], TeamRating, 2, FALSE)+HomeEdge</f>
        <v>7.6312357556957569</v>
      </c>
      <c r="J201">
        <f>(NBA_2026_Results3[[#This Row],[Home Margin]]-NBA_2026_Results3[[#This Row],[Home Forecast]])^2</f>
        <v>13.185873113443334</v>
      </c>
    </row>
    <row r="202" spans="4:10" x14ac:dyDescent="0.2">
      <c r="D202" t="s">
        <v>22</v>
      </c>
      <c r="E202" t="s">
        <v>8</v>
      </c>
      <c r="F202">
        <v>106</v>
      </c>
      <c r="G202">
        <v>124</v>
      </c>
      <c r="H202">
        <v>-18</v>
      </c>
      <c r="I202">
        <f>VLOOKUP(NBA_2026_Results3[[#This Row],[Home Team]], TeamRating, 2, FALSE) - VLOOKUP(NBA_2026_Results3[[#This Row],[Away Team]], TeamRating, 2, FALSE)+HomeEdge</f>
        <v>-6.832174883237907</v>
      </c>
      <c r="J202">
        <f>(NBA_2026_Results3[[#This Row],[Home Margin]]-NBA_2026_Results3[[#This Row],[Home Forecast]])^2</f>
        <v>124.72031783858223</v>
      </c>
    </row>
    <row r="203" spans="4:10" x14ac:dyDescent="0.2">
      <c r="D203" t="s">
        <v>27</v>
      </c>
      <c r="E203" t="s">
        <v>29</v>
      </c>
      <c r="F203">
        <v>138</v>
      </c>
      <c r="G203">
        <v>133</v>
      </c>
      <c r="H203">
        <v>5</v>
      </c>
      <c r="I203">
        <f>VLOOKUP(NBA_2026_Results3[[#This Row],[Home Team]], TeamRating, 2, FALSE) - VLOOKUP(NBA_2026_Results3[[#This Row],[Away Team]], TeamRating, 2, FALSE)+HomeEdge</f>
        <v>-0.42796634642714748</v>
      </c>
      <c r="J203">
        <f>(NBA_2026_Results3[[#This Row],[Home Margin]]-NBA_2026_Results3[[#This Row],[Home Forecast]])^2</f>
        <v>29.462818657945682</v>
      </c>
    </row>
    <row r="204" spans="4:10" x14ac:dyDescent="0.2">
      <c r="D204" t="s">
        <v>31</v>
      </c>
      <c r="E204" t="s">
        <v>17</v>
      </c>
      <c r="F204">
        <v>122</v>
      </c>
      <c r="G204">
        <v>124</v>
      </c>
      <c r="H204">
        <v>-2</v>
      </c>
      <c r="I204">
        <f>VLOOKUP(NBA_2026_Results3[[#This Row],[Home Team]], TeamRating, 2, FALSE) - VLOOKUP(NBA_2026_Results3[[#This Row],[Away Team]], TeamRating, 2, FALSE)+HomeEdge</f>
        <v>5.1777816799814413</v>
      </c>
      <c r="J204">
        <f>(NBA_2026_Results3[[#This Row],[Home Margin]]-NBA_2026_Results3[[#This Row],[Home Forecast]])^2</f>
        <v>51.520549845477206</v>
      </c>
    </row>
    <row r="205" spans="4:10" x14ac:dyDescent="0.2">
      <c r="D205" t="s">
        <v>25</v>
      </c>
      <c r="E205" t="s">
        <v>19</v>
      </c>
      <c r="F205">
        <v>150</v>
      </c>
      <c r="G205">
        <v>147</v>
      </c>
      <c r="H205">
        <v>3</v>
      </c>
      <c r="I205">
        <f>VLOOKUP(NBA_2026_Results3[[#This Row],[Home Team]], TeamRating, 2, FALSE) - VLOOKUP(NBA_2026_Results3[[#This Row],[Away Team]], TeamRating, 2, FALSE)+HomeEdge</f>
        <v>-3.0820471321978697</v>
      </c>
      <c r="J205">
        <f>(NBA_2026_Results3[[#This Row],[Home Margin]]-NBA_2026_Results3[[#This Row],[Home Forecast]])^2</f>
        <v>36.991297318276331</v>
      </c>
    </row>
    <row r="206" spans="4:10" x14ac:dyDescent="0.2">
      <c r="D206" t="s">
        <v>12</v>
      </c>
      <c r="E206" t="s">
        <v>23</v>
      </c>
      <c r="F206">
        <v>118</v>
      </c>
      <c r="G206">
        <v>106</v>
      </c>
      <c r="H206">
        <v>12</v>
      </c>
      <c r="I206">
        <f>VLOOKUP(NBA_2026_Results3[[#This Row],[Home Team]], TeamRating, 2, FALSE) - VLOOKUP(NBA_2026_Results3[[#This Row],[Away Team]], TeamRating, 2, FALSE)+HomeEdge</f>
        <v>8.716573817863484</v>
      </c>
      <c r="J206">
        <f>(NBA_2026_Results3[[#This Row],[Home Margin]]-NBA_2026_Results3[[#This Row],[Home Forecast]])^2</f>
        <v>10.780887493539577</v>
      </c>
    </row>
    <row r="207" spans="4:10" x14ac:dyDescent="0.2">
      <c r="D207" t="s">
        <v>20</v>
      </c>
      <c r="E207" t="s">
        <v>33</v>
      </c>
      <c r="F207">
        <v>127</v>
      </c>
      <c r="G207">
        <v>112</v>
      </c>
      <c r="H207">
        <v>15</v>
      </c>
      <c r="I207">
        <f>VLOOKUP(NBA_2026_Results3[[#This Row],[Home Team]], TeamRating, 2, FALSE) - VLOOKUP(NBA_2026_Results3[[#This Row],[Away Team]], TeamRating, 2, FALSE)+HomeEdge</f>
        <v>14.594887820150657</v>
      </c>
      <c r="J207">
        <f>(NBA_2026_Results3[[#This Row],[Home Margin]]-NBA_2026_Results3[[#This Row],[Home Forecast]])^2</f>
        <v>0.16411587826228671</v>
      </c>
    </row>
    <row r="208" spans="4:10" x14ac:dyDescent="0.2">
      <c r="D208" t="s">
        <v>16</v>
      </c>
      <c r="E208" t="s">
        <v>26</v>
      </c>
      <c r="F208">
        <v>110</v>
      </c>
      <c r="G208">
        <v>108</v>
      </c>
      <c r="H208">
        <v>2</v>
      </c>
      <c r="I208">
        <f>VLOOKUP(NBA_2026_Results3[[#This Row],[Home Team]], TeamRating, 2, FALSE) - VLOOKUP(NBA_2026_Results3[[#This Row],[Away Team]], TeamRating, 2, FALSE)+HomeEdge</f>
        <v>1.8499947158597871</v>
      </c>
      <c r="J208">
        <f>(NBA_2026_Results3[[#This Row],[Home Margin]]-NBA_2026_Results3[[#This Row],[Home Forecast]])^2</f>
        <v>2.2501585269985996E-2</v>
      </c>
    </row>
    <row r="209" spans="4:10" x14ac:dyDescent="0.2">
      <c r="D209" t="s">
        <v>14</v>
      </c>
      <c r="E209" t="s">
        <v>11</v>
      </c>
      <c r="F209">
        <v>115</v>
      </c>
      <c r="G209">
        <v>113</v>
      </c>
      <c r="H209">
        <v>2</v>
      </c>
      <c r="I209">
        <f>VLOOKUP(NBA_2026_Results3[[#This Row],[Home Team]], TeamRating, 2, FALSE) - VLOOKUP(NBA_2026_Results3[[#This Row],[Away Team]], TeamRating, 2, FALSE)+HomeEdge</f>
        <v>-0.29779547131868478</v>
      </c>
      <c r="J209">
        <f>(NBA_2026_Results3[[#This Row],[Home Margin]]-NBA_2026_Results3[[#This Row],[Home Forecast]])^2</f>
        <v>5.279864028012657</v>
      </c>
    </row>
    <row r="210" spans="4:10" x14ac:dyDescent="0.2">
      <c r="D210" t="s">
        <v>18</v>
      </c>
      <c r="E210" t="s">
        <v>9</v>
      </c>
      <c r="F210">
        <v>110</v>
      </c>
      <c r="G210">
        <v>108</v>
      </c>
      <c r="H210">
        <v>2</v>
      </c>
      <c r="I210">
        <f>VLOOKUP(NBA_2026_Results3[[#This Row],[Home Team]], TeamRating, 2, FALSE) - VLOOKUP(NBA_2026_Results3[[#This Row],[Away Team]], TeamRating, 2, FALSE)+HomeEdge</f>
        <v>2.0554966537323907</v>
      </c>
      <c r="J210">
        <f>(NBA_2026_Results3[[#This Row],[Home Margin]]-NBA_2026_Results3[[#This Row],[Home Forecast]])^2</f>
        <v>3.0798785754928698E-3</v>
      </c>
    </row>
    <row r="211" spans="4:10" x14ac:dyDescent="0.2">
      <c r="D211" t="s">
        <v>30</v>
      </c>
      <c r="E211" t="s">
        <v>27</v>
      </c>
      <c r="F211">
        <v>120</v>
      </c>
      <c r="G211">
        <v>96</v>
      </c>
      <c r="H211">
        <v>24</v>
      </c>
      <c r="I211">
        <f>VLOOKUP(NBA_2026_Results3[[#This Row],[Home Team]], TeamRating, 2, FALSE) - VLOOKUP(NBA_2026_Results3[[#This Row],[Away Team]], TeamRating, 2, FALSE)+HomeEdge</f>
        <v>9.3333537742804147</v>
      </c>
      <c r="J211">
        <f>(NBA_2026_Results3[[#This Row],[Home Margin]]-NBA_2026_Results3[[#This Row],[Home Forecast]])^2</f>
        <v>215.11051151041457</v>
      </c>
    </row>
    <row r="212" spans="4:10" x14ac:dyDescent="0.2">
      <c r="D212" t="s">
        <v>22</v>
      </c>
      <c r="E212" t="s">
        <v>5</v>
      </c>
      <c r="F212">
        <v>109</v>
      </c>
      <c r="G212">
        <v>126</v>
      </c>
      <c r="H212">
        <v>-17</v>
      </c>
      <c r="I212">
        <f>VLOOKUP(NBA_2026_Results3[[#This Row],[Home Team]], TeamRating, 2, FALSE) - VLOOKUP(NBA_2026_Results3[[#This Row],[Away Team]], TeamRating, 2, FALSE)+HomeEdge</f>
        <v>-15.397609065504501</v>
      </c>
      <c r="J212">
        <f>(NBA_2026_Results3[[#This Row],[Home Margin]]-NBA_2026_Results3[[#This Row],[Home Forecast]])^2</f>
        <v>2.5676567069533598</v>
      </c>
    </row>
    <row r="213" spans="4:10" x14ac:dyDescent="0.2">
      <c r="D213" t="s">
        <v>34</v>
      </c>
      <c r="E213" t="s">
        <v>19</v>
      </c>
      <c r="F213">
        <v>127</v>
      </c>
      <c r="G213">
        <v>130</v>
      </c>
      <c r="H213">
        <v>-3</v>
      </c>
      <c r="I213">
        <f>VLOOKUP(NBA_2026_Results3[[#This Row],[Home Team]], TeamRating, 2, FALSE) - VLOOKUP(NBA_2026_Results3[[#This Row],[Away Team]], TeamRating, 2, FALSE)+HomeEdge</f>
        <v>7.8287300679795093</v>
      </c>
      <c r="J213">
        <f>(NBA_2026_Results3[[#This Row],[Home Margin]]-NBA_2026_Results3[[#This Row],[Home Forecast]])^2</f>
        <v>117.26139488516353</v>
      </c>
    </row>
    <row r="214" spans="4:10" x14ac:dyDescent="0.2">
      <c r="D214" t="s">
        <v>13</v>
      </c>
      <c r="E214" t="s">
        <v>8</v>
      </c>
      <c r="F214">
        <v>121</v>
      </c>
      <c r="G214">
        <v>113</v>
      </c>
      <c r="H214">
        <v>8</v>
      </c>
      <c r="I214">
        <f>VLOOKUP(NBA_2026_Results3[[#This Row],[Home Team]], TeamRating, 2, FALSE) - VLOOKUP(NBA_2026_Results3[[#This Row],[Away Team]], TeamRating, 2, FALSE)+HomeEdge</f>
        <v>-1.0197753165532246</v>
      </c>
      <c r="J214">
        <f>(NBA_2026_Results3[[#This Row],[Home Margin]]-NBA_2026_Results3[[#This Row],[Home Forecast]])^2</f>
        <v>81.356346761102841</v>
      </c>
    </row>
    <row r="215" spans="4:10" x14ac:dyDescent="0.2">
      <c r="D215" t="s">
        <v>17</v>
      </c>
      <c r="E215" t="s">
        <v>20</v>
      </c>
      <c r="F215">
        <v>112</v>
      </c>
      <c r="G215">
        <v>120</v>
      </c>
      <c r="H215">
        <v>-8</v>
      </c>
      <c r="I215">
        <f>VLOOKUP(NBA_2026_Results3[[#This Row],[Home Team]], TeamRating, 2, FALSE) - VLOOKUP(NBA_2026_Results3[[#This Row],[Away Team]], TeamRating, 2, FALSE)+HomeEdge</f>
        <v>-4.0490347707957186</v>
      </c>
      <c r="J215">
        <f>(NBA_2026_Results3[[#This Row],[Home Margin]]-NBA_2026_Results3[[#This Row],[Home Forecast]])^2</f>
        <v>15.61012624238124</v>
      </c>
    </row>
    <row r="216" spans="4:10" x14ac:dyDescent="0.2">
      <c r="D216" t="s">
        <v>10</v>
      </c>
      <c r="E216" t="s">
        <v>15</v>
      </c>
      <c r="F216">
        <v>99</v>
      </c>
      <c r="G216">
        <v>113</v>
      </c>
      <c r="H216">
        <v>-14</v>
      </c>
      <c r="I216">
        <f>VLOOKUP(NBA_2026_Results3[[#This Row],[Home Team]], TeamRating, 2, FALSE) - VLOOKUP(NBA_2026_Results3[[#This Row],[Away Team]], TeamRating, 2, FALSE)+HomeEdge</f>
        <v>-10.228571488711196</v>
      </c>
      <c r="J216">
        <f>(NBA_2026_Results3[[#This Row],[Home Margin]]-NBA_2026_Results3[[#This Row],[Home Forecast]])^2</f>
        <v>14.223673015762081</v>
      </c>
    </row>
    <row r="217" spans="4:10" x14ac:dyDescent="0.2">
      <c r="D217" t="s">
        <v>28</v>
      </c>
      <c r="E217" t="s">
        <v>21</v>
      </c>
      <c r="F217">
        <v>111</v>
      </c>
      <c r="G217">
        <v>101</v>
      </c>
      <c r="H217">
        <v>10</v>
      </c>
      <c r="I217">
        <f>VLOOKUP(NBA_2026_Results3[[#This Row],[Home Team]], TeamRating, 2, FALSE) - VLOOKUP(NBA_2026_Results3[[#This Row],[Away Team]], TeamRating, 2, FALSE)+HomeEdge</f>
        <v>8.5310959031277136</v>
      </c>
      <c r="J217">
        <f>(NBA_2026_Results3[[#This Row],[Home Margin]]-NBA_2026_Results3[[#This Row],[Home Forecast]])^2</f>
        <v>2.1576792458081875</v>
      </c>
    </row>
    <row r="218" spans="4:10" x14ac:dyDescent="0.2">
      <c r="D218" t="s">
        <v>7</v>
      </c>
      <c r="E218" t="s">
        <v>25</v>
      </c>
      <c r="F218">
        <v>140</v>
      </c>
      <c r="G218">
        <v>126</v>
      </c>
      <c r="H218">
        <v>14</v>
      </c>
      <c r="I218">
        <f>VLOOKUP(NBA_2026_Results3[[#This Row],[Home Team]], TeamRating, 2, FALSE) - VLOOKUP(NBA_2026_Results3[[#This Row],[Away Team]], TeamRating, 2, FALSE)+HomeEdge</f>
        <v>8.8159720005440381</v>
      </c>
      <c r="J218">
        <f>(NBA_2026_Results3[[#This Row],[Home Margin]]-NBA_2026_Results3[[#This Row],[Home Forecast]])^2</f>
        <v>26.874146299143383</v>
      </c>
    </row>
    <row r="219" spans="4:10" x14ac:dyDescent="0.2">
      <c r="D219" t="s">
        <v>29</v>
      </c>
      <c r="E219" t="s">
        <v>31</v>
      </c>
      <c r="F219">
        <v>110</v>
      </c>
      <c r="G219">
        <v>127</v>
      </c>
      <c r="H219">
        <v>-17</v>
      </c>
      <c r="I219">
        <f>VLOOKUP(NBA_2026_Results3[[#This Row],[Home Team]], TeamRating, 2, FALSE) - VLOOKUP(NBA_2026_Results3[[#This Row],[Away Team]], TeamRating, 2, FALSE)+HomeEdge</f>
        <v>-2.1347303897524657</v>
      </c>
      <c r="J219">
        <f>(NBA_2026_Results3[[#This Row],[Home Margin]]-NBA_2026_Results3[[#This Row],[Home Forecast]])^2</f>
        <v>220.97624058534888</v>
      </c>
    </row>
    <row r="220" spans="4:10" x14ac:dyDescent="0.2">
      <c r="D220" t="s">
        <v>12</v>
      </c>
      <c r="E220" t="s">
        <v>6</v>
      </c>
      <c r="F220">
        <v>104</v>
      </c>
      <c r="G220">
        <v>114</v>
      </c>
      <c r="H220">
        <v>-10</v>
      </c>
      <c r="I220">
        <f>VLOOKUP(NBA_2026_Results3[[#This Row],[Home Team]], TeamRating, 2, FALSE) - VLOOKUP(NBA_2026_Results3[[#This Row],[Away Team]], TeamRating, 2, FALSE)+HomeEdge</f>
        <v>-1.1808921881611263</v>
      </c>
      <c r="J220">
        <f>(NBA_2026_Results3[[#This Row],[Home Margin]]-NBA_2026_Results3[[#This Row],[Home Forecast]])^2</f>
        <v>77.776662596837454</v>
      </c>
    </row>
    <row r="221" spans="4:10" x14ac:dyDescent="0.2">
      <c r="D221" t="s">
        <v>33</v>
      </c>
      <c r="E221" t="s">
        <v>9</v>
      </c>
      <c r="F221">
        <v>127</v>
      </c>
      <c r="G221">
        <v>118</v>
      </c>
      <c r="H221">
        <v>9</v>
      </c>
      <c r="I221">
        <f>VLOOKUP(NBA_2026_Results3[[#This Row],[Home Team]], TeamRating, 2, FALSE) - VLOOKUP(NBA_2026_Results3[[#This Row],[Away Team]], TeamRating, 2, FALSE)+HomeEdge</f>
        <v>-6.5079144037979999</v>
      </c>
      <c r="J221">
        <f>(NBA_2026_Results3[[#This Row],[Home Margin]]-NBA_2026_Results3[[#This Row],[Home Forecast]])^2</f>
        <v>240.49540915552549</v>
      </c>
    </row>
    <row r="222" spans="4:10" x14ac:dyDescent="0.2">
      <c r="D222" t="s">
        <v>16</v>
      </c>
      <c r="E222" t="s">
        <v>18</v>
      </c>
      <c r="F222">
        <v>112</v>
      </c>
      <c r="G222">
        <v>121</v>
      </c>
      <c r="H222">
        <v>-9</v>
      </c>
      <c r="I222">
        <f>VLOOKUP(NBA_2026_Results3[[#This Row],[Home Team]], TeamRating, 2, FALSE) - VLOOKUP(NBA_2026_Results3[[#This Row],[Away Team]], TeamRating, 2, FALSE)+HomeEdge</f>
        <v>0.68577853802037136</v>
      </c>
      <c r="J222">
        <f>(NBA_2026_Results3[[#This Row],[Home Margin]]-NBA_2026_Results3[[#This Row],[Home Forecast]])^2</f>
        <v>93.814305887576054</v>
      </c>
    </row>
    <row r="223" spans="4:10" x14ac:dyDescent="0.2">
      <c r="D223" t="s">
        <v>14</v>
      </c>
      <c r="E223" t="s">
        <v>8</v>
      </c>
      <c r="F223">
        <v>110</v>
      </c>
      <c r="G223">
        <v>96</v>
      </c>
      <c r="H223">
        <v>14</v>
      </c>
      <c r="I223">
        <f>VLOOKUP(NBA_2026_Results3[[#This Row],[Home Team]], TeamRating, 2, FALSE) - VLOOKUP(NBA_2026_Results3[[#This Row],[Away Team]], TeamRating, 2, FALSE)+HomeEdge</f>
        <v>1.1992172933885308</v>
      </c>
      <c r="J223">
        <f>(NBA_2026_Results3[[#This Row],[Home Margin]]-NBA_2026_Results3[[#This Row],[Home Forecast]])^2</f>
        <v>163.86003790188326</v>
      </c>
    </row>
    <row r="224" spans="4:10" x14ac:dyDescent="0.2">
      <c r="D224" t="s">
        <v>30</v>
      </c>
      <c r="E224" t="s">
        <v>24</v>
      </c>
      <c r="F224">
        <v>120</v>
      </c>
      <c r="G224">
        <v>109</v>
      </c>
      <c r="H224">
        <v>11</v>
      </c>
      <c r="I224">
        <f>VLOOKUP(NBA_2026_Results3[[#This Row],[Home Team]], TeamRating, 2, FALSE) - VLOOKUP(NBA_2026_Results3[[#This Row],[Away Team]], TeamRating, 2, FALSE)+HomeEdge</f>
        <v>16.023938338671702</v>
      </c>
      <c r="J224">
        <f>(NBA_2026_Results3[[#This Row],[Home Margin]]-NBA_2026_Results3[[#This Row],[Home Forecast]])^2</f>
        <v>25.239956430775376</v>
      </c>
    </row>
    <row r="225" spans="4:10" x14ac:dyDescent="0.2">
      <c r="D225" t="s">
        <v>22</v>
      </c>
      <c r="E225" t="s">
        <v>34</v>
      </c>
      <c r="F225">
        <v>118</v>
      </c>
      <c r="G225">
        <v>125</v>
      </c>
      <c r="H225">
        <v>-7</v>
      </c>
      <c r="I225">
        <f>VLOOKUP(NBA_2026_Results3[[#This Row],[Home Team]], TeamRating, 2, FALSE) - VLOOKUP(NBA_2026_Results3[[#This Row],[Away Team]], TeamRating, 2, FALSE)+HomeEdge</f>
        <v>-7.1342186444666718</v>
      </c>
      <c r="J225">
        <f>(NBA_2026_Results3[[#This Row],[Home Margin]]-NBA_2026_Results3[[#This Row],[Home Forecast]])^2</f>
        <v>1.8014644522470837E-2</v>
      </c>
    </row>
    <row r="226" spans="4:10" x14ac:dyDescent="0.2">
      <c r="D226" t="s">
        <v>5</v>
      </c>
      <c r="E226" t="s">
        <v>32</v>
      </c>
      <c r="F226">
        <v>113</v>
      </c>
      <c r="G226">
        <v>99</v>
      </c>
      <c r="H226">
        <v>14</v>
      </c>
      <c r="I226">
        <f>VLOOKUP(NBA_2026_Results3[[#This Row],[Home Team]], TeamRating, 2, FALSE) - VLOOKUP(NBA_2026_Results3[[#This Row],[Away Team]], TeamRating, 2, FALSE)+HomeEdge</f>
        <v>21.858531570534861</v>
      </c>
      <c r="J226">
        <f>(NBA_2026_Results3[[#This Row],[Home Margin]]-NBA_2026_Results3[[#This Row],[Home Forecast]])^2</f>
        <v>61.756518445093114</v>
      </c>
    </row>
    <row r="227" spans="4:10" x14ac:dyDescent="0.2">
      <c r="D227" t="s">
        <v>27</v>
      </c>
      <c r="E227" t="s">
        <v>11</v>
      </c>
      <c r="F227">
        <v>111</v>
      </c>
      <c r="G227">
        <v>113</v>
      </c>
      <c r="H227">
        <v>-2</v>
      </c>
      <c r="I227">
        <f>VLOOKUP(NBA_2026_Results3[[#This Row],[Home Team]], TeamRating, 2, FALSE) - VLOOKUP(NBA_2026_Results3[[#This Row],[Away Team]], TeamRating, 2, FALSE)+HomeEdge</f>
        <v>-5.7642634612650516</v>
      </c>
      <c r="J227">
        <f>(NBA_2026_Results3[[#This Row],[Home Margin]]-NBA_2026_Results3[[#This Row],[Home Forecast]])^2</f>
        <v>14.169679405815147</v>
      </c>
    </row>
    <row r="228" spans="4:10" x14ac:dyDescent="0.2">
      <c r="D228" t="s">
        <v>29</v>
      </c>
      <c r="E228" t="s">
        <v>19</v>
      </c>
      <c r="F228">
        <v>121</v>
      </c>
      <c r="G228">
        <v>122</v>
      </c>
      <c r="H228">
        <v>-1</v>
      </c>
      <c r="I228">
        <f>VLOOKUP(NBA_2026_Results3[[#This Row],[Home Team]], TeamRating, 2, FALSE) - VLOOKUP(NBA_2026_Results3[[#This Row],[Away Team]], TeamRating, 2, FALSE)+HomeEdge</f>
        <v>3.6874019566200547</v>
      </c>
      <c r="J228">
        <f>(NBA_2026_Results3[[#This Row],[Home Margin]]-NBA_2026_Results3[[#This Row],[Home Forecast]])^2</f>
        <v>21.971737102925516</v>
      </c>
    </row>
    <row r="229" spans="4:10" x14ac:dyDescent="0.2">
      <c r="D229" t="s">
        <v>13</v>
      </c>
      <c r="E229" t="s">
        <v>26</v>
      </c>
      <c r="F229">
        <v>129</v>
      </c>
      <c r="G229">
        <v>101</v>
      </c>
      <c r="H229">
        <v>28</v>
      </c>
      <c r="I229">
        <f>VLOOKUP(NBA_2026_Results3[[#This Row],[Home Team]], TeamRating, 2, FALSE) - VLOOKUP(NBA_2026_Results3[[#This Row],[Away Team]], TeamRating, 2, FALSE)+HomeEdge</f>
        <v>1.7796364888031506</v>
      </c>
      <c r="J229">
        <f>(NBA_2026_Results3[[#This Row],[Home Margin]]-NBA_2026_Results3[[#This Row],[Home Forecast]])^2</f>
        <v>687.5074626593032</v>
      </c>
    </row>
    <row r="230" spans="4:10" x14ac:dyDescent="0.2">
      <c r="D230" t="s">
        <v>21</v>
      </c>
      <c r="E230" t="s">
        <v>32</v>
      </c>
      <c r="F230">
        <v>137</v>
      </c>
      <c r="G230">
        <v>96</v>
      </c>
      <c r="H230">
        <v>41</v>
      </c>
      <c r="I230">
        <f>VLOOKUP(NBA_2026_Results3[[#This Row],[Home Team]], TeamRating, 2, FALSE) - VLOOKUP(NBA_2026_Results3[[#This Row],[Away Team]], TeamRating, 2, FALSE)+HomeEdge</f>
        <v>8.7852416347944065</v>
      </c>
      <c r="J230">
        <f>(NBA_2026_Results3[[#This Row],[Home Margin]]-NBA_2026_Results3[[#This Row],[Home Forecast]])^2</f>
        <v>1037.7906565285839</v>
      </c>
    </row>
    <row r="231" spans="4:10" x14ac:dyDescent="0.2">
      <c r="D231" t="s">
        <v>23</v>
      </c>
      <c r="E231" t="s">
        <v>16</v>
      </c>
      <c r="F231">
        <v>114</v>
      </c>
      <c r="G231">
        <v>123</v>
      </c>
      <c r="H231">
        <v>-9</v>
      </c>
      <c r="I231">
        <f>VLOOKUP(NBA_2026_Results3[[#This Row],[Home Team]], TeamRating, 2, FALSE) - VLOOKUP(NBA_2026_Results3[[#This Row],[Away Team]], TeamRating, 2, FALSE)+HomeEdge</f>
        <v>-2.3365884773854901</v>
      </c>
      <c r="J231">
        <f>(NBA_2026_Results3[[#This Row],[Home Margin]]-NBA_2026_Results3[[#This Row],[Home Forecast]])^2</f>
        <v>44.401053119711818</v>
      </c>
    </row>
    <row r="232" spans="4:10" x14ac:dyDescent="0.2">
      <c r="D232" t="s">
        <v>28</v>
      </c>
      <c r="E232" t="s">
        <v>17</v>
      </c>
      <c r="F232">
        <v>135</v>
      </c>
      <c r="G232">
        <v>126</v>
      </c>
      <c r="H232">
        <v>9</v>
      </c>
      <c r="I232">
        <f>VLOOKUP(NBA_2026_Results3[[#This Row],[Home Team]], TeamRating, 2, FALSE) - VLOOKUP(NBA_2026_Results3[[#This Row],[Away Team]], TeamRating, 2, FALSE)+HomeEdge</f>
        <v>7.2907847876798897</v>
      </c>
      <c r="J232">
        <f>(NBA_2026_Results3[[#This Row],[Home Margin]]-NBA_2026_Results3[[#This Row],[Home Forecast]])^2</f>
        <v>2.9214166420264798</v>
      </c>
    </row>
    <row r="233" spans="4:10" x14ac:dyDescent="0.2">
      <c r="D233" t="s">
        <v>12</v>
      </c>
      <c r="E233" t="s">
        <v>33</v>
      </c>
      <c r="F233">
        <v>120</v>
      </c>
      <c r="G233">
        <v>109</v>
      </c>
      <c r="H233">
        <v>11</v>
      </c>
      <c r="I233">
        <f>VLOOKUP(NBA_2026_Results3[[#This Row],[Home Team]], TeamRating, 2, FALSE) - VLOOKUP(NBA_2026_Results3[[#This Row],[Away Team]], TeamRating, 2, FALSE)+HomeEdge</f>
        <v>12.014383933695129</v>
      </c>
      <c r="J233">
        <f>(NBA_2026_Results3[[#This Row],[Home Margin]]-NBA_2026_Results3[[#This Row],[Home Forecast]])^2</f>
        <v>1.0289747649388035</v>
      </c>
    </row>
    <row r="234" spans="4:10" x14ac:dyDescent="0.2">
      <c r="D234" t="s">
        <v>15</v>
      </c>
      <c r="E234" t="s">
        <v>10</v>
      </c>
      <c r="F234">
        <v>105</v>
      </c>
      <c r="G234">
        <v>113</v>
      </c>
      <c r="H234">
        <v>-8</v>
      </c>
      <c r="I234">
        <f>VLOOKUP(NBA_2026_Results3[[#This Row],[Home Team]], TeamRating, 2, FALSE) - VLOOKUP(NBA_2026_Results3[[#This Row],[Away Team]], TeamRating, 2, FALSE)+HomeEdge</f>
        <v>13.843362491044822</v>
      </c>
      <c r="J234">
        <f>(NBA_2026_Results3[[#This Row],[Home Margin]]-NBA_2026_Results3[[#This Row],[Home Forecast]])^2</f>
        <v>477.13248491518385</v>
      </c>
    </row>
    <row r="235" spans="4:10" x14ac:dyDescent="0.2">
      <c r="D235" t="s">
        <v>18</v>
      </c>
      <c r="E235" t="s">
        <v>24</v>
      </c>
      <c r="F235">
        <v>140</v>
      </c>
      <c r="G235">
        <v>110</v>
      </c>
      <c r="H235">
        <v>30</v>
      </c>
      <c r="I235">
        <f>VLOOKUP(NBA_2026_Results3[[#This Row],[Home Team]], TeamRating, 2, FALSE) - VLOOKUP(NBA_2026_Results3[[#This Row],[Away Team]], TeamRating, 2, FALSE)+HomeEdge</f>
        <v>12.937430635765793</v>
      </c>
      <c r="J235">
        <f>(NBA_2026_Results3[[#This Row],[Home Margin]]-NBA_2026_Results3[[#This Row],[Home Forecast]])^2</f>
        <v>291.13127330930371</v>
      </c>
    </row>
    <row r="236" spans="4:10" x14ac:dyDescent="0.2">
      <c r="D236" t="s">
        <v>19</v>
      </c>
      <c r="E236" t="s">
        <v>14</v>
      </c>
      <c r="F236">
        <v>107</v>
      </c>
      <c r="G236">
        <v>143</v>
      </c>
      <c r="H236">
        <v>-36</v>
      </c>
      <c r="I236">
        <f>VLOOKUP(NBA_2026_Results3[[#This Row],[Home Team]], TeamRating, 2, FALSE) - VLOOKUP(NBA_2026_Results3[[#This Row],[Away Team]], TeamRating, 2, FALSE)+HomeEdge</f>
        <v>-3.3037170966388336</v>
      </c>
      <c r="J236">
        <f>(NBA_2026_Results3[[#This Row],[Home Margin]]-NBA_2026_Results3[[#This Row],[Home Forecast]])^2</f>
        <v>1069.0469156966276</v>
      </c>
    </row>
    <row r="237" spans="4:10" x14ac:dyDescent="0.2">
      <c r="D237" t="s">
        <v>27</v>
      </c>
      <c r="E237" t="s">
        <v>22</v>
      </c>
      <c r="F237">
        <v>118</v>
      </c>
      <c r="G237">
        <v>115</v>
      </c>
      <c r="H237">
        <v>3</v>
      </c>
      <c r="I237">
        <f>VLOOKUP(NBA_2026_Results3[[#This Row],[Home Team]], TeamRating, 2, FALSE) - VLOOKUP(NBA_2026_Results3[[#This Row],[Away Team]], TeamRating, 2, FALSE)+HomeEdge</f>
        <v>4.3723196878468826</v>
      </c>
      <c r="J237">
        <f>(NBA_2026_Results3[[#This Row],[Home Margin]]-NBA_2026_Results3[[#This Row],[Home Forecast]])^2</f>
        <v>1.8832613256521653</v>
      </c>
    </row>
    <row r="238" spans="4:10" x14ac:dyDescent="0.2">
      <c r="D238" t="s">
        <v>31</v>
      </c>
      <c r="E238" t="s">
        <v>30</v>
      </c>
      <c r="F238">
        <v>114</v>
      </c>
      <c r="G238">
        <v>113</v>
      </c>
      <c r="H238">
        <v>1</v>
      </c>
      <c r="I238">
        <f>VLOOKUP(NBA_2026_Results3[[#This Row],[Home Team]], TeamRating, 2, FALSE) - VLOOKUP(NBA_2026_Results3[[#This Row],[Away Team]], TeamRating, 2, FALSE)+HomeEdge</f>
        <v>0.45892496656645365</v>
      </c>
      <c r="J238">
        <f>(NBA_2026_Results3[[#This Row],[Home Margin]]-NBA_2026_Results3[[#This Row],[Home Forecast]])^2</f>
        <v>0.29276219180511331</v>
      </c>
    </row>
    <row r="239" spans="4:10" x14ac:dyDescent="0.2">
      <c r="D239" t="s">
        <v>6</v>
      </c>
      <c r="E239" t="s">
        <v>34</v>
      </c>
      <c r="F239">
        <v>109</v>
      </c>
      <c r="G239">
        <v>112</v>
      </c>
      <c r="H239">
        <v>-3</v>
      </c>
      <c r="I239">
        <f>VLOOKUP(NBA_2026_Results3[[#This Row],[Home Team]], TeamRating, 2, FALSE) - VLOOKUP(NBA_2026_Results3[[#This Row],[Away Team]], TeamRating, 2, FALSE)+HomeEdge</f>
        <v>4.502021176746954</v>
      </c>
      <c r="J239">
        <f>(NBA_2026_Results3[[#This Row],[Home Margin]]-NBA_2026_Results3[[#This Row],[Home Forecast]])^2</f>
        <v>56.280321736359753</v>
      </c>
    </row>
    <row r="240" spans="4:10" x14ac:dyDescent="0.2">
      <c r="D240" t="s">
        <v>8</v>
      </c>
      <c r="E240" t="s">
        <v>29</v>
      </c>
      <c r="F240">
        <v>123</v>
      </c>
      <c r="G240">
        <v>127</v>
      </c>
      <c r="H240">
        <v>-4</v>
      </c>
      <c r="I240">
        <f>VLOOKUP(NBA_2026_Results3[[#This Row],[Home Team]], TeamRating, 2, FALSE) - VLOOKUP(NBA_2026_Results3[[#This Row],[Away Team]], TeamRating, 2, FALSE)+HomeEdge</f>
        <v>5.6466798512975025</v>
      </c>
      <c r="J240">
        <f>(NBA_2026_Results3[[#This Row],[Home Margin]]-NBA_2026_Results3[[#This Row],[Home Forecast]])^2</f>
        <v>93.058432153429209</v>
      </c>
    </row>
    <row r="241" spans="4:10" x14ac:dyDescent="0.2">
      <c r="D241" t="s">
        <v>25</v>
      </c>
      <c r="E241" t="s">
        <v>5</v>
      </c>
      <c r="F241">
        <v>112</v>
      </c>
      <c r="G241">
        <v>144</v>
      </c>
      <c r="H241">
        <v>-32</v>
      </c>
      <c r="I241">
        <f>VLOOKUP(NBA_2026_Results3[[#This Row],[Home Team]], TeamRating, 2, FALSE) - VLOOKUP(NBA_2026_Results3[[#This Row],[Away Team]], TeamRating, 2, FALSE)+HomeEdge</f>
        <v>-17.366772120048392</v>
      </c>
      <c r="J241">
        <f>(NBA_2026_Results3[[#This Row],[Home Margin]]-NBA_2026_Results3[[#This Row],[Home Forecast]])^2</f>
        <v>214.13135818659305</v>
      </c>
    </row>
    <row r="242" spans="4:10" x14ac:dyDescent="0.2">
      <c r="D242" t="s">
        <v>9</v>
      </c>
      <c r="E242" t="s">
        <v>26</v>
      </c>
      <c r="F242">
        <v>116</v>
      </c>
      <c r="G242">
        <v>131</v>
      </c>
      <c r="H242">
        <v>-15</v>
      </c>
      <c r="I242">
        <f>VLOOKUP(NBA_2026_Results3[[#This Row],[Home Team]], TeamRating, 2, FALSE) - VLOOKUP(NBA_2026_Results3[[#This Row],[Away Team]], TeamRating, 2, FALSE)+HomeEdge</f>
        <v>2.7235105264406521</v>
      </c>
      <c r="J242">
        <f>(NBA_2026_Results3[[#This Row],[Home Margin]]-NBA_2026_Results3[[#This Row],[Home Forecast]])^2</f>
        <v>314.12282538085259</v>
      </c>
    </row>
    <row r="243" spans="4:10" x14ac:dyDescent="0.2">
      <c r="D243" t="s">
        <v>13</v>
      </c>
      <c r="E243" t="s">
        <v>11</v>
      </c>
      <c r="F243">
        <v>133</v>
      </c>
      <c r="G243">
        <v>121</v>
      </c>
      <c r="H243">
        <v>12</v>
      </c>
      <c r="I243">
        <f>VLOOKUP(NBA_2026_Results3[[#This Row],[Home Team]], TeamRating, 2, FALSE) - VLOOKUP(NBA_2026_Results3[[#This Row],[Away Team]], TeamRating, 2, FALSE)+HomeEdge</f>
        <v>-2.5167880812604402</v>
      </c>
      <c r="J243">
        <f>(NBA_2026_Results3[[#This Row],[Home Margin]]-NBA_2026_Results3[[#This Row],[Home Forecast]])^2</f>
        <v>210.73713619622518</v>
      </c>
    </row>
    <row r="244" spans="4:10" x14ac:dyDescent="0.2">
      <c r="D244" t="s">
        <v>22</v>
      </c>
      <c r="E244" t="s">
        <v>17</v>
      </c>
      <c r="F244">
        <v>98</v>
      </c>
      <c r="G244">
        <v>115</v>
      </c>
      <c r="H244">
        <v>-17</v>
      </c>
      <c r="I244">
        <f>VLOOKUP(NBA_2026_Results3[[#This Row],[Home Team]], TeamRating, 2, FALSE) - VLOOKUP(NBA_2026_Results3[[#This Row],[Away Team]], TeamRating, 2, FALSE)+HomeEdge</f>
        <v>-3.5646302452118679</v>
      </c>
      <c r="J244">
        <f>(NBA_2026_Results3[[#This Row],[Home Margin]]-NBA_2026_Results3[[#This Row],[Home Forecast]])^2</f>
        <v>180.5091604478757</v>
      </c>
    </row>
    <row r="245" spans="4:10" x14ac:dyDescent="0.2">
      <c r="D245" t="s">
        <v>19</v>
      </c>
      <c r="E245" t="s">
        <v>24</v>
      </c>
      <c r="F245">
        <v>121</v>
      </c>
      <c r="G245">
        <v>120</v>
      </c>
      <c r="H245">
        <v>1</v>
      </c>
      <c r="I245">
        <f>VLOOKUP(NBA_2026_Results3[[#This Row],[Home Team]], TeamRating, 2, FALSE) - VLOOKUP(NBA_2026_Results3[[#This Row],[Away Team]], TeamRating, 2, FALSE)+HomeEdge</f>
        <v>8.8533354576988224</v>
      </c>
      <c r="J245">
        <f>(NBA_2026_Results3[[#This Row],[Home Margin]]-NBA_2026_Results3[[#This Row],[Home Forecast]])^2</f>
        <v>61.674877811149571</v>
      </c>
    </row>
    <row r="246" spans="4:10" x14ac:dyDescent="0.2">
      <c r="D246" t="s">
        <v>23</v>
      </c>
      <c r="E246" t="s">
        <v>20</v>
      </c>
      <c r="F246">
        <v>116</v>
      </c>
      <c r="G246">
        <v>129</v>
      </c>
      <c r="H246">
        <v>-13</v>
      </c>
      <c r="I246">
        <f>VLOOKUP(NBA_2026_Results3[[#This Row],[Home Team]], TeamRating, 2, FALSE) - VLOOKUP(NBA_2026_Results3[[#This Row],[Away Team]], TeamRating, 2, FALSE)+HomeEdge</f>
        <v>-7.6822867019853858</v>
      </c>
      <c r="J246">
        <f>(NBA_2026_Results3[[#This Row],[Home Margin]]-NBA_2026_Results3[[#This Row],[Home Forecast]])^2</f>
        <v>28.278074719881467</v>
      </c>
    </row>
    <row r="247" spans="4:10" x14ac:dyDescent="0.2">
      <c r="D247" t="s">
        <v>27</v>
      </c>
      <c r="E247" t="s">
        <v>21</v>
      </c>
      <c r="F247">
        <v>96</v>
      </c>
      <c r="G247">
        <v>102</v>
      </c>
      <c r="H247">
        <v>-6</v>
      </c>
      <c r="I247">
        <f>VLOOKUP(NBA_2026_Results3[[#This Row],[Home Team]], TeamRating, 2, FALSE) - VLOOKUP(NBA_2026_Results3[[#This Row],[Away Team]], TeamRating, 2, FALSE)+HomeEdge</f>
        <v>0.24060505691602541</v>
      </c>
      <c r="J247">
        <f>(NBA_2026_Results3[[#This Row],[Home Margin]]-NBA_2026_Results3[[#This Row],[Home Forecast]])^2</f>
        <v>38.945151476405869</v>
      </c>
    </row>
    <row r="248" spans="4:10" x14ac:dyDescent="0.2">
      <c r="D248" t="s">
        <v>34</v>
      </c>
      <c r="E248" t="s">
        <v>32</v>
      </c>
      <c r="F248">
        <v>123</v>
      </c>
      <c r="G248">
        <v>128</v>
      </c>
      <c r="H248">
        <v>-5</v>
      </c>
      <c r="I248">
        <f>VLOOKUP(NBA_2026_Results3[[#This Row],[Home Team]], TeamRating, 2, FALSE) - VLOOKUP(NBA_2026_Results3[[#This Row],[Away Team]], TeamRating, 2, FALSE)+HomeEdge</f>
        <v>13.595141149497032</v>
      </c>
      <c r="J248">
        <f>(NBA_2026_Results3[[#This Row],[Home Margin]]-NBA_2026_Results3[[#This Row],[Home Forecast]])^2</f>
        <v>345.77927436971777</v>
      </c>
    </row>
    <row r="249" spans="4:10" x14ac:dyDescent="0.2">
      <c r="D249" t="s">
        <v>16</v>
      </c>
      <c r="E249" t="s">
        <v>14</v>
      </c>
      <c r="F249">
        <v>117</v>
      </c>
      <c r="G249">
        <v>127</v>
      </c>
      <c r="H249">
        <v>-10</v>
      </c>
      <c r="I249">
        <f>VLOOKUP(NBA_2026_Results3[[#This Row],[Home Team]], TeamRating, 2, FALSE) - VLOOKUP(NBA_2026_Results3[[#This Row],[Away Team]], TeamRating, 2, FALSE)+HomeEdge</f>
        <v>-0.34123888171830563</v>
      </c>
      <c r="J249">
        <f>(NBA_2026_Results3[[#This Row],[Home Margin]]-NBA_2026_Results3[[#This Row],[Home Forecast]])^2</f>
        <v>93.291666340030233</v>
      </c>
    </row>
    <row r="250" spans="4:10" x14ac:dyDescent="0.2">
      <c r="D250" t="s">
        <v>17</v>
      </c>
      <c r="E250" t="s">
        <v>9</v>
      </c>
      <c r="F250">
        <v>113</v>
      </c>
      <c r="G250">
        <v>110</v>
      </c>
      <c r="H250">
        <v>3</v>
      </c>
      <c r="I250">
        <f>VLOOKUP(NBA_2026_Results3[[#This Row],[Home Team]], TeamRating, 2, FALSE) - VLOOKUP(NBA_2026_Results3[[#This Row],[Away Team]], TeamRating, 2, FALSE)+HomeEdge</f>
        <v>0.42314764322331211</v>
      </c>
      <c r="J250">
        <f>(NBA_2026_Results3[[#This Row],[Home Margin]]-NBA_2026_Results3[[#This Row],[Home Forecast]])^2</f>
        <v>6.6401680686255711</v>
      </c>
    </row>
    <row r="251" spans="4:10" x14ac:dyDescent="0.2">
      <c r="D251" t="s">
        <v>15</v>
      </c>
      <c r="E251" t="s">
        <v>13</v>
      </c>
      <c r="F251">
        <v>138</v>
      </c>
      <c r="G251">
        <v>129</v>
      </c>
      <c r="H251">
        <v>9</v>
      </c>
      <c r="I251">
        <f>VLOOKUP(NBA_2026_Results3[[#This Row],[Home Team]], TeamRating, 2, FALSE) - VLOOKUP(NBA_2026_Results3[[#This Row],[Away Team]], TeamRating, 2, FALSE)+HomeEdge</f>
        <v>7.1082512294917155</v>
      </c>
      <c r="J251">
        <f>(NBA_2026_Results3[[#This Row],[Home Margin]]-NBA_2026_Results3[[#This Row],[Home Forecast]])^2</f>
        <v>3.5787134107196059</v>
      </c>
    </row>
    <row r="252" spans="4:10" x14ac:dyDescent="0.2">
      <c r="D252" t="s">
        <v>12</v>
      </c>
      <c r="E252" t="s">
        <v>26</v>
      </c>
      <c r="F252">
        <v>120</v>
      </c>
      <c r="G252">
        <v>105</v>
      </c>
      <c r="H252">
        <v>15</v>
      </c>
      <c r="I252">
        <f>VLOOKUP(NBA_2026_Results3[[#This Row],[Home Team]], TeamRating, 2, FALSE) - VLOOKUP(NBA_2026_Results3[[#This Row],[Away Team]], TeamRating, 2, FALSE)+HomeEdge</f>
        <v>4.6151890540041549</v>
      </c>
      <c r="J252">
        <f>(NBA_2026_Results3[[#This Row],[Home Margin]]-NBA_2026_Results3[[#This Row],[Home Forecast]])^2</f>
        <v>107.84429838407512</v>
      </c>
    </row>
    <row r="253" spans="4:10" x14ac:dyDescent="0.2">
      <c r="D253" t="s">
        <v>18</v>
      </c>
      <c r="E253" t="s">
        <v>10</v>
      </c>
      <c r="F253">
        <v>119</v>
      </c>
      <c r="G253">
        <v>109</v>
      </c>
      <c r="H253">
        <v>10</v>
      </c>
      <c r="I253">
        <f>VLOOKUP(NBA_2026_Results3[[#This Row],[Home Team]], TeamRating, 2, FALSE) - VLOOKUP(NBA_2026_Results3[[#This Row],[Away Team]], TeamRating, 2, FALSE)+HomeEdge</f>
        <v>9.734481952922998</v>
      </c>
      <c r="J253">
        <f>(NBA_2026_Results3[[#This Row],[Home Margin]]-NBA_2026_Results3[[#This Row],[Home Forecast]])^2</f>
        <v>7.0499833323585046E-2</v>
      </c>
    </row>
    <row r="254" spans="4:10" x14ac:dyDescent="0.2">
      <c r="D254" t="s">
        <v>5</v>
      </c>
      <c r="E254" t="s">
        <v>29</v>
      </c>
      <c r="F254">
        <v>122</v>
      </c>
      <c r="G254">
        <v>95</v>
      </c>
      <c r="H254">
        <v>27</v>
      </c>
      <c r="I254">
        <f>VLOOKUP(NBA_2026_Results3[[#This Row],[Home Team]], TeamRating, 2, FALSE) - VLOOKUP(NBA_2026_Results3[[#This Row],[Away Team]], TeamRating, 2, FALSE)+HomeEdge</f>
        <v>14.212114033564095</v>
      </c>
      <c r="J254">
        <f>(NBA_2026_Results3[[#This Row],[Home Margin]]-NBA_2026_Results3[[#This Row],[Home Forecast]])^2</f>
        <v>163.53002749056836</v>
      </c>
    </row>
    <row r="255" spans="4:10" x14ac:dyDescent="0.2">
      <c r="D255" t="s">
        <v>31</v>
      </c>
      <c r="E255" t="s">
        <v>28</v>
      </c>
      <c r="F255">
        <v>111</v>
      </c>
      <c r="G255">
        <v>102</v>
      </c>
      <c r="H255">
        <v>9</v>
      </c>
      <c r="I255">
        <f>VLOOKUP(NBA_2026_Results3[[#This Row],[Home Team]], TeamRating, 2, FALSE) - VLOOKUP(NBA_2026_Results3[[#This Row],[Away Team]], TeamRating, 2, FALSE)+HomeEdge</f>
        <v>-0.30560760653163443</v>
      </c>
      <c r="J255">
        <f>(NBA_2026_Results3[[#This Row],[Home Margin]]-NBA_2026_Results3[[#This Row],[Home Forecast]])^2</f>
        <v>86.594332926739412</v>
      </c>
    </row>
    <row r="256" spans="4:10" x14ac:dyDescent="0.2">
      <c r="D256" t="s">
        <v>25</v>
      </c>
      <c r="E256" t="s">
        <v>7</v>
      </c>
      <c r="F256">
        <v>106</v>
      </c>
      <c r="G256">
        <v>108</v>
      </c>
      <c r="H256">
        <v>-2</v>
      </c>
      <c r="I256">
        <f>VLOOKUP(NBA_2026_Results3[[#This Row],[Home Team]], TeamRating, 2, FALSE) - VLOOKUP(NBA_2026_Results3[[#This Row],[Away Team]], TeamRating, 2, FALSE)+HomeEdge</f>
        <v>-5.2011809982104111</v>
      </c>
      <c r="J256">
        <f>(NBA_2026_Results3[[#This Row],[Home Margin]]-NBA_2026_Results3[[#This Row],[Home Forecast]])^2</f>
        <v>10.247559783303405</v>
      </c>
    </row>
    <row r="257" spans="4:10" x14ac:dyDescent="0.2">
      <c r="D257" t="s">
        <v>33</v>
      </c>
      <c r="E257" t="s">
        <v>20</v>
      </c>
      <c r="F257">
        <v>117</v>
      </c>
      <c r="G257">
        <v>122</v>
      </c>
      <c r="H257">
        <v>-5</v>
      </c>
      <c r="I257">
        <f>VLOOKUP(NBA_2026_Results3[[#This Row],[Home Team]], TeamRating, 2, FALSE) - VLOOKUP(NBA_2026_Results3[[#This Row],[Away Team]], TeamRating, 2, FALSE)+HomeEdge</f>
        <v>-10.980096817817032</v>
      </c>
      <c r="J257">
        <f>(NBA_2026_Results3[[#This Row],[Home Margin]]-NBA_2026_Results3[[#This Row],[Home Forecast]])^2</f>
        <v>35.761557950465388</v>
      </c>
    </row>
    <row r="258" spans="4:10" x14ac:dyDescent="0.2">
      <c r="D258" t="s">
        <v>18</v>
      </c>
      <c r="E258" t="s">
        <v>12</v>
      </c>
      <c r="F258">
        <v>110</v>
      </c>
      <c r="G258">
        <v>99</v>
      </c>
      <c r="H258">
        <v>11</v>
      </c>
      <c r="I258">
        <f>VLOOKUP(NBA_2026_Results3[[#This Row],[Home Team]], TeamRating, 2, FALSE) - VLOOKUP(NBA_2026_Results3[[#This Row],[Away Team]], TeamRating, 2, FALSE)+HomeEdge</f>
        <v>0.16381812616888825</v>
      </c>
      <c r="J258">
        <f>(NBA_2026_Results3[[#This Row],[Home Margin]]-NBA_2026_Results3[[#This Row],[Home Forecast]])^2</f>
        <v>117.42283760274596</v>
      </c>
    </row>
    <row r="259" spans="4:10" x14ac:dyDescent="0.2">
      <c r="D259" t="s">
        <v>10</v>
      </c>
      <c r="E259" t="s">
        <v>11</v>
      </c>
      <c r="F259">
        <v>100</v>
      </c>
      <c r="G259">
        <v>113</v>
      </c>
      <c r="H259">
        <v>-13</v>
      </c>
      <c r="I259">
        <f>VLOOKUP(NBA_2026_Results3[[#This Row],[Home Team]], TeamRating, 2, FALSE) - VLOOKUP(NBA_2026_Results3[[#This Row],[Away Team]], TeamRating, 2, FALSE)+HomeEdge</f>
        <v>-9.2518993428135481</v>
      </c>
      <c r="J259">
        <f>(NBA_2026_Results3[[#This Row],[Home Margin]]-NBA_2026_Results3[[#This Row],[Home Forecast]])^2</f>
        <v>14.048258536401512</v>
      </c>
    </row>
    <row r="260" spans="4:10" x14ac:dyDescent="0.2">
      <c r="D260" t="s">
        <v>14</v>
      </c>
      <c r="E260" t="s">
        <v>27</v>
      </c>
      <c r="F260">
        <v>106</v>
      </c>
      <c r="G260">
        <v>102</v>
      </c>
      <c r="H260">
        <v>4</v>
      </c>
      <c r="I260">
        <f>VLOOKUP(NBA_2026_Results3[[#This Row],[Home Team]], TeamRating, 2, FALSE) - VLOOKUP(NBA_2026_Results3[[#This Row],[Away Team]], TeamRating, 2, FALSE)+HomeEdge</f>
        <v>7.2738634911131808</v>
      </c>
      <c r="J260">
        <f>(NBA_2026_Results3[[#This Row],[Home Margin]]-NBA_2026_Results3[[#This Row],[Home Forecast]])^2</f>
        <v>10.718182158443783</v>
      </c>
    </row>
    <row r="261" spans="4:10" x14ac:dyDescent="0.2">
      <c r="D261" t="s">
        <v>21</v>
      </c>
      <c r="E261" t="s">
        <v>34</v>
      </c>
      <c r="F261">
        <v>115</v>
      </c>
      <c r="G261">
        <v>125</v>
      </c>
      <c r="H261">
        <v>-10</v>
      </c>
      <c r="I261">
        <f>VLOOKUP(NBA_2026_Results3[[#This Row],[Home Team]], TeamRating, 2, FALSE) - VLOOKUP(NBA_2026_Results3[[#This Row],[Away Team]], TeamRating, 2, FALSE)+HomeEdge</f>
        <v>-3.0025040135358134</v>
      </c>
      <c r="J261">
        <f>(NBA_2026_Results3[[#This Row],[Home Margin]]-NBA_2026_Results3[[#This Row],[Home Forecast]])^2</f>
        <v>48.964950080582398</v>
      </c>
    </row>
    <row r="262" spans="4:10" x14ac:dyDescent="0.2">
      <c r="D262" t="s">
        <v>23</v>
      </c>
      <c r="E262" t="s">
        <v>29</v>
      </c>
      <c r="F262">
        <v>103</v>
      </c>
      <c r="G262">
        <v>115</v>
      </c>
      <c r="H262">
        <v>-12</v>
      </c>
      <c r="I262">
        <f>VLOOKUP(NBA_2026_Results3[[#This Row],[Home Team]], TeamRating, 2, FALSE) - VLOOKUP(NBA_2026_Results3[[#This Row],[Away Team]], TeamRating, 2, FALSE)+HomeEdge</f>
        <v>-1.2541167179182029</v>
      </c>
      <c r="J262">
        <f>(NBA_2026_Results3[[#This Row],[Home Margin]]-NBA_2026_Results3[[#This Row],[Home Forecast]])^2</f>
        <v>115.47400751212506</v>
      </c>
    </row>
    <row r="263" spans="4:10" x14ac:dyDescent="0.2">
      <c r="D263" t="s">
        <v>22</v>
      </c>
      <c r="E263" t="s">
        <v>19</v>
      </c>
      <c r="F263">
        <v>143</v>
      </c>
      <c r="G263">
        <v>130</v>
      </c>
      <c r="H263">
        <v>13</v>
      </c>
      <c r="I263">
        <f>VLOOKUP(NBA_2026_Results3[[#This Row],[Home Team]], TeamRating, 2, FALSE) - VLOOKUP(NBA_2026_Results3[[#This Row],[Away Team]], TeamRating, 2, FALSE)+HomeEdge</f>
        <v>-1.1128840776539759</v>
      </c>
      <c r="J263">
        <f>(NBA_2026_Results3[[#This Row],[Home Margin]]-NBA_2026_Results3[[#This Row],[Home Forecast]])^2</f>
        <v>199.17349698929914</v>
      </c>
    </row>
    <row r="264" spans="4:10" x14ac:dyDescent="0.2">
      <c r="D264" t="s">
        <v>31</v>
      </c>
      <c r="E264" t="s">
        <v>6</v>
      </c>
      <c r="F264">
        <v>92</v>
      </c>
      <c r="G264">
        <v>114</v>
      </c>
      <c r="H264">
        <v>-22</v>
      </c>
      <c r="I264">
        <f>VLOOKUP(NBA_2026_Results3[[#This Row],[Home Team]], TeamRating, 2, FALSE) - VLOOKUP(NBA_2026_Results3[[#This Row],[Away Team]], TeamRating, 2, FALSE)+HomeEdge</f>
        <v>-1.0864323948535017</v>
      </c>
      <c r="J264">
        <f>(NBA_2026_Results3[[#This Row],[Home Margin]]-NBA_2026_Results3[[#This Row],[Home Forecast]])^2</f>
        <v>437.37730997503297</v>
      </c>
    </row>
    <row r="265" spans="4:10" x14ac:dyDescent="0.2">
      <c r="D265" t="s">
        <v>8</v>
      </c>
      <c r="E265" t="s">
        <v>25</v>
      </c>
      <c r="F265">
        <v>134</v>
      </c>
      <c r="G265">
        <v>117</v>
      </c>
      <c r="H265">
        <v>17</v>
      </c>
      <c r="I265">
        <f>VLOOKUP(NBA_2026_Results3[[#This Row],[Home Team]], TeamRating, 2, FALSE) - VLOOKUP(NBA_2026_Results3[[#This Row],[Away Team]], TeamRating, 2, FALSE)+HomeEdge</f>
        <v>12.416128940115428</v>
      </c>
      <c r="J265">
        <f>(NBA_2026_Results3[[#This Row],[Home Margin]]-NBA_2026_Results3[[#This Row],[Home Forecast]])^2</f>
        <v>21.011873893647312</v>
      </c>
    </row>
    <row r="266" spans="4:10" x14ac:dyDescent="0.2">
      <c r="D266" t="s">
        <v>32</v>
      </c>
      <c r="E266" t="s">
        <v>30</v>
      </c>
      <c r="F266">
        <v>117</v>
      </c>
      <c r="G266">
        <v>112</v>
      </c>
      <c r="H266">
        <v>5</v>
      </c>
      <c r="I266">
        <f>VLOOKUP(NBA_2026_Results3[[#This Row],[Home Team]], TeamRating, 2, FALSE) - VLOOKUP(NBA_2026_Results3[[#This Row],[Away Team]], TeamRating, 2, FALSE)+HomeEdge</f>
        <v>-11.129618461323592</v>
      </c>
      <c r="J266">
        <f>(NBA_2026_Results3[[#This Row],[Home Margin]]-NBA_2026_Results3[[#This Row],[Home Forecast]])^2</f>
        <v>260.16459170787084</v>
      </c>
    </row>
    <row r="267" spans="4:10" x14ac:dyDescent="0.2">
      <c r="D267" t="s">
        <v>24</v>
      </c>
      <c r="E267" t="s">
        <v>17</v>
      </c>
      <c r="F267">
        <v>132</v>
      </c>
      <c r="G267">
        <v>113</v>
      </c>
      <c r="H267">
        <v>19</v>
      </c>
      <c r="I267">
        <f>VLOOKUP(NBA_2026_Results3[[#This Row],[Home Team]], TeamRating, 2, FALSE) - VLOOKUP(NBA_2026_Results3[[#This Row],[Away Team]], TeamRating, 2, FALSE)+HomeEdge</f>
        <v>-7.6902906229230874</v>
      </c>
      <c r="J267">
        <f>(NBA_2026_Results3[[#This Row],[Home Margin]]-NBA_2026_Results3[[#This Row],[Home Forecast]])^2</f>
        <v>712.37161353609599</v>
      </c>
    </row>
    <row r="268" spans="4:10" x14ac:dyDescent="0.2">
      <c r="D268" t="s">
        <v>16</v>
      </c>
      <c r="E268" t="s">
        <v>13</v>
      </c>
      <c r="F268">
        <v>103</v>
      </c>
      <c r="G268">
        <v>144</v>
      </c>
      <c r="H268">
        <v>-41</v>
      </c>
      <c r="I268">
        <f>VLOOKUP(NBA_2026_Results3[[#This Row],[Home Team]], TeamRating, 2, FALSE) - VLOOKUP(NBA_2026_Results3[[#This Row],[Away Team]], TeamRating, 2, FALSE)+HomeEdge</f>
        <v>1.87775372822345</v>
      </c>
      <c r="J268">
        <f>(NBA_2026_Results3[[#This Row],[Home Margin]]-NBA_2026_Results3[[#This Row],[Home Forecast]])^2</f>
        <v>1838.5017647781804</v>
      </c>
    </row>
    <row r="269" spans="4:10" x14ac:dyDescent="0.2">
      <c r="D269" t="s">
        <v>7</v>
      </c>
      <c r="E269" t="s">
        <v>26</v>
      </c>
      <c r="F269">
        <v>135</v>
      </c>
      <c r="G269">
        <v>118</v>
      </c>
      <c r="H269">
        <v>17</v>
      </c>
      <c r="I269">
        <f>VLOOKUP(NBA_2026_Results3[[#This Row],[Home Team]], TeamRating, 2, FALSE) - VLOOKUP(NBA_2026_Results3[[#This Row],[Away Team]], TeamRating, 2, FALSE)+HomeEdge</f>
        <v>1.0066503669518001</v>
      </c>
      <c r="J269">
        <f>(NBA_2026_Results3[[#This Row],[Home Margin]]-NBA_2026_Results3[[#This Row],[Home Forecast]])^2</f>
        <v>255.78723248492301</v>
      </c>
    </row>
    <row r="270" spans="4:10" x14ac:dyDescent="0.2">
      <c r="D270" t="s">
        <v>15</v>
      </c>
      <c r="E270" t="s">
        <v>20</v>
      </c>
      <c r="F270">
        <v>117</v>
      </c>
      <c r="G270">
        <v>114</v>
      </c>
      <c r="H270">
        <v>3</v>
      </c>
      <c r="I270">
        <f>VLOOKUP(NBA_2026_Results3[[#This Row],[Home Team]], TeamRating, 2, FALSE) - VLOOKUP(NBA_2026_Results3[[#This Row],[Away Team]], TeamRating, 2, FALSE)+HomeEdge</f>
        <v>1.6921947778351836</v>
      </c>
      <c r="J270">
        <f>(NBA_2026_Results3[[#This Row],[Home Margin]]-NBA_2026_Results3[[#This Row],[Home Forecast]])^2</f>
        <v>1.7103544991215649</v>
      </c>
    </row>
    <row r="271" spans="4:10" x14ac:dyDescent="0.2">
      <c r="D271" t="s">
        <v>9</v>
      </c>
      <c r="E271" t="s">
        <v>11</v>
      </c>
      <c r="F271">
        <v>101</v>
      </c>
      <c r="G271">
        <v>129</v>
      </c>
      <c r="H271">
        <v>-28</v>
      </c>
      <c r="I271">
        <f>VLOOKUP(NBA_2026_Results3[[#This Row],[Home Team]], TeamRating, 2, FALSE) - VLOOKUP(NBA_2026_Results3[[#This Row],[Away Team]], TeamRating, 2, FALSE)+HomeEdge</f>
        <v>-1.572914043622939</v>
      </c>
      <c r="J271">
        <f>(NBA_2026_Results3[[#This Row],[Home Margin]]-NBA_2026_Results3[[#This Row],[Home Forecast]])^2</f>
        <v>698.39087214574181</v>
      </c>
    </row>
    <row r="272" spans="4:10" x14ac:dyDescent="0.2">
      <c r="D272" t="s">
        <v>14</v>
      </c>
      <c r="E272" t="s">
        <v>23</v>
      </c>
      <c r="F272">
        <v>106</v>
      </c>
      <c r="G272">
        <v>103</v>
      </c>
      <c r="H272">
        <v>3</v>
      </c>
      <c r="I272">
        <f>VLOOKUP(NBA_2026_Results3[[#This Row],[Home Team]], TeamRating, 2, FALSE) - VLOOKUP(NBA_2026_Results3[[#This Row],[Away Team]], TeamRating, 2, FALSE)+HomeEdge</f>
        <v>8.1000138626042357</v>
      </c>
      <c r="J272">
        <f>(NBA_2026_Results3[[#This Row],[Home Margin]]-NBA_2026_Results3[[#This Row],[Home Forecast]])^2</f>
        <v>26.010141398755376</v>
      </c>
    </row>
    <row r="273" spans="4:10" x14ac:dyDescent="0.2">
      <c r="D273" t="s">
        <v>5</v>
      </c>
      <c r="E273" t="s">
        <v>30</v>
      </c>
      <c r="F273">
        <v>113</v>
      </c>
      <c r="G273">
        <v>105</v>
      </c>
      <c r="H273">
        <v>8</v>
      </c>
      <c r="I273">
        <f>VLOOKUP(NBA_2026_Results3[[#This Row],[Home Team]], TeamRating, 2, FALSE) - VLOOKUP(NBA_2026_Results3[[#This Row],[Away Team]], TeamRating, 2, FALSE)+HomeEdge</f>
        <v>8.9215176080444571</v>
      </c>
      <c r="J273">
        <f>(NBA_2026_Results3[[#This Row],[Home Margin]]-NBA_2026_Results3[[#This Row],[Home Forecast]])^2</f>
        <v>0.84919470193597779</v>
      </c>
    </row>
    <row r="274" spans="4:10" x14ac:dyDescent="0.2">
      <c r="D274" t="s">
        <v>18</v>
      </c>
      <c r="E274" t="s">
        <v>33</v>
      </c>
      <c r="F274">
        <v>97</v>
      </c>
      <c r="G274">
        <v>95</v>
      </c>
      <c r="H274">
        <v>2</v>
      </c>
      <c r="I274">
        <f>VLOOKUP(NBA_2026_Results3[[#This Row],[Home Team]], TeamRating, 2, FALSE) - VLOOKUP(NBA_2026_Results3[[#This Row],[Away Team]], TeamRating, 2, FALSE)+HomeEdge</f>
        <v>10.370806558697204</v>
      </c>
      <c r="J274">
        <f>(NBA_2026_Results3[[#This Row],[Home Margin]]-NBA_2026_Results3[[#This Row],[Home Forecast]])^2</f>
        <v>70.070402443128131</v>
      </c>
    </row>
    <row r="275" spans="4:10" x14ac:dyDescent="0.2">
      <c r="D275" t="s">
        <v>22</v>
      </c>
      <c r="E275" t="s">
        <v>21</v>
      </c>
      <c r="F275">
        <v>128</v>
      </c>
      <c r="G275">
        <v>133</v>
      </c>
      <c r="H275">
        <v>-5</v>
      </c>
      <c r="I275">
        <f>VLOOKUP(NBA_2026_Results3[[#This Row],[Home Team]], TeamRating, 2, FALSE) - VLOOKUP(NBA_2026_Results3[[#This Row],[Away Team]], TeamRating, 2, FALSE)+HomeEdge</f>
        <v>-2.324319129764044</v>
      </c>
      <c r="J275">
        <f>(NBA_2026_Results3[[#This Row],[Home Margin]]-NBA_2026_Results3[[#This Row],[Home Forecast]])^2</f>
        <v>7.1592681193466428</v>
      </c>
    </row>
    <row r="276" spans="4:10" x14ac:dyDescent="0.2">
      <c r="D276" t="s">
        <v>8</v>
      </c>
      <c r="E276" t="s">
        <v>6</v>
      </c>
      <c r="F276">
        <v>100</v>
      </c>
      <c r="G276">
        <v>104</v>
      </c>
      <c r="H276">
        <v>-4</v>
      </c>
      <c r="I276">
        <f>VLOOKUP(NBA_2026_Results3[[#This Row],[Home Team]], TeamRating, 2, FALSE) - VLOOKUP(NBA_2026_Results3[[#This Row],[Away Team]], TeamRating, 2, FALSE)+HomeEdge</f>
        <v>-1.1892739356420918</v>
      </c>
      <c r="J276">
        <f>(NBA_2026_Results3[[#This Row],[Home Margin]]-NBA_2026_Results3[[#This Row],[Home Forecast]])^2</f>
        <v>7.9001810088608959</v>
      </c>
    </row>
    <row r="277" spans="4:10" x14ac:dyDescent="0.2">
      <c r="D277" t="s">
        <v>29</v>
      </c>
      <c r="E277" t="s">
        <v>28</v>
      </c>
      <c r="F277">
        <v>102</v>
      </c>
      <c r="G277">
        <v>115</v>
      </c>
      <c r="H277">
        <v>-13</v>
      </c>
      <c r="I277">
        <f>VLOOKUP(NBA_2026_Results3[[#This Row],[Home Team]], TeamRating, 2, FALSE) - VLOOKUP(NBA_2026_Results3[[#This Row],[Away Team]], TeamRating, 2, FALSE)+HomeEdge</f>
        <v>-4.2477334974509136</v>
      </c>
      <c r="J277">
        <f>(NBA_2026_Results3[[#This Row],[Home Margin]]-NBA_2026_Results3[[#This Row],[Home Forecast]])^2</f>
        <v>76.602168931642836</v>
      </c>
    </row>
    <row r="278" spans="4:10" x14ac:dyDescent="0.2">
      <c r="D278" t="s">
        <v>32</v>
      </c>
      <c r="E278" t="s">
        <v>31</v>
      </c>
      <c r="F278">
        <v>100</v>
      </c>
      <c r="G278">
        <v>112</v>
      </c>
      <c r="H278">
        <v>-12</v>
      </c>
      <c r="I278">
        <f>VLOOKUP(NBA_2026_Results3[[#This Row],[Home Team]], TeamRating, 2, FALSE) - VLOOKUP(NBA_2026_Results3[[#This Row],[Away Team]], TeamRating, 2, FALSE)+HomeEdge</f>
        <v>-9.7811479267232322</v>
      </c>
      <c r="J278">
        <f>(NBA_2026_Results3[[#This Row],[Home Margin]]-NBA_2026_Results3[[#This Row],[Home Forecast]])^2</f>
        <v>4.9233045230846111</v>
      </c>
    </row>
    <row r="279" spans="4:10" x14ac:dyDescent="0.2">
      <c r="D279" t="s">
        <v>17</v>
      </c>
      <c r="E279" t="s">
        <v>12</v>
      </c>
      <c r="F279">
        <v>130</v>
      </c>
      <c r="G279">
        <v>123</v>
      </c>
      <c r="H279">
        <v>7</v>
      </c>
      <c r="I279">
        <f>VLOOKUP(NBA_2026_Results3[[#This Row],[Home Team]], TeamRating, 2, FALSE) - VLOOKUP(NBA_2026_Results3[[#This Row],[Away Team]], TeamRating, 2, FALSE)+HomeEdge</f>
        <v>-1.4685308843401899</v>
      </c>
      <c r="J279">
        <f>(NBA_2026_Results3[[#This Row],[Home Margin]]-NBA_2026_Results3[[#This Row],[Home Forecast]])^2</f>
        <v>71.716015339023642</v>
      </c>
    </row>
    <row r="280" spans="4:10" x14ac:dyDescent="0.2">
      <c r="D280" t="s">
        <v>10</v>
      </c>
      <c r="E280" t="s">
        <v>16</v>
      </c>
      <c r="F280">
        <v>103</v>
      </c>
      <c r="G280">
        <v>115</v>
      </c>
      <c r="H280">
        <v>-12</v>
      </c>
      <c r="I280">
        <f>VLOOKUP(NBA_2026_Results3[[#This Row],[Home Team]], TeamRating, 2, FALSE) - VLOOKUP(NBA_2026_Results3[[#This Row],[Away Team]], TeamRating, 2, FALSE)+HomeEdge</f>
        <v>-4.998073987442929</v>
      </c>
      <c r="J280">
        <f>(NBA_2026_Results3[[#This Row],[Home Margin]]-NBA_2026_Results3[[#This Row],[Home Forecast]])^2</f>
        <v>49.026967885323366</v>
      </c>
    </row>
    <row r="281" spans="4:10" x14ac:dyDescent="0.2">
      <c r="D281" t="s">
        <v>9</v>
      </c>
      <c r="E281" t="s">
        <v>19</v>
      </c>
      <c r="F281">
        <v>123</v>
      </c>
      <c r="G281">
        <v>116</v>
      </c>
      <c r="H281">
        <v>7</v>
      </c>
      <c r="I281">
        <f>VLOOKUP(NBA_2026_Results3[[#This Row],[Home Team]], TeamRating, 2, FALSE) - VLOOKUP(NBA_2026_Results3[[#This Row],[Away Team]], TeamRating, 2, FALSE)+HomeEdge</f>
        <v>5.6433895266682068</v>
      </c>
      <c r="J281">
        <f>(NBA_2026_Results3[[#This Row],[Home Margin]]-NBA_2026_Results3[[#This Row],[Home Forecast]])^2</f>
        <v>1.8403919763535119</v>
      </c>
    </row>
    <row r="282" spans="4:10" x14ac:dyDescent="0.2">
      <c r="D282" t="s">
        <v>20</v>
      </c>
      <c r="E282" t="s">
        <v>13</v>
      </c>
      <c r="F282">
        <v>109</v>
      </c>
      <c r="G282">
        <v>112</v>
      </c>
      <c r="H282">
        <v>-3</v>
      </c>
      <c r="I282">
        <f>VLOOKUP(NBA_2026_Results3[[#This Row],[Home Team]], TeamRating, 2, FALSE) - VLOOKUP(NBA_2026_Results3[[#This Row],[Away Team]], TeamRating, 2, FALSE)+HomeEdge</f>
        <v>7.2234519528233454</v>
      </c>
      <c r="J282">
        <f>(NBA_2026_Results3[[#This Row],[Home Margin]]-NBA_2026_Results3[[#This Row],[Home Forecast]])^2</f>
        <v>104.5189698316875</v>
      </c>
    </row>
    <row r="283" spans="4:10" x14ac:dyDescent="0.2">
      <c r="D283" t="s">
        <v>33</v>
      </c>
      <c r="E283" t="s">
        <v>24</v>
      </c>
      <c r="F283">
        <v>119</v>
      </c>
      <c r="G283">
        <v>86</v>
      </c>
      <c r="H283">
        <v>33</v>
      </c>
      <c r="I283">
        <f>VLOOKUP(NBA_2026_Results3[[#This Row],[Home Team]], TeamRating, 2, FALSE) - VLOOKUP(NBA_2026_Results3[[#This Row],[Away Team]], TeamRating, 2, FALSE)+HomeEdge</f>
        <v>4.3740195782354032</v>
      </c>
      <c r="J283">
        <f>(NBA_2026_Results3[[#This Row],[Home Margin]]-NBA_2026_Results3[[#This Row],[Home Forecast]])^2</f>
        <v>819.44675510724994</v>
      </c>
    </row>
    <row r="284" spans="4:10" x14ac:dyDescent="0.2">
      <c r="D284" t="s">
        <v>11</v>
      </c>
      <c r="E284" t="s">
        <v>23</v>
      </c>
      <c r="F284">
        <v>118</v>
      </c>
      <c r="G284">
        <v>109</v>
      </c>
      <c r="H284">
        <v>9</v>
      </c>
      <c r="I284">
        <f>VLOOKUP(NBA_2026_Results3[[#This Row],[Home Team]], TeamRating, 2, FALSE) - VLOOKUP(NBA_2026_Results3[[#This Row],[Away Team]], TeamRating, 2, FALSE)+HomeEdge</f>
        <v>10.205204835089734</v>
      </c>
      <c r="J284">
        <f>(NBA_2026_Results3[[#This Row],[Home Margin]]-NBA_2026_Results3[[#This Row],[Home Forecast]])^2</f>
        <v>1.4525186945236739</v>
      </c>
    </row>
    <row r="285" spans="4:10" x14ac:dyDescent="0.2">
      <c r="D285" t="s">
        <v>34</v>
      </c>
      <c r="E285" t="s">
        <v>28</v>
      </c>
      <c r="F285">
        <v>136</v>
      </c>
      <c r="G285">
        <v>139</v>
      </c>
      <c r="H285">
        <v>-3</v>
      </c>
      <c r="I285">
        <f>VLOOKUP(NBA_2026_Results3[[#This Row],[Home Team]], TeamRating, 2, FALSE) - VLOOKUP(NBA_2026_Results3[[#This Row],[Away Team]], TeamRating, 2, FALSE)+HomeEdge</f>
        <v>-0.10640538609145933</v>
      </c>
      <c r="J285">
        <f>(NBA_2026_Results3[[#This Row],[Home Margin]]-NBA_2026_Results3[[#This Row],[Home Forecast]])^2</f>
        <v>8.3728897896405172</v>
      </c>
    </row>
    <row r="286" spans="4:10" x14ac:dyDescent="0.2">
      <c r="D286" t="s">
        <v>5</v>
      </c>
      <c r="E286" t="s">
        <v>31</v>
      </c>
      <c r="F286">
        <v>123</v>
      </c>
      <c r="G286">
        <v>119</v>
      </c>
      <c r="H286">
        <v>4</v>
      </c>
      <c r="I286">
        <f>VLOOKUP(NBA_2026_Results3[[#This Row],[Home Team]], TeamRating, 2, FALSE) - VLOOKUP(NBA_2026_Results3[[#This Row],[Away Team]], TeamRating, 2, FALSE)+HomeEdge</f>
        <v>10.269988142644817</v>
      </c>
      <c r="J286">
        <f>(NBA_2026_Results3[[#This Row],[Home Margin]]-NBA_2026_Results3[[#This Row],[Home Forecast]])^2</f>
        <v>39.312751308906599</v>
      </c>
    </row>
    <row r="287" spans="4:10" x14ac:dyDescent="0.2">
      <c r="D287" t="s">
        <v>25</v>
      </c>
      <c r="E287" t="s">
        <v>32</v>
      </c>
      <c r="F287">
        <v>128</v>
      </c>
      <c r="G287">
        <v>119</v>
      </c>
      <c r="H287">
        <v>9</v>
      </c>
      <c r="I287">
        <f>VLOOKUP(NBA_2026_Results3[[#This Row],[Home Team]], TeamRating, 2, FALSE) - VLOOKUP(NBA_2026_Results3[[#This Row],[Away Team]], TeamRating, 2, FALSE)+HomeEdge</f>
        <v>2.6843639493196543</v>
      </c>
      <c r="J287">
        <f>(NBA_2026_Results3[[#This Row],[Home Margin]]-NBA_2026_Results3[[#This Row],[Home Forecast]])^2</f>
        <v>39.887258724653236</v>
      </c>
    </row>
    <row r="288" spans="4:10" x14ac:dyDescent="0.2">
      <c r="D288" t="s">
        <v>26</v>
      </c>
      <c r="E288" t="s">
        <v>21</v>
      </c>
      <c r="F288">
        <v>107</v>
      </c>
      <c r="G288">
        <v>112</v>
      </c>
      <c r="H288">
        <v>-5</v>
      </c>
      <c r="I288">
        <f>VLOOKUP(NBA_2026_Results3[[#This Row],[Home Team]], TeamRating, 2, FALSE) - VLOOKUP(NBA_2026_Results3[[#This Row],[Away Team]], TeamRating, 2, FALSE)+HomeEdge</f>
        <v>3.5158394492843001</v>
      </c>
      <c r="J288">
        <f>(NBA_2026_Results3[[#This Row],[Home Margin]]-NBA_2026_Results3[[#This Row],[Home Forecast]])^2</f>
        <v>72.519521525986733</v>
      </c>
    </row>
    <row r="289" spans="4:10" x14ac:dyDescent="0.2">
      <c r="D289" t="s">
        <v>7</v>
      </c>
      <c r="E289" t="s">
        <v>27</v>
      </c>
      <c r="F289">
        <v>129</v>
      </c>
      <c r="G289">
        <v>119</v>
      </c>
      <c r="H289">
        <v>10</v>
      </c>
      <c r="I289">
        <f>VLOOKUP(NBA_2026_Results3[[#This Row],[Home Team]], TeamRating, 2, FALSE) - VLOOKUP(NBA_2026_Results3[[#This Row],[Away Team]], TeamRating, 2, FALSE)+HomeEdge</f>
        <v>4.2818847593200751</v>
      </c>
      <c r="J289">
        <f>(NBA_2026_Results3[[#This Row],[Home Margin]]-NBA_2026_Results3[[#This Row],[Home Forecast]])^2</f>
        <v>32.696841905696033</v>
      </c>
    </row>
    <row r="290" spans="4:10" x14ac:dyDescent="0.2">
      <c r="D290" t="s">
        <v>30</v>
      </c>
      <c r="E290" t="s">
        <v>15</v>
      </c>
      <c r="F290">
        <v>119</v>
      </c>
      <c r="G290">
        <v>115</v>
      </c>
      <c r="H290">
        <v>4</v>
      </c>
      <c r="I290">
        <f>VLOOKUP(NBA_2026_Results3[[#This Row],[Home Team]], TeamRating, 2, FALSE) - VLOOKUP(NBA_2026_Results3[[#This Row],[Away Team]], TeamRating, 2, FALSE)+HomeEdge</f>
        <v>0.78502266595089942</v>
      </c>
      <c r="J290">
        <f>(NBA_2026_Results3[[#This Row],[Home Margin]]-NBA_2026_Results3[[#This Row],[Home Forecast]])^2</f>
        <v>10.336079258449463</v>
      </c>
    </row>
    <row r="291" spans="4:10" x14ac:dyDescent="0.2">
      <c r="D291" t="s">
        <v>9</v>
      </c>
      <c r="E291" t="s">
        <v>18</v>
      </c>
      <c r="F291">
        <v>118</v>
      </c>
      <c r="G291">
        <v>111</v>
      </c>
      <c r="H291">
        <v>7</v>
      </c>
      <c r="I291">
        <f>VLOOKUP(NBA_2026_Results3[[#This Row],[Home Team]], TeamRating, 2, FALSE) - VLOOKUP(NBA_2026_Results3[[#This Row],[Away Team]], TeamRating, 2, FALSE)+HomeEdge</f>
        <v>1.5592943486012365</v>
      </c>
      <c r="J291">
        <f>(NBA_2026_Results3[[#This Row],[Home Margin]]-NBA_2026_Results3[[#This Row],[Home Forecast]])^2</f>
        <v>29.601277985162447</v>
      </c>
    </row>
    <row r="292" spans="4:10" x14ac:dyDescent="0.2">
      <c r="D292" t="s">
        <v>33</v>
      </c>
      <c r="E292" t="s">
        <v>19</v>
      </c>
      <c r="F292">
        <v>103</v>
      </c>
      <c r="G292">
        <v>101</v>
      </c>
      <c r="H292">
        <v>2</v>
      </c>
      <c r="I292">
        <f>VLOOKUP(NBA_2026_Results3[[#This Row],[Home Team]], TeamRating, 2, FALSE) - VLOOKUP(NBA_2026_Results3[[#This Row],[Away Team]], TeamRating, 2, FALSE)+HomeEdge</f>
        <v>-2.6719203782966057</v>
      </c>
      <c r="J292">
        <f>(NBA_2026_Results3[[#This Row],[Home Margin]]-NBA_2026_Results3[[#This Row],[Home Forecast]])^2</f>
        <v>21.826840021143099</v>
      </c>
    </row>
    <row r="293" spans="4:10" x14ac:dyDescent="0.2">
      <c r="D293" t="s">
        <v>14</v>
      </c>
      <c r="E293" t="s">
        <v>20</v>
      </c>
      <c r="F293">
        <v>135</v>
      </c>
      <c r="G293">
        <v>138</v>
      </c>
      <c r="H293">
        <v>-3</v>
      </c>
      <c r="I293">
        <f>VLOOKUP(NBA_2026_Results3[[#This Row],[Home Team]], TeamRating, 2, FALSE) - VLOOKUP(NBA_2026_Results3[[#This Row],[Away Team]], TeamRating, 2, FALSE)+HomeEdge</f>
        <v>-1.3896683405479631</v>
      </c>
      <c r="J293">
        <f>(NBA_2026_Results3[[#This Row],[Home Margin]]-NBA_2026_Results3[[#This Row],[Home Forecast]])^2</f>
        <v>2.5931680534335508</v>
      </c>
    </row>
    <row r="294" spans="4:10" x14ac:dyDescent="0.2">
      <c r="D294" t="s">
        <v>23</v>
      </c>
      <c r="E294" t="s">
        <v>10</v>
      </c>
      <c r="F294">
        <v>116</v>
      </c>
      <c r="G294">
        <v>99</v>
      </c>
      <c r="H294">
        <v>17</v>
      </c>
      <c r="I294">
        <f>VLOOKUP(NBA_2026_Results3[[#This Row],[Home Team]], TeamRating, 2, FALSE) - VLOOKUP(NBA_2026_Results3[[#This Row],[Away Team]], TeamRating, 2, FALSE)+HomeEdge</f>
        <v>4.4688810112242523</v>
      </c>
      <c r="J294">
        <f>(NBA_2026_Results3[[#This Row],[Home Margin]]-NBA_2026_Results3[[#This Row],[Home Forecast]])^2</f>
        <v>157.02894311085615</v>
      </c>
    </row>
    <row r="295" spans="4:10" x14ac:dyDescent="0.2">
      <c r="D295" t="s">
        <v>8</v>
      </c>
      <c r="E295" t="s">
        <v>22</v>
      </c>
      <c r="F295">
        <v>104</v>
      </c>
      <c r="G295">
        <v>96</v>
      </c>
      <c r="H295">
        <v>8</v>
      </c>
      <c r="I295">
        <f>VLOOKUP(NBA_2026_Results3[[#This Row],[Home Team]], TeamRating, 2, FALSE) - VLOOKUP(NBA_2026_Results3[[#This Row],[Away Team]], TeamRating, 2, FALSE)+HomeEdge</f>
        <v>10.446965885571533</v>
      </c>
      <c r="J295">
        <f>(NBA_2026_Results3[[#This Row],[Home Margin]]-NBA_2026_Results3[[#This Row],[Home Forecast]])^2</f>
        <v>5.9876420451508769</v>
      </c>
    </row>
    <row r="296" spans="4:10" x14ac:dyDescent="0.2">
      <c r="D296" t="s">
        <v>31</v>
      </c>
      <c r="E296" t="s">
        <v>34</v>
      </c>
      <c r="F296">
        <v>112</v>
      </c>
      <c r="G296">
        <v>130</v>
      </c>
      <c r="H296">
        <v>-18</v>
      </c>
      <c r="I296">
        <f>VLOOKUP(NBA_2026_Results3[[#This Row],[Home Team]], TeamRating, 2, FALSE) - VLOOKUP(NBA_2026_Results3[[#This Row],[Away Team]], TeamRating, 2, FALSE)+HomeEdge</f>
        <v>1.6081932807266384</v>
      </c>
      <c r="J296">
        <f>(NBA_2026_Results3[[#This Row],[Home Margin]]-NBA_2026_Results3[[#This Row],[Home Forecast]])^2</f>
        <v>384.4812437343333</v>
      </c>
    </row>
    <row r="297" spans="4:10" x14ac:dyDescent="0.2">
      <c r="D297" t="s">
        <v>26</v>
      </c>
      <c r="E297" t="s">
        <v>27</v>
      </c>
      <c r="F297">
        <v>110</v>
      </c>
      <c r="G297">
        <v>114</v>
      </c>
      <c r="H297">
        <v>-4</v>
      </c>
      <c r="I297">
        <f>VLOOKUP(NBA_2026_Results3[[#This Row],[Home Team]], TeamRating, 2, FALSE) - VLOOKUP(NBA_2026_Results3[[#This Row],[Away Team]], TeamRating, 2, FALSE)+HomeEdge</f>
        <v>5.0826298935350884</v>
      </c>
      <c r="J297">
        <f>(NBA_2026_Results3[[#This Row],[Home Margin]]-NBA_2026_Results3[[#This Row],[Home Forecast]])^2</f>
        <v>82.494165782937216</v>
      </c>
    </row>
    <row r="298" spans="4:10" x14ac:dyDescent="0.2">
      <c r="D298" t="s">
        <v>25</v>
      </c>
      <c r="E298" t="s">
        <v>6</v>
      </c>
      <c r="F298">
        <v>101</v>
      </c>
      <c r="G298">
        <v>129</v>
      </c>
      <c r="H298">
        <v>-28</v>
      </c>
      <c r="I298">
        <f>VLOOKUP(NBA_2026_Results3[[#This Row],[Home Team]], TeamRating, 2, FALSE) - VLOOKUP(NBA_2026_Results3[[#This Row],[Away Team]], TeamRating, 2, FALSE)+HomeEdge</f>
        <v>-11.798007374590707</v>
      </c>
      <c r="J298">
        <f>(NBA_2026_Results3[[#This Row],[Home Margin]]-NBA_2026_Results3[[#This Row],[Home Forecast]])^2</f>
        <v>262.50456503381713</v>
      </c>
    </row>
    <row r="299" spans="4:10" x14ac:dyDescent="0.2">
      <c r="D299" t="s">
        <v>12</v>
      </c>
      <c r="E299" t="s">
        <v>15</v>
      </c>
      <c r="F299">
        <v>115</v>
      </c>
      <c r="G299">
        <v>117</v>
      </c>
      <c r="H299">
        <v>-2</v>
      </c>
      <c r="I299">
        <f>VLOOKUP(NBA_2026_Results3[[#This Row],[Home Team]], TeamRating, 2, FALSE) - VLOOKUP(NBA_2026_Results3[[#This Row],[Away Team]], TeamRating, 2, FALSE)+HomeEdge</f>
        <v>-0.65790766195708494</v>
      </c>
      <c r="J299">
        <f>(NBA_2026_Results3[[#This Row],[Home Margin]]-NBA_2026_Results3[[#This Row],[Home Forecast]])^2</f>
        <v>1.8012118438334981</v>
      </c>
    </row>
    <row r="300" spans="4:10" x14ac:dyDescent="0.2">
      <c r="D300" t="s">
        <v>11</v>
      </c>
      <c r="E300" t="s">
        <v>18</v>
      </c>
      <c r="F300">
        <v>116</v>
      </c>
      <c r="G300">
        <v>94</v>
      </c>
      <c r="H300">
        <v>22</v>
      </c>
      <c r="I300">
        <f>VLOOKUP(NBA_2026_Results3[[#This Row],[Home Team]], TeamRating, 2, FALSE) - VLOOKUP(NBA_2026_Results3[[#This Row],[Away Team]], TeamRating, 2, FALSE)+HomeEdge</f>
        <v>4.9396038933909887</v>
      </c>
      <c r="J300">
        <f>(NBA_2026_Results3[[#This Row],[Home Margin]]-NBA_2026_Results3[[#This Row],[Home Forecast]])^2</f>
        <v>291.05711531439994</v>
      </c>
    </row>
    <row r="301" spans="4:10" x14ac:dyDescent="0.2">
      <c r="D301" t="s">
        <v>16</v>
      </c>
      <c r="E301" t="s">
        <v>17</v>
      </c>
      <c r="F301">
        <v>134</v>
      </c>
      <c r="G301">
        <v>142</v>
      </c>
      <c r="H301">
        <v>-8</v>
      </c>
      <c r="I301">
        <f>VLOOKUP(NBA_2026_Results3[[#This Row],[Home Team]], TeamRating, 2, FALSE) - VLOOKUP(NBA_2026_Results3[[#This Row],[Away Team]], TeamRating, 2, FALSE)+HomeEdge</f>
        <v>2.3181275485294499</v>
      </c>
      <c r="J301">
        <f>(NBA_2026_Results3[[#This Row],[Home Margin]]-NBA_2026_Results3[[#This Row],[Home Forecast]])^2</f>
        <v>106.46375610772236</v>
      </c>
    </row>
    <row r="302" spans="4:10" x14ac:dyDescent="0.2">
      <c r="D302" t="s">
        <v>29</v>
      </c>
      <c r="E302" t="s">
        <v>5</v>
      </c>
      <c r="F302">
        <v>115</v>
      </c>
      <c r="G302">
        <v>123</v>
      </c>
      <c r="H302">
        <v>-8</v>
      </c>
      <c r="I302">
        <f>VLOOKUP(NBA_2026_Results3[[#This Row],[Home Team]], TeamRating, 2, FALSE) - VLOOKUP(NBA_2026_Results3[[#This Row],[Away Team]], TeamRating, 2, FALSE)+HomeEdge</f>
        <v>-10.59732303123047</v>
      </c>
      <c r="J302">
        <f>(NBA_2026_Results3[[#This Row],[Home Margin]]-NBA_2026_Results3[[#This Row],[Home Forecast]])^2</f>
        <v>6.7460869285602376</v>
      </c>
    </row>
    <row r="303" spans="4:10" x14ac:dyDescent="0.2">
      <c r="D303" t="s">
        <v>30</v>
      </c>
      <c r="E303" t="s">
        <v>28</v>
      </c>
      <c r="F303">
        <v>125</v>
      </c>
      <c r="G303">
        <v>112</v>
      </c>
      <c r="H303">
        <v>13</v>
      </c>
      <c r="I303">
        <f>VLOOKUP(NBA_2026_Results3[[#This Row],[Home Team]], TeamRating, 2, FALSE) - VLOOKUP(NBA_2026_Results3[[#This Row],[Away Team]], TeamRating, 2, FALSE)+HomeEdge</f>
        <v>1.0428629280687254</v>
      </c>
      <c r="J303">
        <f>(NBA_2026_Results3[[#This Row],[Home Margin]]-NBA_2026_Results3[[#This Row],[Home Forecast]])^2</f>
        <v>142.97312695695322</v>
      </c>
    </row>
    <row r="304" spans="4:10" x14ac:dyDescent="0.2">
      <c r="D304" t="s">
        <v>32</v>
      </c>
      <c r="E304" t="s">
        <v>21</v>
      </c>
      <c r="F304">
        <v>107</v>
      </c>
      <c r="G304">
        <v>115</v>
      </c>
      <c r="H304">
        <v>-8</v>
      </c>
      <c r="I304">
        <f>VLOOKUP(NBA_2026_Results3[[#This Row],[Home Team]], TeamRating, 2, FALSE) - VLOOKUP(NBA_2026_Results3[[#This Row],[Away Team]], TeamRating, 2, FALSE)+HomeEdge</f>
        <v>-5.1704506324607786</v>
      </c>
      <c r="J304">
        <f>(NBA_2026_Results3[[#This Row],[Home Margin]]-NBA_2026_Results3[[#This Row],[Home Forecast]])^2</f>
        <v>8.0063496233416078</v>
      </c>
    </row>
    <row r="305" spans="4:10" x14ac:dyDescent="0.2">
      <c r="D305" t="s">
        <v>7</v>
      </c>
      <c r="E305" t="s">
        <v>22</v>
      </c>
      <c r="F305">
        <v>133</v>
      </c>
      <c r="G305">
        <v>121</v>
      </c>
      <c r="H305">
        <v>12</v>
      </c>
      <c r="I305">
        <f>VLOOKUP(NBA_2026_Results3[[#This Row],[Home Team]], TeamRating, 2, FALSE) - VLOOKUP(NBA_2026_Results3[[#This Row],[Away Team]], TeamRating, 2, FALSE)+HomeEdge</f>
        <v>6.8468089460001442</v>
      </c>
      <c r="J305">
        <f>(NBA_2026_Results3[[#This Row],[Home Margin]]-NBA_2026_Results3[[#This Row],[Home Forecast]])^2</f>
        <v>26.555378039024145</v>
      </c>
    </row>
    <row r="306" spans="4:10" x14ac:dyDescent="0.2">
      <c r="D306" t="s">
        <v>20</v>
      </c>
      <c r="E306" t="s">
        <v>17</v>
      </c>
      <c r="F306">
        <v>99</v>
      </c>
      <c r="G306">
        <v>98</v>
      </c>
      <c r="H306">
        <v>1</v>
      </c>
      <c r="I306">
        <f>VLOOKUP(NBA_2026_Results3[[#This Row],[Home Team]], TeamRating, 2, FALSE) - VLOOKUP(NBA_2026_Results3[[#This Row],[Away Team]], TeamRating, 2, FALSE)+HomeEdge</f>
        <v>7.6638257731293455</v>
      </c>
      <c r="J306">
        <f>(NBA_2026_Results3[[#This Row],[Home Margin]]-NBA_2026_Results3[[#This Row],[Home Forecast]])^2</f>
        <v>44.406573934622919</v>
      </c>
    </row>
    <row r="307" spans="4:10" x14ac:dyDescent="0.2">
      <c r="D307" t="s">
        <v>33</v>
      </c>
      <c r="E307" t="s">
        <v>12</v>
      </c>
      <c r="F307">
        <v>119</v>
      </c>
      <c r="G307">
        <v>135</v>
      </c>
      <c r="H307">
        <v>-16</v>
      </c>
      <c r="I307">
        <f>VLOOKUP(NBA_2026_Results3[[#This Row],[Home Team]], TeamRating, 2, FALSE) - VLOOKUP(NBA_2026_Results3[[#This Row],[Away Team]], TeamRating, 2, FALSE)+HomeEdge</f>
        <v>-8.3995929313615001</v>
      </c>
      <c r="J307">
        <f>(NBA_2026_Results3[[#This Row],[Home Margin]]-NBA_2026_Results3[[#This Row],[Home Forecast]])^2</f>
        <v>57.766187609010075</v>
      </c>
    </row>
    <row r="308" spans="4:10" x14ac:dyDescent="0.2">
      <c r="D308" t="s">
        <v>24</v>
      </c>
      <c r="E308" t="s">
        <v>23</v>
      </c>
      <c r="F308">
        <v>129</v>
      </c>
      <c r="G308">
        <v>126</v>
      </c>
      <c r="H308">
        <v>3</v>
      </c>
      <c r="I308">
        <f>VLOOKUP(NBA_2026_Results3[[#This Row],[Home Team]], TeamRating, 2, FALSE) - VLOOKUP(NBA_2026_Results3[[#This Row],[Away Team]], TeamRating, 2, FALSE)+HomeEdge</f>
        <v>-4.0570386917334202</v>
      </c>
      <c r="J308">
        <f>(NBA_2026_Results3[[#This Row],[Home Margin]]-NBA_2026_Results3[[#This Row],[Home Forecast]])^2</f>
        <v>49.801795096622541</v>
      </c>
    </row>
    <row r="309" spans="4:10" x14ac:dyDescent="0.2">
      <c r="D309" t="s">
        <v>10</v>
      </c>
      <c r="E309" t="s">
        <v>9</v>
      </c>
      <c r="F309">
        <v>116</v>
      </c>
      <c r="G309">
        <v>103</v>
      </c>
      <c r="H309">
        <v>13</v>
      </c>
      <c r="I309">
        <f>VLOOKUP(NBA_2026_Results3[[#This Row],[Home Team]], TeamRating, 2, FALSE) - VLOOKUP(NBA_2026_Results3[[#This Row],[Away Team]], TeamRating, 2, FALSE)+HomeEdge</f>
        <v>-5.8715897980237939</v>
      </c>
      <c r="J309">
        <f>(NBA_2026_Results3[[#This Row],[Home Margin]]-NBA_2026_Results3[[#This Row],[Home Forecast]])^2</f>
        <v>356.13690150487577</v>
      </c>
    </row>
    <row r="310" spans="4:10" x14ac:dyDescent="0.2">
      <c r="D310" t="s">
        <v>14</v>
      </c>
      <c r="E310" t="s">
        <v>26</v>
      </c>
      <c r="F310">
        <v>140</v>
      </c>
      <c r="G310">
        <v>123</v>
      </c>
      <c r="H310">
        <v>17</v>
      </c>
      <c r="I310">
        <f>VLOOKUP(NBA_2026_Results3[[#This Row],[Home Team]], TeamRating, 2, FALSE) - VLOOKUP(NBA_2026_Results3[[#This Row],[Away Team]], TeamRating, 2, FALSE)+HomeEdge</f>
        <v>3.9986290987449062</v>
      </c>
      <c r="J310">
        <f>(NBA_2026_Results3[[#This Row],[Home Margin]]-NBA_2026_Results3[[#This Row],[Home Forecast]])^2</f>
        <v>169.03564531200269</v>
      </c>
    </row>
    <row r="311" spans="4:10" x14ac:dyDescent="0.2">
      <c r="D311" t="s">
        <v>13</v>
      </c>
      <c r="E311" t="s">
        <v>19</v>
      </c>
      <c r="F311">
        <v>125</v>
      </c>
      <c r="G311">
        <v>120</v>
      </c>
      <c r="H311">
        <v>5</v>
      </c>
      <c r="I311">
        <f>VLOOKUP(NBA_2026_Results3[[#This Row],[Home Team]], TeamRating, 2, FALSE) - VLOOKUP(NBA_2026_Results3[[#This Row],[Away Team]], TeamRating, 2, FALSE)+HomeEdge</f>
        <v>4.6995154890307056</v>
      </c>
      <c r="J311">
        <f>(NBA_2026_Results3[[#This Row],[Home Margin]]-NBA_2026_Results3[[#This Row],[Home Forecast]])^2</f>
        <v>9.0290941332456007E-2</v>
      </c>
    </row>
    <row r="312" spans="4:10" x14ac:dyDescent="0.2">
      <c r="D312" t="s">
        <v>34</v>
      </c>
      <c r="E312" t="s">
        <v>27</v>
      </c>
      <c r="F312">
        <v>121</v>
      </c>
      <c r="G312">
        <v>131</v>
      </c>
      <c r="H312">
        <v>-10</v>
      </c>
      <c r="I312">
        <f>VLOOKUP(NBA_2026_Results3[[#This Row],[Home Team]], TeamRating, 2, FALSE) - VLOOKUP(NBA_2026_Results3[[#This Row],[Away Team]], TeamRating, 2, FALSE)+HomeEdge</f>
        <v>8.1840854601202295</v>
      </c>
      <c r="J312">
        <f>(NBA_2026_Results3[[#This Row],[Home Margin]]-NBA_2026_Results3[[#This Row],[Home Forecast]])^2</f>
        <v>330.66096402095593</v>
      </c>
    </row>
    <row r="313" spans="4:10" x14ac:dyDescent="0.2">
      <c r="D313" t="s">
        <v>25</v>
      </c>
      <c r="E313" t="s">
        <v>6</v>
      </c>
      <c r="F313">
        <v>133</v>
      </c>
      <c r="G313">
        <v>125</v>
      </c>
      <c r="H313">
        <v>8</v>
      </c>
      <c r="I313">
        <f>VLOOKUP(NBA_2026_Results3[[#This Row],[Home Team]], TeamRating, 2, FALSE) - VLOOKUP(NBA_2026_Results3[[#This Row],[Away Team]], TeamRating, 2, FALSE)+HomeEdge</f>
        <v>-11.798007374590707</v>
      </c>
      <c r="J313">
        <f>(NBA_2026_Results3[[#This Row],[Home Margin]]-NBA_2026_Results3[[#This Row],[Home Forecast]])^2</f>
        <v>391.96109600434801</v>
      </c>
    </row>
    <row r="314" spans="4:10" x14ac:dyDescent="0.2">
      <c r="D314" t="s">
        <v>7</v>
      </c>
      <c r="E314" t="s">
        <v>31</v>
      </c>
      <c r="F314">
        <v>108</v>
      </c>
      <c r="G314">
        <v>125</v>
      </c>
      <c r="H314">
        <v>-17</v>
      </c>
      <c r="I314">
        <f>VLOOKUP(NBA_2026_Results3[[#This Row],[Home Team]], TeamRating, 2, FALSE) - VLOOKUP(NBA_2026_Results3[[#This Row],[Away Team]], TeamRating, 2, FALSE)+HomeEdge</f>
        <v>-1.8956029791931654</v>
      </c>
      <c r="J314">
        <f>(NBA_2026_Results3[[#This Row],[Home Margin]]-NBA_2026_Results3[[#This Row],[Home Forecast]])^2</f>
        <v>228.14280936215837</v>
      </c>
    </row>
    <row r="315" spans="4:10" x14ac:dyDescent="0.2">
      <c r="D315" t="s">
        <v>16</v>
      </c>
      <c r="E315" t="s">
        <v>24</v>
      </c>
      <c r="F315">
        <v>121</v>
      </c>
      <c r="G315">
        <v>102</v>
      </c>
      <c r="H315">
        <v>19</v>
      </c>
      <c r="I315">
        <f>VLOOKUP(NBA_2026_Results3[[#This Row],[Home Team]], TeamRating, 2, FALSE) - VLOOKUP(NBA_2026_Results3[[#This Row],[Away Team]], TeamRating, 2, FALSE)+HomeEdge</f>
        <v>11.815813672619353</v>
      </c>
      <c r="J315">
        <f>(NBA_2026_Results3[[#This Row],[Home Margin]]-NBA_2026_Results3[[#This Row],[Home Forecast]])^2</f>
        <v>51.612533186523038</v>
      </c>
    </row>
    <row r="316" spans="4:10" x14ac:dyDescent="0.2">
      <c r="D316" t="s">
        <v>18</v>
      </c>
      <c r="E316" t="s">
        <v>29</v>
      </c>
      <c r="F316">
        <v>121</v>
      </c>
      <c r="G316">
        <v>118</v>
      </c>
      <c r="H316">
        <v>3</v>
      </c>
      <c r="I316">
        <f>VLOOKUP(NBA_2026_Results3[[#This Row],[Home Team]], TeamRating, 2, FALSE) - VLOOKUP(NBA_2026_Results3[[#This Row],[Away Team]], TeamRating, 2, FALSE)+HomeEdge</f>
        <v>4.0114842237805428</v>
      </c>
      <c r="J316">
        <f>(NBA_2026_Results3[[#This Row],[Home Margin]]-NBA_2026_Results3[[#This Row],[Home Forecast]])^2</f>
        <v>1.0231003349569272</v>
      </c>
    </row>
    <row r="317" spans="4:10" x14ac:dyDescent="0.2">
      <c r="D317" t="s">
        <v>15</v>
      </c>
      <c r="E317" t="s">
        <v>11</v>
      </c>
      <c r="F317">
        <v>123</v>
      </c>
      <c r="G317">
        <v>117</v>
      </c>
      <c r="H317">
        <v>6</v>
      </c>
      <c r="I317">
        <f>VLOOKUP(NBA_2026_Results3[[#This Row],[Home Team]], TeamRating, 2, FALSE) - VLOOKUP(NBA_2026_Results3[[#This Row],[Away Team]], TeamRating, 2, FALSE)+HomeEdge</f>
        <v>2.7840676470644619</v>
      </c>
      <c r="J317">
        <f>(NBA_2026_Results3[[#This Row],[Home Margin]]-NBA_2026_Results3[[#This Row],[Home Forecast]])^2</f>
        <v>10.342220898657507</v>
      </c>
    </row>
    <row r="318" spans="4:10" x14ac:dyDescent="0.2">
      <c r="D318" t="s">
        <v>22</v>
      </c>
      <c r="E318" t="s">
        <v>30</v>
      </c>
      <c r="F318">
        <v>142</v>
      </c>
      <c r="G318">
        <v>149</v>
      </c>
      <c r="H318">
        <v>-7</v>
      </c>
      <c r="I318">
        <f>VLOOKUP(NBA_2026_Results3[[#This Row],[Home Team]], TeamRating, 2, FALSE) - VLOOKUP(NBA_2026_Results3[[#This Row],[Away Team]], TeamRating, 2, FALSE)+HomeEdge</f>
        <v>-8.283486958626856</v>
      </c>
      <c r="J318">
        <f>(NBA_2026_Results3[[#This Row],[Home Margin]]-NBA_2026_Results3[[#This Row],[Home Forecast]])^2</f>
        <v>1.6473387729652169</v>
      </c>
    </row>
    <row r="319" spans="4:10" x14ac:dyDescent="0.2">
      <c r="D319" t="s">
        <v>28</v>
      </c>
      <c r="E319" t="s">
        <v>21</v>
      </c>
      <c r="F319">
        <v>126</v>
      </c>
      <c r="G319">
        <v>119</v>
      </c>
      <c r="H319">
        <v>7</v>
      </c>
      <c r="I319">
        <f>VLOOKUP(NBA_2026_Results3[[#This Row],[Home Team]], TeamRating, 2, FALSE) - VLOOKUP(NBA_2026_Results3[[#This Row],[Away Team]], TeamRating, 2, FALSE)+HomeEdge</f>
        <v>8.5310959031277136</v>
      </c>
      <c r="J319">
        <f>(NBA_2026_Results3[[#This Row],[Home Margin]]-NBA_2026_Results3[[#This Row],[Home Forecast]])^2</f>
        <v>2.3442546645744691</v>
      </c>
    </row>
    <row r="320" spans="4:10" x14ac:dyDescent="0.2">
      <c r="D320" t="s">
        <v>8</v>
      </c>
      <c r="E320" t="s">
        <v>5</v>
      </c>
      <c r="F320">
        <v>112</v>
      </c>
      <c r="G320">
        <v>124</v>
      </c>
      <c r="H320">
        <v>-12</v>
      </c>
      <c r="I320">
        <f>VLOOKUP(NBA_2026_Results3[[#This Row],[Home Team]], TeamRating, 2, FALSE) - VLOOKUP(NBA_2026_Results3[[#This Row],[Away Team]], TeamRating, 2, FALSE)+HomeEdge</f>
        <v>-6.7580386810997792</v>
      </c>
      <c r="J320">
        <f>(NBA_2026_Results3[[#This Row],[Home Margin]]-NBA_2026_Results3[[#This Row],[Home Forecast]])^2</f>
        <v>27.478158468846143</v>
      </c>
    </row>
    <row r="321" spans="4:10" x14ac:dyDescent="0.2">
      <c r="D321" t="s">
        <v>12</v>
      </c>
      <c r="E321" t="s">
        <v>29</v>
      </c>
      <c r="F321">
        <v>110</v>
      </c>
      <c r="G321">
        <v>122</v>
      </c>
      <c r="H321">
        <v>-12</v>
      </c>
      <c r="I321">
        <f>VLOOKUP(NBA_2026_Results3[[#This Row],[Home Team]], TeamRating, 2, FALSE) - VLOOKUP(NBA_2026_Results3[[#This Row],[Away Team]], TeamRating, 2, FALSE)+HomeEdge</f>
        <v>5.6550615987784685</v>
      </c>
      <c r="J321">
        <f>(NBA_2026_Results3[[#This Row],[Home Margin]]-NBA_2026_Results3[[#This Row],[Home Forecast]])^2</f>
        <v>311.70120005666206</v>
      </c>
    </row>
    <row r="322" spans="4:10" x14ac:dyDescent="0.2">
      <c r="D322" t="s">
        <v>33</v>
      </c>
      <c r="E322" t="s">
        <v>34</v>
      </c>
      <c r="F322">
        <v>120</v>
      </c>
      <c r="G322">
        <v>135</v>
      </c>
      <c r="H322">
        <v>-15</v>
      </c>
      <c r="I322">
        <f>VLOOKUP(NBA_2026_Results3[[#This Row],[Home Team]], TeamRating, 2, FALSE) - VLOOKUP(NBA_2026_Results3[[#This Row],[Away Team]], TeamRating, 2, FALSE)+HomeEdge</f>
        <v>-8.6932549451093024</v>
      </c>
      <c r="J322">
        <f>(NBA_2026_Results3[[#This Row],[Home Margin]]-NBA_2026_Results3[[#This Row],[Home Forecast]])^2</f>
        <v>39.775033187388267</v>
      </c>
    </row>
    <row r="323" spans="4:10" x14ac:dyDescent="0.2">
      <c r="D323" t="s">
        <v>13</v>
      </c>
      <c r="E323" t="s">
        <v>28</v>
      </c>
      <c r="F323">
        <v>112</v>
      </c>
      <c r="G323">
        <v>114</v>
      </c>
      <c r="H323">
        <v>-2</v>
      </c>
      <c r="I323">
        <f>VLOOKUP(NBA_2026_Results3[[#This Row],[Home Team]], TeamRating, 2, FALSE) - VLOOKUP(NBA_2026_Results3[[#This Row],[Away Team]], TeamRating, 2, FALSE)+HomeEdge</f>
        <v>-3.2356199650402626</v>
      </c>
      <c r="J323">
        <f>(NBA_2026_Results3[[#This Row],[Home Margin]]-NBA_2026_Results3[[#This Row],[Home Forecast]])^2</f>
        <v>1.5267566980060998</v>
      </c>
    </row>
    <row r="324" spans="4:10" x14ac:dyDescent="0.2">
      <c r="D324" t="s">
        <v>17</v>
      </c>
      <c r="E324" t="s">
        <v>26</v>
      </c>
      <c r="F324">
        <v>92</v>
      </c>
      <c r="G324">
        <v>115</v>
      </c>
      <c r="H324">
        <v>-23</v>
      </c>
      <c r="I324">
        <f>VLOOKUP(NBA_2026_Results3[[#This Row],[Home Team]], TeamRating, 2, FALSE) - VLOOKUP(NBA_2026_Results3[[#This Row],[Away Team]], TeamRating, 2, FALSE)+HomeEdge</f>
        <v>1.3392626684971511</v>
      </c>
      <c r="J324">
        <f>(NBA_2026_Results3[[#This Row],[Home Margin]]-NBA_2026_Results3[[#This Row],[Home Forecast]])^2</f>
        <v>592.39970724609918</v>
      </c>
    </row>
    <row r="325" spans="4:10" x14ac:dyDescent="0.2">
      <c r="D325" t="s">
        <v>11</v>
      </c>
      <c r="E325" t="s">
        <v>9</v>
      </c>
      <c r="F325">
        <v>119</v>
      </c>
      <c r="G325">
        <v>104</v>
      </c>
      <c r="H325">
        <v>15</v>
      </c>
      <c r="I325">
        <f>VLOOKUP(NBA_2026_Results3[[#This Row],[Home Team]], TeamRating, 2, FALSE) - VLOOKUP(NBA_2026_Results3[[#This Row],[Away Team]], TeamRating, 2, FALSE)+HomeEdge</f>
        <v>5.1877050459565659</v>
      </c>
      <c r="J325">
        <f>(NBA_2026_Results3[[#This Row],[Home Margin]]-NBA_2026_Results3[[#This Row],[Home Forecast]])^2</f>
        <v>96.28113226514624</v>
      </c>
    </row>
    <row r="326" spans="4:10" x14ac:dyDescent="0.2">
      <c r="D326" t="s">
        <v>19</v>
      </c>
      <c r="E326" t="s">
        <v>10</v>
      </c>
      <c r="F326">
        <v>103</v>
      </c>
      <c r="G326">
        <v>113</v>
      </c>
      <c r="H326">
        <v>-10</v>
      </c>
      <c r="I326">
        <f>VLOOKUP(NBA_2026_Results3[[#This Row],[Home Team]], TeamRating, 2, FALSE) - VLOOKUP(NBA_2026_Results3[[#This Row],[Away Team]], TeamRating, 2, FALSE)+HomeEdge</f>
        <v>5.6503867748560275</v>
      </c>
      <c r="J326">
        <f>(NBA_2026_Results3[[#This Row],[Home Margin]]-NBA_2026_Results3[[#This Row],[Home Forecast]])^2</f>
        <v>244.93460620258844</v>
      </c>
    </row>
    <row r="327" spans="4:10" x14ac:dyDescent="0.2">
      <c r="D327" t="s">
        <v>6</v>
      </c>
      <c r="E327" t="s">
        <v>32</v>
      </c>
      <c r="F327">
        <v>121</v>
      </c>
      <c r="G327">
        <v>95</v>
      </c>
      <c r="H327">
        <v>26</v>
      </c>
      <c r="I327">
        <f>VLOOKUP(NBA_2026_Results3[[#This Row],[Home Team]], TeamRating, 2, FALSE) - VLOOKUP(NBA_2026_Results3[[#This Row],[Away Team]], TeamRating, 2, FALSE)+HomeEdge</f>
        <v>16.289766825077173</v>
      </c>
      <c r="J327">
        <f>(NBA_2026_Results3[[#This Row],[Home Margin]]-NBA_2026_Results3[[#This Row],[Home Forecast]])^2</f>
        <v>94.288628311371852</v>
      </c>
    </row>
    <row r="328" spans="4:10" x14ac:dyDescent="0.2">
      <c r="D328" t="s">
        <v>23</v>
      </c>
      <c r="E328" t="s">
        <v>20</v>
      </c>
      <c r="F328">
        <v>113</v>
      </c>
      <c r="G328">
        <v>109</v>
      </c>
      <c r="H328">
        <v>4</v>
      </c>
      <c r="I328">
        <f>VLOOKUP(NBA_2026_Results3[[#This Row],[Home Team]], TeamRating, 2, FALSE) - VLOOKUP(NBA_2026_Results3[[#This Row],[Away Team]], TeamRating, 2, FALSE)+HomeEdge</f>
        <v>-7.6822867019853858</v>
      </c>
      <c r="J328">
        <f>(NBA_2026_Results3[[#This Row],[Home Margin]]-NBA_2026_Results3[[#This Row],[Home Forecast]])^2</f>
        <v>136.47582258738461</v>
      </c>
    </row>
    <row r="329" spans="4:10" x14ac:dyDescent="0.2">
      <c r="D329" t="s">
        <v>27</v>
      </c>
      <c r="E329" t="s">
        <v>14</v>
      </c>
      <c r="F329">
        <v>118</v>
      </c>
      <c r="G329">
        <v>108</v>
      </c>
      <c r="H329">
        <v>10</v>
      </c>
      <c r="I329">
        <f>VLOOKUP(NBA_2026_Results3[[#This Row],[Home Team]], TeamRating, 2, FALSE) - VLOOKUP(NBA_2026_Results3[[#This Row],[Away Team]], TeamRating, 2, FALSE)+HomeEdge</f>
        <v>-3.6590724887795538</v>
      </c>
      <c r="J329">
        <f>(NBA_2026_Results3[[#This Row],[Home Margin]]-NBA_2026_Results3[[#This Row],[Home Forecast]])^2</f>
        <v>186.57026125373449</v>
      </c>
    </row>
    <row r="330" spans="4:10" x14ac:dyDescent="0.2">
      <c r="D330" t="s">
        <v>16</v>
      </c>
      <c r="E330" t="s">
        <v>8</v>
      </c>
      <c r="F330">
        <v>99</v>
      </c>
      <c r="G330">
        <v>98</v>
      </c>
      <c r="H330">
        <v>1</v>
      </c>
      <c r="I330">
        <f>VLOOKUP(NBA_2026_Results3[[#This Row],[Home Team]], TeamRating, 2, FALSE) - VLOOKUP(NBA_2026_Results3[[#This Row],[Away Team]], TeamRating, 2, FALSE)+HomeEdge</f>
        <v>-0.94941708949658832</v>
      </c>
      <c r="J330">
        <f>(NBA_2026_Results3[[#This Row],[Home Margin]]-NBA_2026_Results3[[#This Row],[Home Forecast]])^2</f>
        <v>3.8002269888213496</v>
      </c>
    </row>
    <row r="331" spans="4:10" x14ac:dyDescent="0.2">
      <c r="D331" t="s">
        <v>24</v>
      </c>
      <c r="E331" t="s">
        <v>15</v>
      </c>
      <c r="F331">
        <v>101</v>
      </c>
      <c r="G331">
        <v>146</v>
      </c>
      <c r="H331">
        <v>-45</v>
      </c>
      <c r="I331">
        <f>VLOOKUP(NBA_2026_Results3[[#This Row],[Home Team]], TeamRating, 2, FALSE) - VLOOKUP(NBA_2026_Results3[[#This Row],[Away Team]], TeamRating, 2, FALSE)+HomeEdge</f>
        <v>-13.431520171553991</v>
      </c>
      <c r="J331">
        <f>(NBA_2026_Results3[[#This Row],[Home Margin]]-NBA_2026_Results3[[#This Row],[Home Forecast]])^2</f>
        <v>996.56891867900254</v>
      </c>
    </row>
    <row r="332" spans="4:10" x14ac:dyDescent="0.2">
      <c r="D332" t="s">
        <v>10</v>
      </c>
      <c r="E332" t="s">
        <v>25</v>
      </c>
      <c r="F332">
        <v>110</v>
      </c>
      <c r="G332">
        <v>123</v>
      </c>
      <c r="H332">
        <v>-13</v>
      </c>
      <c r="I332">
        <f>VLOOKUP(NBA_2026_Results3[[#This Row],[Home Team]], TeamRating, 2, FALSE) - VLOOKUP(NBA_2026_Results3[[#This Row],[Away Team]], TeamRating, 2, FALSE)+HomeEdge</f>
        <v>2.8538468608422827</v>
      </c>
      <c r="J332">
        <f>(NBA_2026_Results3[[#This Row],[Home Margin]]-NBA_2026_Results3[[#This Row],[Home Forecast]])^2</f>
        <v>251.34446028703869</v>
      </c>
    </row>
    <row r="333" spans="4:10" x14ac:dyDescent="0.2">
      <c r="D333" t="s">
        <v>18</v>
      </c>
      <c r="E333" t="s">
        <v>7</v>
      </c>
      <c r="F333">
        <v>120</v>
      </c>
      <c r="G333">
        <v>123</v>
      </c>
      <c r="H333">
        <v>-3</v>
      </c>
      <c r="I333">
        <f>VLOOKUP(NBA_2026_Results3[[#This Row],[Home Team]], TeamRating, 2, FALSE) - VLOOKUP(NBA_2026_Results3[[#This Row],[Away Team]], TeamRating, 2, FALSE)+HomeEdge</f>
        <v>3.7723568132212426</v>
      </c>
      <c r="J333">
        <f>(NBA_2026_Results3[[#This Row],[Home Margin]]-NBA_2026_Results3[[#This Row],[Home Forecast]])^2</f>
        <v>45.864816805584184</v>
      </c>
    </row>
    <row r="334" spans="4:10" x14ac:dyDescent="0.2">
      <c r="D334" t="s">
        <v>22</v>
      </c>
      <c r="E334" t="s">
        <v>30</v>
      </c>
      <c r="F334">
        <v>116</v>
      </c>
      <c r="G334">
        <v>125</v>
      </c>
      <c r="H334">
        <v>-9</v>
      </c>
      <c r="I334">
        <f>VLOOKUP(NBA_2026_Results3[[#This Row],[Home Team]], TeamRating, 2, FALSE) - VLOOKUP(NBA_2026_Results3[[#This Row],[Away Team]], TeamRating, 2, FALSE)+HomeEdge</f>
        <v>-8.283486958626856</v>
      </c>
      <c r="J334">
        <f>(NBA_2026_Results3[[#This Row],[Home Margin]]-NBA_2026_Results3[[#This Row],[Home Forecast]])^2</f>
        <v>0.51339093845779271</v>
      </c>
    </row>
    <row r="335" spans="4:10" x14ac:dyDescent="0.2">
      <c r="D335" t="s">
        <v>15</v>
      </c>
      <c r="E335" t="s">
        <v>7</v>
      </c>
      <c r="F335">
        <v>126</v>
      </c>
      <c r="G335">
        <v>105</v>
      </c>
      <c r="H335">
        <v>21</v>
      </c>
      <c r="I335">
        <f>VLOOKUP(NBA_2026_Results3[[#This Row],[Home Team]], TeamRating, 2, FALSE) - VLOOKUP(NBA_2026_Results3[[#This Row],[Away Team]], TeamRating, 2, FALSE)+HomeEdge</f>
        <v>7.8812373513430662</v>
      </c>
      <c r="J335">
        <f>(NBA_2026_Results3[[#This Row],[Home Margin]]-NBA_2026_Results3[[#This Row],[Home Forecast]])^2</f>
        <v>172.10193343179625</v>
      </c>
    </row>
    <row r="336" spans="4:10" x14ac:dyDescent="0.2">
      <c r="D336" t="s">
        <v>13</v>
      </c>
      <c r="E336" t="s">
        <v>14</v>
      </c>
      <c r="F336">
        <v>106</v>
      </c>
      <c r="G336">
        <v>105</v>
      </c>
      <c r="H336">
        <v>1</v>
      </c>
      <c r="I336">
        <f>VLOOKUP(NBA_2026_Results3[[#This Row],[Home Team]], TeamRating, 2, FALSE) - VLOOKUP(NBA_2026_Results3[[#This Row],[Away Team]], TeamRating, 2, FALSE)+HomeEdge</f>
        <v>-0.41159710877494238</v>
      </c>
      <c r="J336">
        <f>(NBA_2026_Results3[[#This Row],[Home Margin]]-NBA_2026_Results3[[#This Row],[Home Forecast]])^2</f>
        <v>1.9926063975017765</v>
      </c>
    </row>
    <row r="337" spans="4:10" x14ac:dyDescent="0.2">
      <c r="D337" t="s">
        <v>17</v>
      </c>
      <c r="E337" t="s">
        <v>34</v>
      </c>
      <c r="F337">
        <v>133</v>
      </c>
      <c r="G337">
        <v>134</v>
      </c>
      <c r="H337">
        <v>-1</v>
      </c>
      <c r="I337">
        <f>VLOOKUP(NBA_2026_Results3[[#This Row],[Home Team]], TeamRating, 2, FALSE) - VLOOKUP(NBA_2026_Results3[[#This Row],[Away Team]], TeamRating, 2, FALSE)+HomeEdge</f>
        <v>-1.7621928980879895</v>
      </c>
      <c r="J337">
        <f>(NBA_2026_Results3[[#This Row],[Home Margin]]-NBA_2026_Results3[[#This Row],[Home Forecast]])^2</f>
        <v>0.58093801389576838</v>
      </c>
    </row>
    <row r="338" spans="4:10" x14ac:dyDescent="0.2">
      <c r="D338" t="s">
        <v>12</v>
      </c>
      <c r="E338" t="s">
        <v>28</v>
      </c>
      <c r="F338">
        <v>130</v>
      </c>
      <c r="G338">
        <v>117</v>
      </c>
      <c r="H338">
        <v>13</v>
      </c>
      <c r="I338">
        <f>VLOOKUP(NBA_2026_Results3[[#This Row],[Home Team]], TeamRating, 2, FALSE) - VLOOKUP(NBA_2026_Results3[[#This Row],[Away Team]], TeamRating, 2, FALSE)+HomeEdge</f>
        <v>-0.40006739983925899</v>
      </c>
      <c r="J338">
        <f>(NBA_2026_Results3[[#This Row],[Home Margin]]-NBA_2026_Results3[[#This Row],[Home Forecast]])^2</f>
        <v>179.56180632023487</v>
      </c>
    </row>
    <row r="339" spans="4:10" x14ac:dyDescent="0.2">
      <c r="D339" t="s">
        <v>20</v>
      </c>
      <c r="E339" t="s">
        <v>29</v>
      </c>
      <c r="F339">
        <v>122</v>
      </c>
      <c r="G339">
        <v>116</v>
      </c>
      <c r="H339">
        <v>6</v>
      </c>
      <c r="I339">
        <f>VLOOKUP(NBA_2026_Results3[[#This Row],[Home Team]], TeamRating, 2, FALSE) - VLOOKUP(NBA_2026_Results3[[#This Row],[Away Team]], TeamRating, 2, FALSE)+HomeEdge</f>
        <v>8.2355654852339963</v>
      </c>
      <c r="J339">
        <f>(NBA_2026_Results3[[#This Row],[Home Margin]]-NBA_2026_Results3[[#This Row],[Home Forecast]])^2</f>
        <v>4.9977530387695133</v>
      </c>
    </row>
    <row r="340" spans="4:10" x14ac:dyDescent="0.2">
      <c r="D340" t="s">
        <v>11</v>
      </c>
      <c r="E340" t="s">
        <v>25</v>
      </c>
      <c r="F340">
        <v>146</v>
      </c>
      <c r="G340">
        <v>112</v>
      </c>
      <c r="H340">
        <v>34</v>
      </c>
      <c r="I340">
        <f>VLOOKUP(NBA_2026_Results3[[#This Row],[Home Team]], TeamRating, 2, FALSE) - VLOOKUP(NBA_2026_Results3[[#This Row],[Away Team]], TeamRating, 2, FALSE)+HomeEdge</f>
        <v>13.913141704822642</v>
      </c>
      <c r="J340">
        <f>(NBA_2026_Results3[[#This Row],[Home Margin]]-NBA_2026_Results3[[#This Row],[Home Forecast]])^2</f>
        <v>403.48187617053543</v>
      </c>
    </row>
    <row r="341" spans="4:10" x14ac:dyDescent="0.2">
      <c r="D341" t="s">
        <v>18</v>
      </c>
      <c r="E341" t="s">
        <v>9</v>
      </c>
      <c r="F341">
        <v>86</v>
      </c>
      <c r="G341">
        <v>111</v>
      </c>
      <c r="H341">
        <v>-25</v>
      </c>
      <c r="I341">
        <f>VLOOKUP(NBA_2026_Results3[[#This Row],[Home Team]], TeamRating, 2, FALSE) - VLOOKUP(NBA_2026_Results3[[#This Row],[Away Team]], TeamRating, 2, FALSE)+HomeEdge</f>
        <v>2.0554966537323907</v>
      </c>
      <c r="J341">
        <f>(NBA_2026_Results3[[#This Row],[Home Margin]]-NBA_2026_Results3[[#This Row],[Home Forecast]])^2</f>
        <v>731.99989918012454</v>
      </c>
    </row>
    <row r="342" spans="4:10" x14ac:dyDescent="0.2">
      <c r="D342" t="s">
        <v>19</v>
      </c>
      <c r="E342" t="s">
        <v>33</v>
      </c>
      <c r="F342">
        <v>105</v>
      </c>
      <c r="G342">
        <v>120</v>
      </c>
      <c r="H342">
        <v>-15</v>
      </c>
      <c r="I342">
        <f>VLOOKUP(NBA_2026_Results3[[#This Row],[Home Team]], TeamRating, 2, FALSE) - VLOOKUP(NBA_2026_Results3[[#This Row],[Away Team]], TeamRating, 2, FALSE)+HomeEdge</f>
        <v>6.2867113806302326</v>
      </c>
      <c r="J342">
        <f>(NBA_2026_Results3[[#This Row],[Home Margin]]-NBA_2026_Results3[[#This Row],[Home Forecast]])^2</f>
        <v>453.12408140225273</v>
      </c>
    </row>
    <row r="343" spans="4:10" x14ac:dyDescent="0.2">
      <c r="D343" t="s">
        <v>6</v>
      </c>
      <c r="E343" t="s">
        <v>31</v>
      </c>
      <c r="F343">
        <v>117</v>
      </c>
      <c r="G343">
        <v>98</v>
      </c>
      <c r="H343">
        <v>19</v>
      </c>
      <c r="I343">
        <f>VLOOKUP(NBA_2026_Results3[[#This Row],[Home Team]], TeamRating, 2, FALSE) - VLOOKUP(NBA_2026_Results3[[#This Row],[Away Team]], TeamRating, 2, FALSE)+HomeEdge</f>
        <v>4.7012233971871282</v>
      </c>
      <c r="J343">
        <f>(NBA_2026_Results3[[#This Row],[Home Margin]]-NBA_2026_Results3[[#This Row],[Home Forecast]])^2</f>
        <v>204.45501233714882</v>
      </c>
    </row>
    <row r="344" spans="4:10" x14ac:dyDescent="0.2">
      <c r="D344" t="s">
        <v>21</v>
      </c>
      <c r="E344" t="s">
        <v>26</v>
      </c>
      <c r="F344">
        <v>107</v>
      </c>
      <c r="G344">
        <v>98</v>
      </c>
      <c r="H344">
        <v>9</v>
      </c>
      <c r="I344">
        <f>VLOOKUP(NBA_2026_Results3[[#This Row],[Home Team]], TeamRating, 2, FALSE) - VLOOKUP(NBA_2026_Results3[[#This Row],[Away Team]], TeamRating, 2, FALSE)+HomeEdge</f>
        <v>9.8951553049327012E-2</v>
      </c>
      <c r="J344">
        <f>(NBA_2026_Results3[[#This Row],[Home Margin]]-NBA_2026_Results3[[#This Row],[Home Forecast]])^2</f>
        <v>79.228663454962998</v>
      </c>
    </row>
    <row r="345" spans="4:10" x14ac:dyDescent="0.2">
      <c r="D345" t="s">
        <v>23</v>
      </c>
      <c r="E345" t="s">
        <v>16</v>
      </c>
      <c r="F345">
        <v>101</v>
      </c>
      <c r="G345">
        <v>116</v>
      </c>
      <c r="H345">
        <v>-15</v>
      </c>
      <c r="I345">
        <f>VLOOKUP(NBA_2026_Results3[[#This Row],[Home Team]], TeamRating, 2, FALSE) - VLOOKUP(NBA_2026_Results3[[#This Row],[Away Team]], TeamRating, 2, FALSE)+HomeEdge</f>
        <v>-2.3365884773854901</v>
      </c>
      <c r="J345">
        <f>(NBA_2026_Results3[[#This Row],[Home Margin]]-NBA_2026_Results3[[#This Row],[Home Forecast]])^2</f>
        <v>160.36199139108595</v>
      </c>
    </row>
    <row r="346" spans="4:10" x14ac:dyDescent="0.2">
      <c r="D346" t="s">
        <v>5</v>
      </c>
      <c r="E346" t="s">
        <v>27</v>
      </c>
      <c r="F346">
        <v>132</v>
      </c>
      <c r="G346">
        <v>111</v>
      </c>
      <c r="H346">
        <v>21</v>
      </c>
      <c r="I346">
        <f>VLOOKUP(NBA_2026_Results3[[#This Row],[Home Team]], TeamRating, 2, FALSE) - VLOOKUP(NBA_2026_Results3[[#This Row],[Away Team]], TeamRating, 2, FALSE)+HomeEdge</f>
        <v>16.447475881158056</v>
      </c>
      <c r="J346">
        <f>(NBA_2026_Results3[[#This Row],[Home Margin]]-NBA_2026_Results3[[#This Row],[Home Forecast]])^2</f>
        <v>20.725475852637622</v>
      </c>
    </row>
    <row r="347" spans="4:10" x14ac:dyDescent="0.2">
      <c r="D347" t="s">
        <v>10</v>
      </c>
      <c r="E347" t="s">
        <v>22</v>
      </c>
      <c r="F347">
        <v>119</v>
      </c>
      <c r="G347">
        <v>101</v>
      </c>
      <c r="H347">
        <v>18</v>
      </c>
      <c r="I347">
        <f>VLOOKUP(NBA_2026_Results3[[#This Row],[Home Team]], TeamRating, 2, FALSE) - VLOOKUP(NBA_2026_Results3[[#This Row],[Away Team]], TeamRating, 2, FALSE)+HomeEdge</f>
        <v>0.88468380629838883</v>
      </c>
      <c r="J347">
        <f>(NBA_2026_Results3[[#This Row],[Home Margin]]-NBA_2026_Results3[[#This Row],[Home Forecast]])^2</f>
        <v>292.93404841038455</v>
      </c>
    </row>
    <row r="348" spans="4:10" x14ac:dyDescent="0.2">
      <c r="D348" t="s">
        <v>24</v>
      </c>
      <c r="E348" t="s">
        <v>17</v>
      </c>
      <c r="F348">
        <v>116</v>
      </c>
      <c r="G348">
        <v>131</v>
      </c>
      <c r="H348">
        <v>-15</v>
      </c>
      <c r="I348">
        <f>VLOOKUP(NBA_2026_Results3[[#This Row],[Home Team]], TeamRating, 2, FALSE) - VLOOKUP(NBA_2026_Results3[[#This Row],[Away Team]], TeamRating, 2, FALSE)+HomeEdge</f>
        <v>-7.6902906229230874</v>
      </c>
      <c r="J348">
        <f>(NBA_2026_Results3[[#This Row],[Home Margin]]-NBA_2026_Results3[[#This Row],[Home Forecast]])^2</f>
        <v>53.431851177326145</v>
      </c>
    </row>
    <row r="349" spans="4:10" x14ac:dyDescent="0.2">
      <c r="D349" t="s">
        <v>12</v>
      </c>
      <c r="E349" t="s">
        <v>8</v>
      </c>
      <c r="F349">
        <v>94</v>
      </c>
      <c r="G349">
        <v>99</v>
      </c>
      <c r="H349">
        <v>-5</v>
      </c>
      <c r="I349">
        <f>VLOOKUP(NBA_2026_Results3[[#This Row],[Home Team]], TeamRating, 2, FALSE) - VLOOKUP(NBA_2026_Results3[[#This Row],[Away Team]], TeamRating, 2, FALSE)+HomeEdge</f>
        <v>1.815777248647779</v>
      </c>
      <c r="J349">
        <f>(NBA_2026_Results3[[#This Row],[Home Margin]]-NBA_2026_Results3[[#This Row],[Home Forecast]])^2</f>
        <v>46.45481950318468</v>
      </c>
    </row>
    <row r="350" spans="4:10" x14ac:dyDescent="0.2">
      <c r="D350" t="s">
        <v>20</v>
      </c>
      <c r="E350" t="s">
        <v>23</v>
      </c>
      <c r="F350">
        <v>124</v>
      </c>
      <c r="G350">
        <v>112</v>
      </c>
      <c r="H350">
        <v>12</v>
      </c>
      <c r="I350">
        <f>VLOOKUP(NBA_2026_Results3[[#This Row],[Home Team]], TeamRating, 2, FALSE) - VLOOKUP(NBA_2026_Results3[[#This Row],[Away Team]], TeamRating, 2, FALSE)+HomeEdge</f>
        <v>11.297077704319012</v>
      </c>
      <c r="J350">
        <f>(NBA_2026_Results3[[#This Row],[Home Margin]]-NBA_2026_Results3[[#This Row],[Home Forecast]])^2</f>
        <v>0.49409975376543058</v>
      </c>
    </row>
    <row r="351" spans="4:10" x14ac:dyDescent="0.2">
      <c r="D351" t="s">
        <v>14</v>
      </c>
      <c r="E351" t="s">
        <v>32</v>
      </c>
      <c r="F351">
        <v>111</v>
      </c>
      <c r="G351">
        <v>127</v>
      </c>
      <c r="H351">
        <v>-16</v>
      </c>
      <c r="I351">
        <f>VLOOKUP(NBA_2026_Results3[[#This Row],[Home Team]], TeamRating, 2, FALSE) - VLOOKUP(NBA_2026_Results3[[#This Row],[Away Team]], TeamRating, 2, FALSE)+HomeEdge</f>
        <v>12.684919180489985</v>
      </c>
      <c r="J351">
        <f>(NBA_2026_Results3[[#This Row],[Home Margin]]-NBA_2026_Results3[[#This Row],[Home Forecast]])^2</f>
        <v>822.82458839124217</v>
      </c>
    </row>
    <row r="352" spans="4:10" x14ac:dyDescent="0.2">
      <c r="D352" t="s">
        <v>30</v>
      </c>
      <c r="E352" t="s">
        <v>26</v>
      </c>
      <c r="F352">
        <v>109</v>
      </c>
      <c r="G352">
        <v>106</v>
      </c>
      <c r="H352">
        <v>3</v>
      </c>
      <c r="I352">
        <f>VLOOKUP(NBA_2026_Results3[[#This Row],[Home Team]], TeamRating, 2, FALSE) - VLOOKUP(NBA_2026_Results3[[#This Row],[Away Team]], TeamRating, 2, FALSE)+HomeEdge</f>
        <v>6.0581193819121388</v>
      </c>
      <c r="J352">
        <f>(NBA_2026_Results3[[#This Row],[Home Margin]]-NBA_2026_Results3[[#This Row],[Home Forecast]])^2</f>
        <v>9.3520941540266822</v>
      </c>
    </row>
    <row r="353" spans="4:10" x14ac:dyDescent="0.2">
      <c r="D353" t="s">
        <v>27</v>
      </c>
      <c r="E353" t="s">
        <v>6</v>
      </c>
      <c r="F353">
        <v>122</v>
      </c>
      <c r="G353">
        <v>109</v>
      </c>
      <c r="H353">
        <v>13</v>
      </c>
      <c r="I353">
        <f>VLOOKUP(NBA_2026_Results3[[#This Row],[Home Team]], TeamRating, 2, FALSE) - VLOOKUP(NBA_2026_Results3[[#This Row],[Away Team]], TeamRating, 2, FALSE)+HomeEdge</f>
        <v>-7.2639201333667414</v>
      </c>
      <c r="J353">
        <f>(NBA_2026_Results3[[#This Row],[Home Margin]]-NBA_2026_Results3[[#This Row],[Home Forecast]])^2</f>
        <v>410.62645917146602</v>
      </c>
    </row>
    <row r="354" spans="4:10" x14ac:dyDescent="0.2">
      <c r="D354" t="s">
        <v>11</v>
      </c>
      <c r="E354" t="s">
        <v>13</v>
      </c>
      <c r="F354">
        <v>106</v>
      </c>
      <c r="G354">
        <v>100</v>
      </c>
      <c r="H354">
        <v>6</v>
      </c>
      <c r="I354">
        <f>VLOOKUP(NBA_2026_Results3[[#This Row],[Home Team]], TeamRating, 2, FALSE) - VLOOKUP(NBA_2026_Results3[[#This Row],[Away Team]], TeamRating, 2, FALSE)+HomeEdge</f>
        <v>6.1315790835940671</v>
      </c>
      <c r="J354">
        <f>(NBA_2026_Results3[[#This Row],[Home Margin]]-NBA_2026_Results3[[#This Row],[Home Forecast]])^2</f>
        <v>1.7313055239454502E-2</v>
      </c>
    </row>
    <row r="355" spans="4:10" x14ac:dyDescent="0.2">
      <c r="D355" t="s">
        <v>18</v>
      </c>
      <c r="E355" t="s">
        <v>15</v>
      </c>
      <c r="F355">
        <v>113</v>
      </c>
      <c r="G355">
        <v>121</v>
      </c>
      <c r="H355">
        <v>-8</v>
      </c>
      <c r="I355">
        <f>VLOOKUP(NBA_2026_Results3[[#This Row],[Home Team]], TeamRating, 2, FALSE) - VLOOKUP(NBA_2026_Results3[[#This Row],[Away Team]], TeamRating, 2, FALSE)+HomeEdge</f>
        <v>-2.3014850369550102</v>
      </c>
      <c r="J355">
        <f>(NBA_2026_Results3[[#This Row],[Home Margin]]-NBA_2026_Results3[[#This Row],[Home Forecast]])^2</f>
        <v>32.473072784047645</v>
      </c>
    </row>
    <row r="356" spans="4:10" x14ac:dyDescent="0.2">
      <c r="D356" t="s">
        <v>9</v>
      </c>
      <c r="E356" t="s">
        <v>34</v>
      </c>
      <c r="F356">
        <v>106</v>
      </c>
      <c r="G356">
        <v>115</v>
      </c>
      <c r="H356">
        <v>-9</v>
      </c>
      <c r="I356">
        <f>VLOOKUP(NBA_2026_Results3[[#This Row],[Home Team]], TeamRating, 2, FALSE) - VLOOKUP(NBA_2026_Results3[[#This Row],[Away Team]], TeamRating, 2, FALSE)+HomeEdge</f>
        <v>-0.37794504014448815</v>
      </c>
      <c r="J356">
        <f>(NBA_2026_Results3[[#This Row],[Home Margin]]-NBA_2026_Results3[[#This Row],[Home Forecast]])^2</f>
        <v>74.339831730769021</v>
      </c>
    </row>
    <row r="357" spans="4:10" x14ac:dyDescent="0.2">
      <c r="D357" t="s">
        <v>21</v>
      </c>
      <c r="E357" t="s">
        <v>29</v>
      </c>
      <c r="F357">
        <v>119</v>
      </c>
      <c r="G357">
        <v>96</v>
      </c>
      <c r="H357">
        <v>23</v>
      </c>
      <c r="I357">
        <f>VLOOKUP(NBA_2026_Results3[[#This Row],[Home Team]], TeamRating, 2, FALSE) - VLOOKUP(NBA_2026_Results3[[#This Row],[Away Team]], TeamRating, 2, FALSE)+HomeEdge</f>
        <v>1.1388240978236406</v>
      </c>
      <c r="J357">
        <f>(NBA_2026_Results3[[#This Row],[Home Margin]]-NBA_2026_Results3[[#This Row],[Home Forecast]])^2</f>
        <v>477.91101182589637</v>
      </c>
    </row>
    <row r="358" spans="4:10" x14ac:dyDescent="0.2">
      <c r="D358" t="s">
        <v>19</v>
      </c>
      <c r="E358" t="s">
        <v>8</v>
      </c>
      <c r="F358">
        <v>91</v>
      </c>
      <c r="G358">
        <v>123</v>
      </c>
      <c r="H358">
        <v>-32</v>
      </c>
      <c r="I358">
        <f>VLOOKUP(NBA_2026_Results3[[#This Row],[Home Team]], TeamRating, 2, FALSE) - VLOOKUP(NBA_2026_Results3[[#This Row],[Away Team]], TeamRating, 2, FALSE)+HomeEdge</f>
        <v>-3.9118953044171167</v>
      </c>
      <c r="J358">
        <f>(NBA_2026_Results3[[#This Row],[Home Margin]]-NBA_2026_Results3[[#This Row],[Home Forecast]])^2</f>
        <v>788.94162539002537</v>
      </c>
    </row>
    <row r="359" spans="4:10" x14ac:dyDescent="0.2">
      <c r="D359" t="s">
        <v>16</v>
      </c>
      <c r="E359" t="s">
        <v>7</v>
      </c>
      <c r="F359">
        <v>108</v>
      </c>
      <c r="G359">
        <v>112</v>
      </c>
      <c r="H359">
        <v>-4</v>
      </c>
      <c r="I359">
        <f>VLOOKUP(NBA_2026_Results3[[#This Row],[Home Team]], TeamRating, 2, FALSE) - VLOOKUP(NBA_2026_Results3[[#This Row],[Away Team]], TeamRating, 2, FALSE)+HomeEdge</f>
        <v>2.6507398500748005</v>
      </c>
      <c r="J359">
        <f>(NBA_2026_Results3[[#This Row],[Home Margin]]-NBA_2026_Results3[[#This Row],[Home Forecast]])^2</f>
        <v>44.232340553372978</v>
      </c>
    </row>
    <row r="360" spans="4:10" x14ac:dyDescent="0.2">
      <c r="D360" t="s">
        <v>25</v>
      </c>
      <c r="E360" t="s">
        <v>5</v>
      </c>
      <c r="F360">
        <v>101</v>
      </c>
      <c r="G360">
        <v>131</v>
      </c>
      <c r="H360">
        <v>-30</v>
      </c>
      <c r="I360">
        <f>VLOOKUP(NBA_2026_Results3[[#This Row],[Home Team]], TeamRating, 2, FALSE) - VLOOKUP(NBA_2026_Results3[[#This Row],[Away Team]], TeamRating, 2, FALSE)+HomeEdge</f>
        <v>-17.366772120048392</v>
      </c>
      <c r="J360">
        <f>(NBA_2026_Results3[[#This Row],[Home Margin]]-NBA_2026_Results3[[#This Row],[Home Forecast]])^2</f>
        <v>159.5984466667866</v>
      </c>
    </row>
    <row r="361" spans="4:10" x14ac:dyDescent="0.2">
      <c r="D361" t="s">
        <v>33</v>
      </c>
      <c r="E361" t="s">
        <v>32</v>
      </c>
      <c r="F361">
        <v>116</v>
      </c>
      <c r="G361">
        <v>105</v>
      </c>
      <c r="H361">
        <v>11</v>
      </c>
      <c r="I361">
        <f>VLOOKUP(NBA_2026_Results3[[#This Row],[Home Team]], TeamRating, 2, FALSE) - VLOOKUP(NBA_2026_Results3[[#This Row],[Away Team]], TeamRating, 2, FALSE)+HomeEdge</f>
        <v>3.0944907032209183</v>
      </c>
      <c r="J361">
        <f>(NBA_2026_Results3[[#This Row],[Home Margin]]-NBA_2026_Results3[[#This Row],[Home Forecast]])^2</f>
        <v>62.497077241460488</v>
      </c>
    </row>
    <row r="362" spans="4:10" x14ac:dyDescent="0.2">
      <c r="D362" t="s">
        <v>30</v>
      </c>
      <c r="E362" t="s">
        <v>31</v>
      </c>
      <c r="F362">
        <v>105</v>
      </c>
      <c r="G362">
        <v>108</v>
      </c>
      <c r="H362">
        <v>-3</v>
      </c>
      <c r="I362">
        <f>VLOOKUP(NBA_2026_Results3[[#This Row],[Home Team]], TeamRating, 2, FALSE) - VLOOKUP(NBA_2026_Results3[[#This Row],[Away Team]], TeamRating, 2, FALSE)+HomeEdge</f>
        <v>3.1558660357671733</v>
      </c>
      <c r="J362">
        <f>(NBA_2026_Results3[[#This Row],[Home Margin]]-NBA_2026_Results3[[#This Row],[Home Forecast]])^2</f>
        <v>37.894686650311861</v>
      </c>
    </row>
    <row r="363" spans="4:10" x14ac:dyDescent="0.2">
      <c r="D363" t="s">
        <v>22</v>
      </c>
      <c r="E363" t="s">
        <v>28</v>
      </c>
      <c r="F363">
        <v>132</v>
      </c>
      <c r="G363">
        <v>135</v>
      </c>
      <c r="H363">
        <v>-3</v>
      </c>
      <c r="I363">
        <f>VLOOKUP(NBA_2026_Results3[[#This Row],[Home Team]], TeamRating, 2, FALSE) - VLOOKUP(NBA_2026_Results3[[#This Row],[Away Team]], TeamRating, 2, FALSE)+HomeEdge</f>
        <v>-9.0480195317249432</v>
      </c>
      <c r="J363">
        <f>(NBA_2026_Results3[[#This Row],[Home Margin]]-NBA_2026_Results3[[#This Row],[Home Forecast]])^2</f>
        <v>36.578540256126402</v>
      </c>
    </row>
    <row r="364" spans="4:10" x14ac:dyDescent="0.2">
      <c r="D364" t="s">
        <v>13</v>
      </c>
      <c r="E364" t="s">
        <v>14</v>
      </c>
      <c r="F364">
        <v>117</v>
      </c>
      <c r="G364">
        <v>108</v>
      </c>
      <c r="H364">
        <v>9</v>
      </c>
      <c r="I364">
        <f>VLOOKUP(NBA_2026_Results3[[#This Row],[Home Team]], TeamRating, 2, FALSE) - VLOOKUP(NBA_2026_Results3[[#This Row],[Away Team]], TeamRating, 2, FALSE)+HomeEdge</f>
        <v>-0.41159710877494238</v>
      </c>
      <c r="J364">
        <f>(NBA_2026_Results3[[#This Row],[Home Margin]]-NBA_2026_Results3[[#This Row],[Home Forecast]])^2</f>
        <v>88.578160137900838</v>
      </c>
    </row>
    <row r="365" spans="4:10" x14ac:dyDescent="0.2">
      <c r="D365" t="s">
        <v>18</v>
      </c>
      <c r="E365" t="s">
        <v>11</v>
      </c>
      <c r="F365">
        <v>101</v>
      </c>
      <c r="G365">
        <v>117</v>
      </c>
      <c r="H365">
        <v>-16</v>
      </c>
      <c r="I365">
        <f>VLOOKUP(NBA_2026_Results3[[#This Row],[Home Team]], TeamRating, 2, FALSE) - VLOOKUP(NBA_2026_Results3[[#This Row],[Away Team]], TeamRating, 2, FALSE)+HomeEdge</f>
        <v>-1.3248128910573618</v>
      </c>
      <c r="J365">
        <f>(NBA_2026_Results3[[#This Row],[Home Margin]]-NBA_2026_Results3[[#This Row],[Home Forecast]])^2</f>
        <v>215.36111668247617</v>
      </c>
    </row>
    <row r="366" spans="4:10" x14ac:dyDescent="0.2">
      <c r="D366" t="s">
        <v>5</v>
      </c>
      <c r="E366" t="s">
        <v>31</v>
      </c>
      <c r="F366">
        <v>138</v>
      </c>
      <c r="G366">
        <v>89</v>
      </c>
      <c r="H366">
        <v>49</v>
      </c>
      <c r="I366">
        <f>VLOOKUP(NBA_2026_Results3[[#This Row],[Home Team]], TeamRating, 2, FALSE) - VLOOKUP(NBA_2026_Results3[[#This Row],[Away Team]], TeamRating, 2, FALSE)+HomeEdge</f>
        <v>10.269988142644817</v>
      </c>
      <c r="J366">
        <f>(NBA_2026_Results3[[#This Row],[Home Margin]]-NBA_2026_Results3[[#This Row],[Home Forecast]])^2</f>
        <v>1500.0138184708728</v>
      </c>
    </row>
    <row r="367" spans="4:10" x14ac:dyDescent="0.2">
      <c r="D367" t="s">
        <v>7</v>
      </c>
      <c r="E367" t="s">
        <v>28</v>
      </c>
      <c r="F367">
        <v>119</v>
      </c>
      <c r="G367">
        <v>132</v>
      </c>
      <c r="H367">
        <v>-13</v>
      </c>
      <c r="I367">
        <f>VLOOKUP(NBA_2026_Results3[[#This Row],[Home Team]], TeamRating, 2, FALSE) - VLOOKUP(NBA_2026_Results3[[#This Row],[Away Team]], TeamRating, 2, FALSE)+HomeEdge</f>
        <v>-4.0086060868916134</v>
      </c>
      <c r="J367">
        <f>(NBA_2026_Results3[[#This Row],[Home Margin]]-NBA_2026_Results3[[#This Row],[Home Forecast]])^2</f>
        <v>80.845164500682529</v>
      </c>
    </row>
    <row r="368" spans="4:10" x14ac:dyDescent="0.2">
      <c r="D368" t="s">
        <v>6</v>
      </c>
      <c r="E368" t="s">
        <v>26</v>
      </c>
      <c r="F368">
        <v>115</v>
      </c>
      <c r="G368">
        <v>113</v>
      </c>
      <c r="H368">
        <v>2</v>
      </c>
      <c r="I368">
        <f>VLOOKUP(NBA_2026_Results3[[#This Row],[Home Team]], TeamRating, 2, FALSE) - VLOOKUP(NBA_2026_Results3[[#This Row],[Away Team]], TeamRating, 2, FALSE)+HomeEdge</f>
        <v>7.6034767433320942</v>
      </c>
      <c r="J368">
        <f>(NBA_2026_Results3[[#This Row],[Home Margin]]-NBA_2026_Results3[[#This Row],[Home Forecast]])^2</f>
        <v>31.398951613063652</v>
      </c>
    </row>
    <row r="369" spans="4:10" x14ac:dyDescent="0.2">
      <c r="D369" t="s">
        <v>23</v>
      </c>
      <c r="E369" t="s">
        <v>15</v>
      </c>
      <c r="F369">
        <v>116</v>
      </c>
      <c r="G369">
        <v>101</v>
      </c>
      <c r="H369">
        <v>15</v>
      </c>
      <c r="I369">
        <f>VLOOKUP(NBA_2026_Results3[[#This Row],[Home Team]], TeamRating, 2, FALSE) - VLOOKUP(NBA_2026_Results3[[#This Row],[Away Team]], TeamRating, 2, FALSE)+HomeEdge</f>
        <v>-7.5670859786537568</v>
      </c>
      <c r="J369">
        <f>(NBA_2026_Results3[[#This Row],[Home Margin]]-NBA_2026_Results3[[#This Row],[Home Forecast]])^2</f>
        <v>509.27336956795102</v>
      </c>
    </row>
    <row r="370" spans="4:10" x14ac:dyDescent="0.2">
      <c r="D370" t="s">
        <v>22</v>
      </c>
      <c r="E370" t="s">
        <v>29</v>
      </c>
      <c r="F370">
        <v>143</v>
      </c>
      <c r="G370">
        <v>120</v>
      </c>
      <c r="H370">
        <v>23</v>
      </c>
      <c r="I370">
        <f>VLOOKUP(NBA_2026_Results3[[#This Row],[Home Team]], TeamRating, 2, FALSE) - VLOOKUP(NBA_2026_Results3[[#This Row],[Away Team]], TeamRating, 2, FALSE)+HomeEdge</f>
        <v>-2.9928905331072171</v>
      </c>
      <c r="J370">
        <f>(NBA_2026_Results3[[#This Row],[Home Margin]]-NBA_2026_Results3[[#This Row],[Home Forecast]])^2</f>
        <v>675.63035826609485</v>
      </c>
    </row>
    <row r="371" spans="4:10" x14ac:dyDescent="0.2">
      <c r="D371" t="s">
        <v>32</v>
      </c>
      <c r="E371" t="s">
        <v>34</v>
      </c>
      <c r="F371">
        <v>105</v>
      </c>
      <c r="G371">
        <v>136</v>
      </c>
      <c r="H371">
        <v>-31</v>
      </c>
      <c r="I371">
        <f>VLOOKUP(NBA_2026_Results3[[#This Row],[Home Team]], TeamRating, 2, FALSE) - VLOOKUP(NBA_2026_Results3[[#This Row],[Away Team]], TeamRating, 2, FALSE)+HomeEdge</f>
        <v>-9.9803501471634064</v>
      </c>
      <c r="J371">
        <f>(NBA_2026_Results3[[#This Row],[Home Margin]]-NBA_2026_Results3[[#This Row],[Home Forecast]])^2</f>
        <v>441.82567993585343</v>
      </c>
    </row>
    <row r="372" spans="4:10" x14ac:dyDescent="0.2">
      <c r="D372" t="s">
        <v>9</v>
      </c>
      <c r="E372" t="s">
        <v>19</v>
      </c>
      <c r="F372">
        <v>126</v>
      </c>
      <c r="G372">
        <v>129</v>
      </c>
      <c r="H372">
        <v>-3</v>
      </c>
      <c r="I372">
        <f>VLOOKUP(NBA_2026_Results3[[#This Row],[Home Team]], TeamRating, 2, FALSE) - VLOOKUP(NBA_2026_Results3[[#This Row],[Away Team]], TeamRating, 2, FALSE)+HomeEdge</f>
        <v>5.6433895266682068</v>
      </c>
      <c r="J372">
        <f>(NBA_2026_Results3[[#This Row],[Home Margin]]-NBA_2026_Results3[[#This Row],[Home Forecast]])^2</f>
        <v>74.708182509717645</v>
      </c>
    </row>
    <row r="373" spans="4:10" x14ac:dyDescent="0.2">
      <c r="D373" t="s">
        <v>20</v>
      </c>
      <c r="E373" t="s">
        <v>17</v>
      </c>
      <c r="F373">
        <v>142</v>
      </c>
      <c r="G373">
        <v>115</v>
      </c>
      <c r="H373">
        <v>27</v>
      </c>
      <c r="I373">
        <f>VLOOKUP(NBA_2026_Results3[[#This Row],[Home Team]], TeamRating, 2, FALSE) - VLOOKUP(NBA_2026_Results3[[#This Row],[Away Team]], TeamRating, 2, FALSE)+HomeEdge</f>
        <v>7.6638257731293455</v>
      </c>
      <c r="J373">
        <f>(NBA_2026_Results3[[#This Row],[Home Margin]]-NBA_2026_Results3[[#This Row],[Home Forecast]])^2</f>
        <v>373.88763373189693</v>
      </c>
    </row>
    <row r="374" spans="4:10" x14ac:dyDescent="0.2">
      <c r="D374" t="s">
        <v>16</v>
      </c>
      <c r="E374" t="s">
        <v>33</v>
      </c>
      <c r="F374">
        <v>115</v>
      </c>
      <c r="G374">
        <v>105</v>
      </c>
      <c r="H374">
        <v>10</v>
      </c>
      <c r="I374">
        <f>VLOOKUP(NBA_2026_Results3[[#This Row],[Home Team]], TeamRating, 2, FALSE) - VLOOKUP(NBA_2026_Results3[[#This Row],[Away Team]], TeamRating, 2, FALSE)+HomeEdge</f>
        <v>9.2491895955507601</v>
      </c>
      <c r="J374">
        <f>(NBA_2026_Results3[[#This Row],[Home Margin]]-NBA_2026_Results3[[#This Row],[Home Forecast]])^2</f>
        <v>0.56371626342923109</v>
      </c>
    </row>
    <row r="375" spans="4:10" x14ac:dyDescent="0.2">
      <c r="D375" t="s">
        <v>24</v>
      </c>
      <c r="E375" t="s">
        <v>12</v>
      </c>
      <c r="F375">
        <v>126</v>
      </c>
      <c r="G375">
        <v>130</v>
      </c>
      <c r="H375">
        <v>-4</v>
      </c>
      <c r="I375">
        <f>VLOOKUP(NBA_2026_Results3[[#This Row],[Home Team]], TeamRating, 2, FALSE) - VLOOKUP(NBA_2026_Results3[[#This Row],[Away Team]], TeamRating, 2, FALSE)+HomeEdge</f>
        <v>-10.966217008430093</v>
      </c>
      <c r="J375">
        <f>(NBA_2026_Results3[[#This Row],[Home Margin]]-NBA_2026_Results3[[#This Row],[Home Forecast]])^2</f>
        <v>48.528179408540709</v>
      </c>
    </row>
    <row r="376" spans="4:10" x14ac:dyDescent="0.2">
      <c r="D376" t="s">
        <v>21</v>
      </c>
      <c r="E376" t="s">
        <v>25</v>
      </c>
      <c r="F376">
        <v>126</v>
      </c>
      <c r="G376">
        <v>130</v>
      </c>
      <c r="H376">
        <v>-4</v>
      </c>
      <c r="I376">
        <f>VLOOKUP(NBA_2026_Results3[[#This Row],[Home Team]], TeamRating, 2, FALSE) - VLOOKUP(NBA_2026_Results3[[#This Row],[Away Team]], TeamRating, 2, FALSE)+HomeEdge</f>
        <v>7.9082731866415648</v>
      </c>
      <c r="J376">
        <f>(NBA_2026_Results3[[#This Row],[Home Margin]]-NBA_2026_Results3[[#This Row],[Home Forecast]])^2</f>
        <v>141.80697028768648</v>
      </c>
    </row>
    <row r="377" spans="4:10" x14ac:dyDescent="0.2">
      <c r="D377" t="s">
        <v>27</v>
      </c>
      <c r="E377" t="s">
        <v>10</v>
      </c>
      <c r="F377">
        <v>119</v>
      </c>
      <c r="G377">
        <v>111</v>
      </c>
      <c r="H377">
        <v>8</v>
      </c>
      <c r="I377">
        <f>VLOOKUP(NBA_2026_Results3[[#This Row],[Home Team]], TeamRating, 2, FALSE) - VLOOKUP(NBA_2026_Results3[[#This Row],[Away Team]], TeamRating, 2, FALSE)+HomeEdge</f>
        <v>5.2950313827153082</v>
      </c>
      <c r="J377">
        <f>(NBA_2026_Results3[[#This Row],[Home Margin]]-NBA_2026_Results3[[#This Row],[Home Forecast]])^2</f>
        <v>7.3168552204950581</v>
      </c>
    </row>
    <row r="378" spans="4:10" x14ac:dyDescent="0.2">
      <c r="D378" t="s">
        <v>8</v>
      </c>
      <c r="E378" t="s">
        <v>30</v>
      </c>
      <c r="F378">
        <v>120</v>
      </c>
      <c r="G378">
        <v>127</v>
      </c>
      <c r="H378">
        <v>-7</v>
      </c>
      <c r="I378">
        <f>VLOOKUP(NBA_2026_Results3[[#This Row],[Home Team]], TeamRating, 2, FALSE) - VLOOKUP(NBA_2026_Results3[[#This Row],[Away Team]], TeamRating, 2, FALSE)+HomeEdge</f>
        <v>0.35608342577786356</v>
      </c>
      <c r="J378">
        <f>(NBA_2026_Results3[[#This Row],[Home Margin]]-NBA_2026_Results3[[#This Row],[Home Forecast]])^2</f>
        <v>54.111963367003789</v>
      </c>
    </row>
    <row r="379" spans="4:10" x14ac:dyDescent="0.2">
      <c r="D379" t="s">
        <v>13</v>
      </c>
      <c r="E379" t="s">
        <v>11</v>
      </c>
      <c r="F379">
        <v>120</v>
      </c>
      <c r="G379">
        <v>132</v>
      </c>
      <c r="H379">
        <v>-12</v>
      </c>
      <c r="I379">
        <f>VLOOKUP(NBA_2026_Results3[[#This Row],[Home Team]], TeamRating, 2, FALSE) - VLOOKUP(NBA_2026_Results3[[#This Row],[Away Team]], TeamRating, 2, FALSE)+HomeEdge</f>
        <v>-2.5167880812604402</v>
      </c>
      <c r="J379">
        <f>(NBA_2026_Results3[[#This Row],[Home Margin]]-NBA_2026_Results3[[#This Row],[Home Forecast]])^2</f>
        <v>89.931308295724037</v>
      </c>
    </row>
    <row r="380" spans="4:10" x14ac:dyDescent="0.2">
      <c r="D380" t="s">
        <v>5</v>
      </c>
      <c r="E380" t="s">
        <v>28</v>
      </c>
      <c r="F380">
        <v>109</v>
      </c>
      <c r="G380">
        <v>111</v>
      </c>
      <c r="H380">
        <v>-2</v>
      </c>
      <c r="I380">
        <f>VLOOKUP(NBA_2026_Results3[[#This Row],[Home Team]], TeamRating, 2, FALSE) - VLOOKUP(NBA_2026_Results3[[#This Row],[Away Team]], TeamRating, 2, FALSE)+HomeEdge</f>
        <v>8.1569850349463682</v>
      </c>
      <c r="J380">
        <f>(NBA_2026_Results3[[#This Row],[Home Margin]]-NBA_2026_Results3[[#This Row],[Home Forecast]])^2</f>
        <v>103.16434500012447</v>
      </c>
    </row>
    <row r="381" spans="4:10" x14ac:dyDescent="0.2">
      <c r="D381" t="s">
        <v>33</v>
      </c>
      <c r="E381" t="s">
        <v>24</v>
      </c>
      <c r="F381">
        <v>89</v>
      </c>
      <c r="G381">
        <v>108</v>
      </c>
      <c r="H381">
        <v>-19</v>
      </c>
      <c r="I381">
        <f>VLOOKUP(NBA_2026_Results3[[#This Row],[Home Team]], TeamRating, 2, FALSE) - VLOOKUP(NBA_2026_Results3[[#This Row],[Away Team]], TeamRating, 2, FALSE)+HomeEdge</f>
        <v>4.3740195782354032</v>
      </c>
      <c r="J381">
        <f>(NBA_2026_Results3[[#This Row],[Home Margin]]-NBA_2026_Results3[[#This Row],[Home Forecast]])^2</f>
        <v>546.34479124373206</v>
      </c>
    </row>
    <row r="382" spans="4:10" x14ac:dyDescent="0.2">
      <c r="D382" t="s">
        <v>12</v>
      </c>
      <c r="E382" t="s">
        <v>9</v>
      </c>
      <c r="F382">
        <v>111</v>
      </c>
      <c r="G382">
        <v>119</v>
      </c>
      <c r="H382">
        <v>-8</v>
      </c>
      <c r="I382">
        <f>VLOOKUP(NBA_2026_Results3[[#This Row],[Home Team]], TeamRating, 2, FALSE) - VLOOKUP(NBA_2026_Results3[[#This Row],[Away Team]], TeamRating, 2, FALSE)+HomeEdge</f>
        <v>3.6990740287303154</v>
      </c>
      <c r="J382">
        <f>(NBA_2026_Results3[[#This Row],[Home Margin]]-NBA_2026_Results3[[#This Row],[Home Forecast]])^2</f>
        <v>136.86833312971217</v>
      </c>
    </row>
    <row r="383" spans="4:10" x14ac:dyDescent="0.2">
      <c r="D383" t="s">
        <v>17</v>
      </c>
      <c r="E383" t="s">
        <v>16</v>
      </c>
      <c r="F383">
        <v>120</v>
      </c>
      <c r="G383">
        <v>117</v>
      </c>
      <c r="H383">
        <v>3</v>
      </c>
      <c r="I383">
        <f>VLOOKUP(NBA_2026_Results3[[#This Row],[Home Team]], TeamRating, 2, FALSE) - VLOOKUP(NBA_2026_Results3[[#This Row],[Away Team]], TeamRating, 2, FALSE)+HomeEdge</f>
        <v>1.2966634538041772</v>
      </c>
      <c r="J383">
        <f>(NBA_2026_Results3[[#This Row],[Home Margin]]-NBA_2026_Results3[[#This Row],[Home Forecast]])^2</f>
        <v>2.901355389606314</v>
      </c>
    </row>
    <row r="384" spans="4:10" x14ac:dyDescent="0.2">
      <c r="D384" t="s">
        <v>10</v>
      </c>
      <c r="E384" t="s">
        <v>23</v>
      </c>
      <c r="F384">
        <v>127</v>
      </c>
      <c r="G384">
        <v>82</v>
      </c>
      <c r="H384">
        <v>45</v>
      </c>
      <c r="I384">
        <f>VLOOKUP(NBA_2026_Results3[[#This Row],[Home Team]], TeamRating, 2, FALSE) - VLOOKUP(NBA_2026_Results3[[#This Row],[Away Team]], TeamRating, 2, FALSE)+HomeEdge</f>
        <v>-0.85409000889062536</v>
      </c>
      <c r="J384">
        <f>(NBA_2026_Results3[[#This Row],[Home Margin]]-NBA_2026_Results3[[#This Row],[Home Forecast]])^2</f>
        <v>2102.597570543443</v>
      </c>
    </row>
    <row r="385" spans="4:10" x14ac:dyDescent="0.2">
      <c r="D385" t="s">
        <v>19</v>
      </c>
      <c r="E385" t="s">
        <v>22</v>
      </c>
      <c r="F385">
        <v>104</v>
      </c>
      <c r="G385">
        <v>114</v>
      </c>
      <c r="H385">
        <v>-10</v>
      </c>
      <c r="I385">
        <f>VLOOKUP(NBA_2026_Results3[[#This Row],[Home Team]], TeamRating, 2, FALSE) - VLOOKUP(NBA_2026_Results3[[#This Row],[Away Team]], TeamRating, 2, FALSE)+HomeEdge</f>
        <v>4.7276750799876028</v>
      </c>
      <c r="J385">
        <f>(NBA_2026_Results3[[#This Row],[Home Margin]]-NBA_2026_Results3[[#This Row],[Home Forecast]])^2</f>
        <v>216.90441326168781</v>
      </c>
    </row>
    <row r="386" spans="4:10" x14ac:dyDescent="0.2">
      <c r="D386" t="s">
        <v>30</v>
      </c>
      <c r="E386" t="s">
        <v>32</v>
      </c>
      <c r="F386">
        <v>117</v>
      </c>
      <c r="G386">
        <v>103</v>
      </c>
      <c r="H386">
        <v>14</v>
      </c>
      <c r="I386">
        <f>VLOOKUP(NBA_2026_Results3[[#This Row],[Home Team]], TeamRating, 2, FALSE) - VLOOKUP(NBA_2026_Results3[[#This Row],[Away Team]], TeamRating, 2, FALSE)+HomeEdge</f>
        <v>14.744409463657217</v>
      </c>
      <c r="J386">
        <f>(NBA_2026_Results3[[#This Row],[Home Margin]]-NBA_2026_Results3[[#This Row],[Home Forecast]])^2</f>
        <v>0.55414544958242506</v>
      </c>
    </row>
    <row r="387" spans="4:10" x14ac:dyDescent="0.2">
      <c r="D387" t="s">
        <v>31</v>
      </c>
      <c r="E387" t="s">
        <v>7</v>
      </c>
      <c r="F387">
        <v>114</v>
      </c>
      <c r="G387">
        <v>116</v>
      </c>
      <c r="H387">
        <v>-2</v>
      </c>
      <c r="I387">
        <f>VLOOKUP(NBA_2026_Results3[[#This Row],[Home Team]], TeamRating, 2, FALSE) - VLOOKUP(NBA_2026_Results3[[#This Row],[Away Team]], TeamRating, 2, FALSE)+HomeEdge</f>
        <v>5.5103939815267928</v>
      </c>
      <c r="J387">
        <f>(NBA_2026_Results3[[#This Row],[Home Margin]]-NBA_2026_Results3[[#This Row],[Home Forecast]])^2</f>
        <v>56.406017757753872</v>
      </c>
    </row>
    <row r="388" spans="4:10" x14ac:dyDescent="0.2">
      <c r="D388" t="s">
        <v>29</v>
      </c>
      <c r="E388" t="s">
        <v>8</v>
      </c>
      <c r="F388">
        <v>136</v>
      </c>
      <c r="G388">
        <v>131</v>
      </c>
      <c r="H388">
        <v>5</v>
      </c>
      <c r="I388">
        <f>VLOOKUP(NBA_2026_Results3[[#This Row],[Home Team]], TeamRating, 2, FALSE) - VLOOKUP(NBA_2026_Results3[[#This Row],[Away Team]], TeamRating, 2, FALSE)+HomeEdge</f>
        <v>-2.0318888489638756</v>
      </c>
      <c r="J388">
        <f>(NBA_2026_Results3[[#This Row],[Home Margin]]-NBA_2026_Results3[[#This Row],[Home Forecast]])^2</f>
        <v>49.447460784182496</v>
      </c>
    </row>
    <row r="389" spans="4:10" x14ac:dyDescent="0.2">
      <c r="D389" t="s">
        <v>15</v>
      </c>
      <c r="E389" t="s">
        <v>20</v>
      </c>
      <c r="F389">
        <v>105</v>
      </c>
      <c r="G389">
        <v>112</v>
      </c>
      <c r="H389">
        <v>-7</v>
      </c>
      <c r="I389">
        <f>VLOOKUP(NBA_2026_Results3[[#This Row],[Home Team]], TeamRating, 2, FALSE) - VLOOKUP(NBA_2026_Results3[[#This Row],[Away Team]], TeamRating, 2, FALSE)+HomeEdge</f>
        <v>1.6921947778351836</v>
      </c>
      <c r="J389">
        <f>(NBA_2026_Results3[[#This Row],[Home Margin]]-NBA_2026_Results3[[#This Row],[Home Forecast]])^2</f>
        <v>75.554250055825236</v>
      </c>
    </row>
    <row r="390" spans="4:10" x14ac:dyDescent="0.2">
      <c r="D390" t="s">
        <v>14</v>
      </c>
      <c r="E390" t="s">
        <v>18</v>
      </c>
      <c r="F390">
        <v>96</v>
      </c>
      <c r="G390">
        <v>106</v>
      </c>
      <c r="H390">
        <v>-10</v>
      </c>
      <c r="I390">
        <f>VLOOKUP(NBA_2026_Results3[[#This Row],[Home Team]], TeamRating, 2, FALSE) - VLOOKUP(NBA_2026_Results3[[#This Row],[Away Team]], TeamRating, 2, FALSE)+HomeEdge</f>
        <v>2.8344129209054905</v>
      </c>
      <c r="J390">
        <f>(NBA_2026_Results3[[#This Row],[Home Margin]]-NBA_2026_Results3[[#This Row],[Home Forecast]])^2</f>
        <v>164.72215502430581</v>
      </c>
    </row>
    <row r="391" spans="4:10" x14ac:dyDescent="0.2">
      <c r="D391" t="s">
        <v>25</v>
      </c>
      <c r="E391" t="s">
        <v>27</v>
      </c>
      <c r="F391">
        <v>140</v>
      </c>
      <c r="G391">
        <v>133</v>
      </c>
      <c r="H391">
        <v>7</v>
      </c>
      <c r="I391">
        <f>VLOOKUP(NBA_2026_Results3[[#This Row],[Home Team]], TeamRating, 2, FALSE) - VLOOKUP(NBA_2026_Results3[[#This Row],[Away Team]], TeamRating, 2, FALSE)+HomeEdge</f>
        <v>-2.7266917400571495</v>
      </c>
      <c r="J391">
        <f>(NBA_2026_Results3[[#This Row],[Home Margin]]-NBA_2026_Results3[[#This Row],[Home Forecast]])^2</f>
        <v>94.608532206095958</v>
      </c>
    </row>
    <row r="392" spans="4:10" x14ac:dyDescent="0.2">
      <c r="D392" t="s">
        <v>34</v>
      </c>
      <c r="E392" t="s">
        <v>6</v>
      </c>
      <c r="F392">
        <v>128</v>
      </c>
      <c r="G392">
        <v>125</v>
      </c>
      <c r="H392">
        <v>3</v>
      </c>
      <c r="I392">
        <f>VLOOKUP(NBA_2026_Results3[[#This Row],[Home Team]], TeamRating, 2, FALSE) - VLOOKUP(NBA_2026_Results3[[#This Row],[Away Team]], TeamRating, 2, FALSE)+HomeEdge</f>
        <v>-0.88723017441332663</v>
      </c>
      <c r="J392">
        <f>(NBA_2026_Results3[[#This Row],[Home Margin]]-NBA_2026_Results3[[#This Row],[Home Forecast]])^2</f>
        <v>15.110558428869462</v>
      </c>
    </row>
    <row r="393" spans="4:10" x14ac:dyDescent="0.2">
      <c r="D393" t="s">
        <v>26</v>
      </c>
      <c r="E393" t="s">
        <v>21</v>
      </c>
      <c r="F393">
        <v>103</v>
      </c>
      <c r="G393">
        <v>121</v>
      </c>
      <c r="H393">
        <v>-18</v>
      </c>
      <c r="I393">
        <f>VLOOKUP(NBA_2026_Results3[[#This Row],[Home Team]], TeamRating, 2, FALSE) - VLOOKUP(NBA_2026_Results3[[#This Row],[Away Team]], TeamRating, 2, FALSE)+HomeEdge</f>
        <v>3.5158394492843001</v>
      </c>
      <c r="J393">
        <f>(NBA_2026_Results3[[#This Row],[Home Margin]]-NBA_2026_Results3[[#This Row],[Home Forecast]])^2</f>
        <v>462.93134720737851</v>
      </c>
    </row>
    <row r="394" spans="4:10" x14ac:dyDescent="0.2">
      <c r="D394" t="s">
        <v>11</v>
      </c>
      <c r="E394" t="s">
        <v>28</v>
      </c>
      <c r="F394">
        <v>124</v>
      </c>
      <c r="G394">
        <v>113</v>
      </c>
      <c r="H394">
        <v>11</v>
      </c>
      <c r="I394">
        <f>VLOOKUP(NBA_2026_Results3[[#This Row],[Home Team]], TeamRating, 2, FALSE) - VLOOKUP(NBA_2026_Results3[[#This Row],[Away Team]], TeamRating, 2, FALSE)+HomeEdge</f>
        <v>1.088563617386991</v>
      </c>
      <c r="J394">
        <f>(NBA_2026_Results3[[#This Row],[Home Margin]]-NBA_2026_Results3[[#This Row],[Home Forecast]])^2</f>
        <v>98.236571166584838</v>
      </c>
    </row>
    <row r="395" spans="4:10" x14ac:dyDescent="0.2">
      <c r="D395" t="s">
        <v>19</v>
      </c>
      <c r="E395" t="s">
        <v>12</v>
      </c>
      <c r="F395">
        <v>127</v>
      </c>
      <c r="G395">
        <v>111</v>
      </c>
      <c r="H395">
        <v>16</v>
      </c>
      <c r="I395">
        <f>VLOOKUP(NBA_2026_Results3[[#This Row],[Home Team]], TeamRating, 2, FALSE) - VLOOKUP(NBA_2026_Results3[[#This Row],[Away Team]], TeamRating, 2, FALSE)+HomeEdge</f>
        <v>-3.9202770518980818</v>
      </c>
      <c r="J395">
        <f>(NBA_2026_Results3[[#This Row],[Home Margin]]-NBA_2026_Results3[[#This Row],[Home Forecast]])^2</f>
        <v>396.81743782437735</v>
      </c>
    </row>
    <row r="396" spans="4:10" x14ac:dyDescent="0.2">
      <c r="D396" t="s">
        <v>30</v>
      </c>
      <c r="E396" t="s">
        <v>21</v>
      </c>
      <c r="F396">
        <v>110</v>
      </c>
      <c r="G396">
        <v>116</v>
      </c>
      <c r="H396">
        <v>-6</v>
      </c>
      <c r="I396">
        <f>VLOOKUP(NBA_2026_Results3[[#This Row],[Home Team]], TeamRating, 2, FALSE) - VLOOKUP(NBA_2026_Results3[[#This Row],[Away Team]], TeamRating, 2, FALSE)+HomeEdge</f>
        <v>7.7665633300296255</v>
      </c>
      <c r="J396">
        <f>(NBA_2026_Results3[[#This Row],[Home Margin]]-NBA_2026_Results3[[#This Row],[Home Forecast]])^2</f>
        <v>189.51826591971638</v>
      </c>
    </row>
    <row r="397" spans="4:10" x14ac:dyDescent="0.2">
      <c r="D397" t="s">
        <v>9</v>
      </c>
      <c r="E397" t="s">
        <v>17</v>
      </c>
      <c r="F397">
        <v>133</v>
      </c>
      <c r="G397">
        <v>126</v>
      </c>
      <c r="H397">
        <v>7</v>
      </c>
      <c r="I397">
        <f>VLOOKUP(NBA_2026_Results3[[#This Row],[Home Team]], TeamRating, 2, FALSE) - VLOOKUP(NBA_2026_Results3[[#This Row],[Away Team]], TeamRating, 2, FALSE)+HomeEdge</f>
        <v>3.1916433591103148</v>
      </c>
      <c r="J397">
        <f>(NBA_2026_Results3[[#This Row],[Home Margin]]-NBA_2026_Results3[[#This Row],[Home Forecast]])^2</f>
        <v>14.503580304208567</v>
      </c>
    </row>
    <row r="398" spans="4:10" x14ac:dyDescent="0.2">
      <c r="D398" t="s">
        <v>33</v>
      </c>
      <c r="E398" t="s">
        <v>11</v>
      </c>
      <c r="F398">
        <v>113</v>
      </c>
      <c r="G398">
        <v>114</v>
      </c>
      <c r="H398">
        <v>-1</v>
      </c>
      <c r="I398">
        <f>VLOOKUP(NBA_2026_Results3[[#This Row],[Home Team]], TeamRating, 2, FALSE) - VLOOKUP(NBA_2026_Results3[[#This Row],[Away Team]], TeamRating, 2, FALSE)+HomeEdge</f>
        <v>-9.8882239485877506</v>
      </c>
      <c r="J398">
        <f>(NBA_2026_Results3[[#This Row],[Home Margin]]-NBA_2026_Results3[[#This Row],[Home Forecast]])^2</f>
        <v>79.000524960248825</v>
      </c>
    </row>
    <row r="399" spans="4:10" x14ac:dyDescent="0.2">
      <c r="D399" t="s">
        <v>10</v>
      </c>
      <c r="E399" t="s">
        <v>14</v>
      </c>
      <c r="F399">
        <v>95</v>
      </c>
      <c r="G399">
        <v>106</v>
      </c>
      <c r="H399">
        <v>-11</v>
      </c>
      <c r="I399">
        <f>VLOOKUP(NBA_2026_Results3[[#This Row],[Home Team]], TeamRating, 2, FALSE) - VLOOKUP(NBA_2026_Results3[[#This Row],[Away Team]], TeamRating, 2, FALSE)+HomeEdge</f>
        <v>-7.1467083703280485</v>
      </c>
      <c r="J399">
        <f>(NBA_2026_Results3[[#This Row],[Home Margin]]-NBA_2026_Results3[[#This Row],[Home Forecast]])^2</f>
        <v>14.847856383299924</v>
      </c>
    </row>
    <row r="400" spans="4:10" x14ac:dyDescent="0.2">
      <c r="D400" t="s">
        <v>23</v>
      </c>
      <c r="E400" t="s">
        <v>18</v>
      </c>
      <c r="F400">
        <v>105</v>
      </c>
      <c r="G400">
        <v>111</v>
      </c>
      <c r="H400">
        <v>-6</v>
      </c>
      <c r="I400">
        <f>VLOOKUP(NBA_2026_Results3[[#This Row],[Home Team]], TeamRating, 2, FALSE) - VLOOKUP(NBA_2026_Results3[[#This Row],[Away Team]], TeamRating, 2, FALSE)+HomeEdge</f>
        <v>-3.4582054405319322</v>
      </c>
      <c r="J400">
        <f>(NBA_2026_Results3[[#This Row],[Home Margin]]-NBA_2026_Results3[[#This Row],[Home Forecast]])^2</f>
        <v>6.4607195825414685</v>
      </c>
    </row>
    <row r="401" spans="4:10" x14ac:dyDescent="0.2">
      <c r="D401" t="s">
        <v>22</v>
      </c>
      <c r="E401" t="s">
        <v>6</v>
      </c>
      <c r="F401">
        <v>133</v>
      </c>
      <c r="G401">
        <v>128</v>
      </c>
      <c r="H401">
        <v>5</v>
      </c>
      <c r="I401">
        <f>VLOOKUP(NBA_2026_Results3[[#This Row],[Home Team]], TeamRating, 2, FALSE) - VLOOKUP(NBA_2026_Results3[[#This Row],[Away Team]], TeamRating, 2, FALSE)+HomeEdge</f>
        <v>-9.8288443200468123</v>
      </c>
      <c r="J401">
        <f>(NBA_2026_Results3[[#This Row],[Home Margin]]-NBA_2026_Results3[[#This Row],[Home Forecast]])^2</f>
        <v>219.8946238681846</v>
      </c>
    </row>
    <row r="402" spans="4:10" x14ac:dyDescent="0.2">
      <c r="D402" t="s">
        <v>5</v>
      </c>
      <c r="E402" t="s">
        <v>26</v>
      </c>
      <c r="F402">
        <v>122</v>
      </c>
      <c r="G402">
        <v>101</v>
      </c>
      <c r="H402">
        <v>21</v>
      </c>
      <c r="I402">
        <f>VLOOKUP(NBA_2026_Results3[[#This Row],[Home Team]], TeamRating, 2, FALSE) - VLOOKUP(NBA_2026_Results3[[#This Row],[Away Team]], TeamRating, 2, FALSE)+HomeEdge</f>
        <v>13.17224148878978</v>
      </c>
      <c r="J402">
        <f>(NBA_2026_Results3[[#This Row],[Home Margin]]-NBA_2026_Results3[[#This Row],[Home Forecast]])^2</f>
        <v>61.273803309824039</v>
      </c>
    </row>
    <row r="403" spans="4:10" x14ac:dyDescent="0.2">
      <c r="D403" t="s">
        <v>28</v>
      </c>
      <c r="E403" t="s">
        <v>24</v>
      </c>
      <c r="F403">
        <v>119</v>
      </c>
      <c r="G403">
        <v>94</v>
      </c>
      <c r="H403">
        <v>25</v>
      </c>
      <c r="I403">
        <f>VLOOKUP(NBA_2026_Results3[[#This Row],[Home Team]], TeamRating, 2, FALSE) - VLOOKUP(NBA_2026_Results3[[#This Row],[Away Team]], TeamRating, 2, FALSE)+HomeEdge</f>
        <v>16.788470911769789</v>
      </c>
      <c r="J403">
        <f>(NBA_2026_Results3[[#This Row],[Home Margin]]-NBA_2026_Results3[[#This Row],[Home Forecast]])^2</f>
        <v>67.429209966850877</v>
      </c>
    </row>
    <row r="404" spans="4:10" x14ac:dyDescent="0.2">
      <c r="D404" t="s">
        <v>27</v>
      </c>
      <c r="E404" t="s">
        <v>20</v>
      </c>
      <c r="F404">
        <v>116</v>
      </c>
      <c r="G404">
        <v>114</v>
      </c>
      <c r="H404">
        <v>2</v>
      </c>
      <c r="I404">
        <f>VLOOKUP(NBA_2026_Results3[[#This Row],[Home Team]], TeamRating, 2, FALSE) - VLOOKUP(NBA_2026_Results3[[#This Row],[Away Team]], TeamRating, 2, FALSE)+HomeEdge</f>
        <v>-6.8561363304943308</v>
      </c>
      <c r="J404">
        <f>(NBA_2026_Results3[[#This Row],[Home Margin]]-NBA_2026_Results3[[#This Row],[Home Forecast]])^2</f>
        <v>78.431150704301572</v>
      </c>
    </row>
    <row r="405" spans="4:10" x14ac:dyDescent="0.2">
      <c r="D405" t="s">
        <v>34</v>
      </c>
      <c r="E405" t="s">
        <v>13</v>
      </c>
      <c r="F405">
        <v>126</v>
      </c>
      <c r="G405">
        <v>115</v>
      </c>
      <c r="H405">
        <v>11</v>
      </c>
      <c r="I405">
        <f>VLOOKUP(NBA_2026_Results3[[#This Row],[Home Team]], TeamRating, 2, FALSE) - VLOOKUP(NBA_2026_Results3[[#This Row],[Away Team]], TeamRating, 2, FALSE)+HomeEdge</f>
        <v>4.9366100801156172</v>
      </c>
      <c r="J405">
        <f>(NBA_2026_Results3[[#This Row],[Home Margin]]-NBA_2026_Results3[[#This Row],[Home Forecast]])^2</f>
        <v>36.764697320555541</v>
      </c>
    </row>
    <row r="406" spans="4:10" x14ac:dyDescent="0.2">
      <c r="D406" t="s">
        <v>31</v>
      </c>
      <c r="E406" t="s">
        <v>8</v>
      </c>
      <c r="F406">
        <v>99</v>
      </c>
      <c r="G406">
        <v>98</v>
      </c>
      <c r="H406">
        <v>1</v>
      </c>
      <c r="I406">
        <f>VLOOKUP(NBA_2026_Results3[[#This Row],[Home Team]], TeamRating, 2, FALSE) - VLOOKUP(NBA_2026_Results3[[#This Row],[Away Team]], TeamRating, 2, FALSE)+HomeEdge</f>
        <v>1.9102370419554036</v>
      </c>
      <c r="J406">
        <f>(NBA_2026_Results3[[#This Row],[Home Margin]]-NBA_2026_Results3[[#This Row],[Home Forecast]])^2</f>
        <v>0.82853147254772308</v>
      </c>
    </row>
    <row r="407" spans="4:10" x14ac:dyDescent="0.2">
      <c r="D407" t="s">
        <v>25</v>
      </c>
      <c r="E407" t="s">
        <v>7</v>
      </c>
      <c r="F407">
        <v>135</v>
      </c>
      <c r="G407">
        <v>143</v>
      </c>
      <c r="H407">
        <v>-8</v>
      </c>
      <c r="I407">
        <f>VLOOKUP(NBA_2026_Results3[[#This Row],[Home Team]], TeamRating, 2, FALSE) - VLOOKUP(NBA_2026_Results3[[#This Row],[Away Team]], TeamRating, 2, FALSE)+HomeEdge</f>
        <v>-5.2011809982104111</v>
      </c>
      <c r="J407">
        <f>(NBA_2026_Results3[[#This Row],[Home Margin]]-NBA_2026_Results3[[#This Row],[Home Forecast]])^2</f>
        <v>7.8333878047784706</v>
      </c>
    </row>
    <row r="408" spans="4:10" x14ac:dyDescent="0.2">
      <c r="D408" t="s">
        <v>29</v>
      </c>
      <c r="E408" t="s">
        <v>32</v>
      </c>
      <c r="F408">
        <v>134</v>
      </c>
      <c r="G408">
        <v>133</v>
      </c>
      <c r="H408">
        <v>1</v>
      </c>
      <c r="I408">
        <f>VLOOKUP(NBA_2026_Results3[[#This Row],[Home Team]], TeamRating, 2, FALSE) - VLOOKUP(NBA_2026_Results3[[#This Row],[Away Team]], TeamRating, 2, FALSE)+HomeEdge</f>
        <v>9.4538130381375787</v>
      </c>
      <c r="J408">
        <f>(NBA_2026_Results3[[#This Row],[Home Margin]]-NBA_2026_Results3[[#This Row],[Home Forecast]])^2</f>
        <v>71.466954883784922</v>
      </c>
    </row>
    <row r="409" spans="4:10" x14ac:dyDescent="0.2">
      <c r="D409" t="s">
        <v>15</v>
      </c>
      <c r="E409" t="s">
        <v>14</v>
      </c>
      <c r="F409">
        <v>129</v>
      </c>
      <c r="G409">
        <v>116</v>
      </c>
      <c r="H409">
        <v>13</v>
      </c>
      <c r="I409">
        <f>VLOOKUP(NBA_2026_Results3[[#This Row],[Home Team]], TeamRating, 2, FALSE) - VLOOKUP(NBA_2026_Results3[[#This Row],[Away Team]], TeamRating, 2, FALSE)+HomeEdge</f>
        <v>4.8892586195499597</v>
      </c>
      <c r="J409">
        <f>(NBA_2026_Results3[[#This Row],[Home Margin]]-NBA_2026_Results3[[#This Row],[Home Forecast]])^2</f>
        <v>65.784125740544624</v>
      </c>
    </row>
    <row r="410" spans="4:10" x14ac:dyDescent="0.2">
      <c r="D410" t="s">
        <v>11</v>
      </c>
      <c r="E410" t="s">
        <v>16</v>
      </c>
      <c r="F410">
        <v>107</v>
      </c>
      <c r="G410">
        <v>116</v>
      </c>
      <c r="H410">
        <v>-9</v>
      </c>
      <c r="I410">
        <f>VLOOKUP(NBA_2026_Results3[[#This Row],[Home Team]], TeamRating, 2, FALSE) - VLOOKUP(NBA_2026_Results3[[#This Row],[Away Team]], TeamRating, 2, FALSE)+HomeEdge</f>
        <v>6.0612208565374308</v>
      </c>
      <c r="J410">
        <f>(NBA_2026_Results3[[#This Row],[Home Margin]]-NBA_2026_Results3[[#This Row],[Home Forecast]])^2</f>
        <v>226.84037368939812</v>
      </c>
    </row>
    <row r="411" spans="4:10" x14ac:dyDescent="0.2">
      <c r="D411" t="s">
        <v>17</v>
      </c>
      <c r="E411" t="s">
        <v>28</v>
      </c>
      <c r="F411">
        <v>98</v>
      </c>
      <c r="G411">
        <v>126</v>
      </c>
      <c r="H411">
        <v>-28</v>
      </c>
      <c r="I411">
        <f>VLOOKUP(NBA_2026_Results3[[#This Row],[Home Team]], TeamRating, 2, FALSE) - VLOOKUP(NBA_2026_Results3[[#This Row],[Away Team]], TeamRating, 2, FALSE)+HomeEdge</f>
        <v>-3.6759937853462628</v>
      </c>
      <c r="J411">
        <f>(NBA_2026_Results3[[#This Row],[Home Margin]]-NBA_2026_Results3[[#This Row],[Home Forecast]])^2</f>
        <v>591.65727833051358</v>
      </c>
    </row>
    <row r="412" spans="4:10" x14ac:dyDescent="0.2">
      <c r="D412" t="s">
        <v>12</v>
      </c>
      <c r="E412" t="s">
        <v>19</v>
      </c>
      <c r="F412">
        <v>125</v>
      </c>
      <c r="G412">
        <v>136</v>
      </c>
      <c r="H412">
        <v>-11</v>
      </c>
      <c r="I412">
        <f>VLOOKUP(NBA_2026_Results3[[#This Row],[Home Team]], TeamRating, 2, FALSE) - VLOOKUP(NBA_2026_Results3[[#This Row],[Away Team]], TeamRating, 2, FALSE)+HomeEdge</f>
        <v>7.5350680542317088</v>
      </c>
      <c r="J412">
        <f>(NBA_2026_Results3[[#This Row],[Home Margin]]-NBA_2026_Results3[[#This Row],[Home Forecast]])^2</f>
        <v>343.54874777500078</v>
      </c>
    </row>
    <row r="413" spans="4:10" x14ac:dyDescent="0.2">
      <c r="D413" t="s">
        <v>30</v>
      </c>
      <c r="E413" t="s">
        <v>5</v>
      </c>
      <c r="F413">
        <v>112</v>
      </c>
      <c r="G413">
        <v>107</v>
      </c>
      <c r="H413">
        <v>5</v>
      </c>
      <c r="I413">
        <f>VLOOKUP(NBA_2026_Results3[[#This Row],[Home Team]], TeamRating, 2, FALSE) - VLOOKUP(NBA_2026_Results3[[#This Row],[Away Team]], TeamRating, 2, FALSE)+HomeEdge</f>
        <v>-5.3067266057108293</v>
      </c>
      <c r="J413">
        <f>(NBA_2026_Results3[[#This Row],[Home Margin]]-NBA_2026_Results3[[#This Row],[Home Forecast]])^2</f>
        <v>106.22861332486745</v>
      </c>
    </row>
    <row r="414" spans="4:10" x14ac:dyDescent="0.2">
      <c r="D414" t="s">
        <v>34</v>
      </c>
      <c r="E414" t="s">
        <v>6</v>
      </c>
      <c r="F414">
        <v>101</v>
      </c>
      <c r="G414">
        <v>115</v>
      </c>
      <c r="H414">
        <v>-14</v>
      </c>
      <c r="I414">
        <f>VLOOKUP(NBA_2026_Results3[[#This Row],[Home Team]], TeamRating, 2, FALSE) - VLOOKUP(NBA_2026_Results3[[#This Row],[Away Team]], TeamRating, 2, FALSE)+HomeEdge</f>
        <v>-0.88723017441332663</v>
      </c>
      <c r="J414">
        <f>(NBA_2026_Results3[[#This Row],[Home Margin]]-NBA_2026_Results3[[#This Row],[Home Forecast]])^2</f>
        <v>171.94473249881634</v>
      </c>
    </row>
    <row r="415" spans="4:10" x14ac:dyDescent="0.2">
      <c r="D415" t="s">
        <v>22</v>
      </c>
      <c r="E415" t="s">
        <v>33</v>
      </c>
      <c r="F415">
        <v>128</v>
      </c>
      <c r="G415">
        <v>109</v>
      </c>
      <c r="H415">
        <v>19</v>
      </c>
      <c r="I415">
        <f>VLOOKUP(NBA_2026_Results3[[#This Row],[Home Team]], TeamRating, 2, FALSE) - VLOOKUP(NBA_2026_Results3[[#This Row],[Away Team]], TeamRating, 2, FALSE)+HomeEdge</f>
        <v>3.3664318018094432</v>
      </c>
      <c r="J415">
        <f>(NBA_2026_Results3[[#This Row],[Home Margin]]-NBA_2026_Results3[[#This Row],[Home Forecast]])^2</f>
        <v>244.40845460747511</v>
      </c>
    </row>
    <row r="416" spans="4:10" x14ac:dyDescent="0.2">
      <c r="D416" t="s">
        <v>16</v>
      </c>
      <c r="E416" t="s">
        <v>27</v>
      </c>
      <c r="F416">
        <v>121</v>
      </c>
      <c r="G416">
        <v>114</v>
      </c>
      <c r="H416">
        <v>7</v>
      </c>
      <c r="I416">
        <f>VLOOKUP(NBA_2026_Results3[[#This Row],[Home Team]], TeamRating, 2, FALSE) - VLOOKUP(NBA_2026_Results3[[#This Row],[Away Team]], TeamRating, 2, FALSE)+HomeEdge</f>
        <v>5.1252291082280621</v>
      </c>
      <c r="J416">
        <f>(NBA_2026_Results3[[#This Row],[Home Margin]]-NBA_2026_Results3[[#This Row],[Home Forecast]])^2</f>
        <v>3.5147658966353474</v>
      </c>
    </row>
    <row r="417" spans="4:10" x14ac:dyDescent="0.2">
      <c r="D417" t="s">
        <v>18</v>
      </c>
      <c r="E417" t="s">
        <v>15</v>
      </c>
      <c r="F417">
        <v>96</v>
      </c>
      <c r="G417">
        <v>112</v>
      </c>
      <c r="H417">
        <v>-16</v>
      </c>
      <c r="I417">
        <f>VLOOKUP(NBA_2026_Results3[[#This Row],[Home Team]], TeamRating, 2, FALSE) - VLOOKUP(NBA_2026_Results3[[#This Row],[Away Team]], TeamRating, 2, FALSE)+HomeEdge</f>
        <v>-2.3014850369550102</v>
      </c>
      <c r="J417">
        <f>(NBA_2026_Results3[[#This Row],[Home Margin]]-NBA_2026_Results3[[#This Row],[Home Forecast]])^2</f>
        <v>187.64931219276747</v>
      </c>
    </row>
    <row r="418" spans="4:10" x14ac:dyDescent="0.2">
      <c r="D418" t="s">
        <v>20</v>
      </c>
      <c r="E418" t="s">
        <v>9</v>
      </c>
      <c r="F418">
        <v>112</v>
      </c>
      <c r="G418">
        <v>86</v>
      </c>
      <c r="H418">
        <v>26</v>
      </c>
      <c r="I418">
        <f>VLOOKUP(NBA_2026_Results3[[#This Row],[Home Team]], TeamRating, 2, FALSE) - VLOOKUP(NBA_2026_Results3[[#This Row],[Away Team]], TeamRating, 2, FALSE)+HomeEdge</f>
        <v>6.2795779151858442</v>
      </c>
      <c r="J418">
        <f>(NBA_2026_Results3[[#This Row],[Home Margin]]-NBA_2026_Results3[[#This Row],[Home Forecast]])^2</f>
        <v>388.89504720322594</v>
      </c>
    </row>
    <row r="419" spans="4:10" x14ac:dyDescent="0.2">
      <c r="D419" t="s">
        <v>21</v>
      </c>
      <c r="E419" t="s">
        <v>24</v>
      </c>
      <c r="F419">
        <v>122</v>
      </c>
      <c r="G419">
        <v>130</v>
      </c>
      <c r="H419">
        <v>-8</v>
      </c>
      <c r="I419">
        <f>VLOOKUP(NBA_2026_Results3[[#This Row],[Home Team]], TeamRating, 2, FALSE) - VLOOKUP(NBA_2026_Results3[[#This Row],[Away Team]], TeamRating, 2, FALSE)+HomeEdge</f>
        <v>10.064770509808891</v>
      </c>
      <c r="J419">
        <f>(NBA_2026_Results3[[#This Row],[Home Margin]]-NBA_2026_Results3[[#This Row],[Home Forecast]])^2</f>
        <v>326.33593357206098</v>
      </c>
    </row>
    <row r="420" spans="4:10" x14ac:dyDescent="0.2">
      <c r="D420" t="s">
        <v>8</v>
      </c>
      <c r="E420" t="s">
        <v>31</v>
      </c>
      <c r="F420">
        <v>119</v>
      </c>
      <c r="G420">
        <v>116</v>
      </c>
      <c r="H420">
        <v>3</v>
      </c>
      <c r="I420">
        <f>VLOOKUP(NBA_2026_Results3[[#This Row],[Home Team]], TeamRating, 2, FALSE) - VLOOKUP(NBA_2026_Results3[[#This Row],[Away Team]], TeamRating, 2, FALSE)+HomeEdge</f>
        <v>1.7045539603782234</v>
      </c>
      <c r="J420">
        <f>(NBA_2026_Results3[[#This Row],[Home Margin]]-NBA_2026_Results3[[#This Row],[Home Forecast]])^2</f>
        <v>1.6781804415717456</v>
      </c>
    </row>
    <row r="421" spans="4:10" x14ac:dyDescent="0.2">
      <c r="D421" t="s">
        <v>25</v>
      </c>
      <c r="E421" t="s">
        <v>13</v>
      </c>
      <c r="F421">
        <v>127</v>
      </c>
      <c r="G421">
        <v>128</v>
      </c>
      <c r="H421">
        <v>-1</v>
      </c>
      <c r="I421">
        <f>VLOOKUP(NBA_2026_Results3[[#This Row],[Home Team]], TeamRating, 2, FALSE) - VLOOKUP(NBA_2026_Results3[[#This Row],[Away Team]], TeamRating, 2, FALSE)+HomeEdge</f>
        <v>-5.9741671200617619</v>
      </c>
      <c r="J421">
        <f>(NBA_2026_Results3[[#This Row],[Home Margin]]-NBA_2026_Results3[[#This Row],[Home Forecast]])^2</f>
        <v>24.742338538303521</v>
      </c>
    </row>
    <row r="422" spans="4:10" x14ac:dyDescent="0.2">
      <c r="D422" t="s">
        <v>32</v>
      </c>
      <c r="E422" t="s">
        <v>29</v>
      </c>
      <c r="F422">
        <v>93</v>
      </c>
      <c r="G422">
        <v>98</v>
      </c>
      <c r="H422">
        <v>-5</v>
      </c>
      <c r="I422">
        <f>VLOOKUP(NBA_2026_Results3[[#This Row],[Home Team]], TeamRating, 2, FALSE) - VLOOKUP(NBA_2026_Results3[[#This Row],[Away Team]], TeamRating, 2, FALSE)+HomeEdge</f>
        <v>-5.8390220358039517</v>
      </c>
      <c r="J422">
        <f>(NBA_2026_Results3[[#This Row],[Home Margin]]-NBA_2026_Results3[[#This Row],[Home Forecast]])^2</f>
        <v>0.70395797656460768</v>
      </c>
    </row>
    <row r="423" spans="4:10" x14ac:dyDescent="0.2">
      <c r="D423" t="s">
        <v>26</v>
      </c>
      <c r="E423" t="s">
        <v>7</v>
      </c>
      <c r="F423">
        <v>103</v>
      </c>
      <c r="G423">
        <v>88</v>
      </c>
      <c r="H423">
        <v>15</v>
      </c>
      <c r="I423">
        <f>VLOOKUP(NBA_2026_Results3[[#This Row],[Home Team]], TeamRating, 2, FALSE) - VLOOKUP(NBA_2026_Results3[[#This Row],[Away Team]], TeamRating, 2, FALSE)+HomeEdge</f>
        <v>2.6081406353818268</v>
      </c>
      <c r="J423">
        <f>(NBA_2026_Results3[[#This Row],[Home Margin]]-NBA_2026_Results3[[#This Row],[Home Forecast]])^2</f>
        <v>153.55817851247514</v>
      </c>
    </row>
    <row r="424" spans="4:10" x14ac:dyDescent="0.2">
      <c r="D424" t="s">
        <v>17</v>
      </c>
      <c r="E424" t="s">
        <v>19</v>
      </c>
      <c r="F424">
        <v>150</v>
      </c>
      <c r="G424">
        <v>152</v>
      </c>
      <c r="H424">
        <v>-2</v>
      </c>
      <c r="I424">
        <f>VLOOKUP(NBA_2026_Results3[[#This Row],[Home Team]], TeamRating, 2, FALSE) - VLOOKUP(NBA_2026_Results3[[#This Row],[Away Team]], TeamRating, 2, FALSE)+HomeEdge</f>
        <v>4.2591416687247055</v>
      </c>
      <c r="J424">
        <f>(NBA_2026_Results3[[#This Row],[Home Margin]]-NBA_2026_Results3[[#This Row],[Home Forecast]])^2</f>
        <v>39.176854429165893</v>
      </c>
    </row>
    <row r="425" spans="4:10" x14ac:dyDescent="0.2">
      <c r="D425" t="s">
        <v>10</v>
      </c>
      <c r="E425" t="s">
        <v>18</v>
      </c>
      <c r="F425">
        <v>96</v>
      </c>
      <c r="G425">
        <v>81</v>
      </c>
      <c r="H425">
        <v>15</v>
      </c>
      <c r="I425">
        <f>VLOOKUP(NBA_2026_Results3[[#This Row],[Home Team]], TeamRating, 2, FALSE) - VLOOKUP(NBA_2026_Results3[[#This Row],[Away Team]], TeamRating, 2, FALSE)+HomeEdge</f>
        <v>-6.1196909505893711</v>
      </c>
      <c r="J425">
        <f>(NBA_2026_Results3[[#This Row],[Home Margin]]-NBA_2026_Results3[[#This Row],[Home Forecast]])^2</f>
        <v>446.04134584840665</v>
      </c>
    </row>
    <row r="426" spans="4:10" x14ac:dyDescent="0.2">
      <c r="D426" t="s">
        <v>11</v>
      </c>
      <c r="E426" t="s">
        <v>14</v>
      </c>
      <c r="F426">
        <v>132</v>
      </c>
      <c r="G426">
        <v>125</v>
      </c>
      <c r="H426">
        <v>7</v>
      </c>
      <c r="I426">
        <f>VLOOKUP(NBA_2026_Results3[[#This Row],[Home Team]], TeamRating, 2, FALSE) - VLOOKUP(NBA_2026_Results3[[#This Row],[Away Team]], TeamRating, 2, FALSE)+HomeEdge</f>
        <v>3.9125864736523117</v>
      </c>
      <c r="J426">
        <f>(NBA_2026_Results3[[#This Row],[Home Margin]]-NBA_2026_Results3[[#This Row],[Home Forecast]])^2</f>
        <v>9.532122282674667</v>
      </c>
    </row>
    <row r="427" spans="4:10" x14ac:dyDescent="0.2">
      <c r="D427" t="s">
        <v>30</v>
      </c>
      <c r="E427" t="s">
        <v>23</v>
      </c>
      <c r="F427">
        <v>103</v>
      </c>
      <c r="G427">
        <v>100</v>
      </c>
      <c r="H427">
        <v>3</v>
      </c>
      <c r="I427">
        <f>VLOOKUP(NBA_2026_Results3[[#This Row],[Home Team]], TeamRating, 2, FALSE) - VLOOKUP(NBA_2026_Results3[[#This Row],[Away Team]], TeamRating, 2, FALSE)+HomeEdge</f>
        <v>10.159504145771468</v>
      </c>
      <c r="J427">
        <f>(NBA_2026_Results3[[#This Row],[Home Margin]]-NBA_2026_Results3[[#This Row],[Home Forecast]])^2</f>
        <v>51.258499613318833</v>
      </c>
    </row>
    <row r="428" spans="4:10" x14ac:dyDescent="0.2">
      <c r="D428" t="s">
        <v>24</v>
      </c>
      <c r="E428" t="s">
        <v>28</v>
      </c>
      <c r="F428">
        <v>113</v>
      </c>
      <c r="G428">
        <v>124</v>
      </c>
      <c r="H428">
        <v>-11</v>
      </c>
      <c r="I428">
        <f>VLOOKUP(NBA_2026_Results3[[#This Row],[Home Team]], TeamRating, 2, FALSE) - VLOOKUP(NBA_2026_Results3[[#This Row],[Away Team]], TeamRating, 2, FALSE)+HomeEdge</f>
        <v>-13.173679909436164</v>
      </c>
      <c r="J428">
        <f>(NBA_2026_Results3[[#This Row],[Home Margin]]-NBA_2026_Results3[[#This Row],[Home Forecast]])^2</f>
        <v>4.7248843486864089</v>
      </c>
    </row>
    <row r="429" spans="4:10" x14ac:dyDescent="0.2">
      <c r="D429" t="s">
        <v>32</v>
      </c>
      <c r="E429" t="s">
        <v>6</v>
      </c>
      <c r="F429">
        <v>125</v>
      </c>
      <c r="G429">
        <v>124</v>
      </c>
      <c r="H429">
        <v>1</v>
      </c>
      <c r="I429">
        <f>VLOOKUP(NBA_2026_Results3[[#This Row],[Home Team]], TeamRating, 2, FALSE) - VLOOKUP(NBA_2026_Results3[[#This Row],[Away Team]], TeamRating, 2, FALSE)+HomeEdge</f>
        <v>-12.674975822743548</v>
      </c>
      <c r="J429">
        <f>(NBA_2026_Results3[[#This Row],[Home Margin]]-NBA_2026_Results3[[#This Row],[Home Forecast]])^2</f>
        <v>187.00496375262057</v>
      </c>
    </row>
    <row r="430" spans="4:10" x14ac:dyDescent="0.2">
      <c r="D430" t="s">
        <v>12</v>
      </c>
      <c r="E430" t="s">
        <v>9</v>
      </c>
      <c r="F430">
        <v>139</v>
      </c>
      <c r="G430">
        <v>132</v>
      </c>
      <c r="H430">
        <v>7</v>
      </c>
      <c r="I430">
        <f>VLOOKUP(NBA_2026_Results3[[#This Row],[Home Team]], TeamRating, 2, FALSE) - VLOOKUP(NBA_2026_Results3[[#This Row],[Away Team]], TeamRating, 2, FALSE)+HomeEdge</f>
        <v>3.6990740287303154</v>
      </c>
      <c r="J430">
        <f>(NBA_2026_Results3[[#This Row],[Home Margin]]-NBA_2026_Results3[[#This Row],[Home Forecast]])^2</f>
        <v>10.89611226780271</v>
      </c>
    </row>
    <row r="431" spans="4:10" x14ac:dyDescent="0.2">
      <c r="D431" t="s">
        <v>15</v>
      </c>
      <c r="E431" t="s">
        <v>33</v>
      </c>
      <c r="F431">
        <v>103</v>
      </c>
      <c r="G431">
        <v>95</v>
      </c>
      <c r="H431">
        <v>8</v>
      </c>
      <c r="I431">
        <f>VLOOKUP(NBA_2026_Results3[[#This Row],[Home Team]], TeamRating, 2, FALSE) - VLOOKUP(NBA_2026_Results3[[#This Row],[Away Team]], TeamRating, 2, FALSE)+HomeEdge</f>
        <v>14.479687096819028</v>
      </c>
      <c r="J431">
        <f>(NBA_2026_Results3[[#This Row],[Home Margin]]-NBA_2026_Results3[[#This Row],[Home Forecast]])^2</f>
        <v>41.986344872682999</v>
      </c>
    </row>
    <row r="432" spans="4:10" x14ac:dyDescent="0.2">
      <c r="D432" t="s">
        <v>22</v>
      </c>
      <c r="E432" t="s">
        <v>27</v>
      </c>
      <c r="F432">
        <v>119</v>
      </c>
      <c r="G432">
        <v>113</v>
      </c>
      <c r="H432">
        <v>6</v>
      </c>
      <c r="I432">
        <f>VLOOKUP(NBA_2026_Results3[[#This Row],[Home Team]], TeamRating, 2, FALSE) - VLOOKUP(NBA_2026_Results3[[#This Row],[Away Team]], TeamRating, 2, FALSE)+HomeEdge</f>
        <v>-0.75752868551325614</v>
      </c>
      <c r="J432">
        <f>(NBA_2026_Results3[[#This Row],[Home Margin]]-NBA_2026_Results3[[#This Row],[Home Forecast]])^2</f>
        <v>45.664193935534506</v>
      </c>
    </row>
    <row r="433" spans="4:10" x14ac:dyDescent="0.2">
      <c r="D433" t="s">
        <v>34</v>
      </c>
      <c r="E433" t="s">
        <v>25</v>
      </c>
      <c r="F433">
        <v>135</v>
      </c>
      <c r="G433">
        <v>112</v>
      </c>
      <c r="H433">
        <v>23</v>
      </c>
      <c r="I433">
        <f>VLOOKUP(NBA_2026_Results3[[#This Row],[Home Team]], TeamRating, 2, FALSE) - VLOOKUP(NBA_2026_Results3[[#This Row],[Away Team]], TeamRating, 2, FALSE)+HomeEdge</f>
        <v>12.718172701344191</v>
      </c>
      <c r="J433">
        <f>(NBA_2026_Results3[[#This Row],[Home Margin]]-NBA_2026_Results3[[#This Row],[Home Forecast]])^2</f>
        <v>105.71597259938382</v>
      </c>
    </row>
    <row r="434" spans="4:10" x14ac:dyDescent="0.2">
      <c r="D434" t="s">
        <v>5</v>
      </c>
      <c r="E434" t="s">
        <v>21</v>
      </c>
      <c r="F434">
        <v>119</v>
      </c>
      <c r="G434">
        <v>103</v>
      </c>
      <c r="H434">
        <v>16</v>
      </c>
      <c r="I434">
        <f>VLOOKUP(NBA_2026_Results3[[#This Row],[Home Team]], TeamRating, 2, FALSE) - VLOOKUP(NBA_2026_Results3[[#This Row],[Away Team]], TeamRating, 2, FALSE)+HomeEdge</f>
        <v>14.880685436907267</v>
      </c>
      <c r="J434">
        <f>(NBA_2026_Results3[[#This Row],[Home Margin]]-NBA_2026_Results3[[#This Row],[Home Forecast]])^2</f>
        <v>1.2528650911514749</v>
      </c>
    </row>
    <row r="435" spans="4:10" x14ac:dyDescent="0.2">
      <c r="D435" t="s">
        <v>8</v>
      </c>
      <c r="E435" t="s">
        <v>13</v>
      </c>
      <c r="F435">
        <v>120</v>
      </c>
      <c r="G435">
        <v>97</v>
      </c>
      <c r="H435">
        <v>23</v>
      </c>
      <c r="I435">
        <f>VLOOKUP(NBA_2026_Results3[[#This Row],[Home Team]], TeamRating, 2, FALSE) - VLOOKUP(NBA_2026_Results3[[#This Row],[Away Team]], TeamRating, 2, FALSE)+HomeEdge</f>
        <v>4.6345663188868516</v>
      </c>
      <c r="J435">
        <f>(NBA_2026_Results3[[#This Row],[Home Margin]]-NBA_2026_Results3[[#This Row],[Home Forecast]])^2</f>
        <v>337.28915429536528</v>
      </c>
    </row>
    <row r="436" spans="4:10" x14ac:dyDescent="0.2">
      <c r="D436" t="s">
        <v>29</v>
      </c>
      <c r="E436" t="s">
        <v>20</v>
      </c>
      <c r="F436">
        <v>102</v>
      </c>
      <c r="G436">
        <v>110</v>
      </c>
      <c r="H436">
        <v>-8</v>
      </c>
      <c r="I436">
        <f>VLOOKUP(NBA_2026_Results3[[#This Row],[Home Team]], TeamRating, 2, FALSE) - VLOOKUP(NBA_2026_Results3[[#This Row],[Away Team]], TeamRating, 2, FALSE)+HomeEdge</f>
        <v>-4.6207744829003694</v>
      </c>
      <c r="J436">
        <f>(NBA_2026_Results3[[#This Row],[Home Margin]]-NBA_2026_Results3[[#This Row],[Home Forecast]])^2</f>
        <v>11.419165095417267</v>
      </c>
    </row>
    <row r="437" spans="4:10" x14ac:dyDescent="0.2">
      <c r="D437" t="s">
        <v>9</v>
      </c>
      <c r="E437" t="s">
        <v>24</v>
      </c>
      <c r="F437">
        <v>126</v>
      </c>
      <c r="G437">
        <v>109</v>
      </c>
      <c r="H437">
        <v>17</v>
      </c>
      <c r="I437">
        <f>VLOOKUP(NBA_2026_Results3[[#This Row],[Home Team]], TeamRating, 2, FALSE) - VLOOKUP(NBA_2026_Results3[[#This Row],[Away Team]], TeamRating, 2, FALSE)+HomeEdge</f>
        <v>12.689329483200215</v>
      </c>
      <c r="J437">
        <f>(NBA_2026_Results3[[#This Row],[Home Margin]]-NBA_2026_Results3[[#This Row],[Home Forecast]])^2</f>
        <v>18.581880304406926</v>
      </c>
    </row>
    <row r="438" spans="4:10" x14ac:dyDescent="0.2">
      <c r="D438" t="s">
        <v>16</v>
      </c>
      <c r="E438" t="s">
        <v>10</v>
      </c>
      <c r="F438">
        <v>106</v>
      </c>
      <c r="G438">
        <v>114</v>
      </c>
      <c r="H438">
        <v>-8</v>
      </c>
      <c r="I438">
        <f>VLOOKUP(NBA_2026_Results3[[#This Row],[Home Team]], TeamRating, 2, FALSE) - VLOOKUP(NBA_2026_Results3[[#This Row],[Away Team]], TeamRating, 2, FALSE)+HomeEdge</f>
        <v>8.6128649897765559</v>
      </c>
      <c r="J438">
        <f>(NBA_2026_Results3[[#This Row],[Home Margin]]-NBA_2026_Results3[[#This Row],[Home Forecast]])^2</f>
        <v>275.98728316854357</v>
      </c>
    </row>
    <row r="439" spans="4:10" x14ac:dyDescent="0.2">
      <c r="D439" t="s">
        <v>17</v>
      </c>
      <c r="E439" t="s">
        <v>19</v>
      </c>
      <c r="F439">
        <v>123</v>
      </c>
      <c r="G439">
        <v>126</v>
      </c>
      <c r="H439">
        <v>-3</v>
      </c>
      <c r="I439">
        <f>VLOOKUP(NBA_2026_Results3[[#This Row],[Home Team]], TeamRating, 2, FALSE) - VLOOKUP(NBA_2026_Results3[[#This Row],[Away Team]], TeamRating, 2, FALSE)+HomeEdge</f>
        <v>4.2591416687247055</v>
      </c>
      <c r="J439">
        <f>(NBA_2026_Results3[[#This Row],[Home Margin]]-NBA_2026_Results3[[#This Row],[Home Forecast]])^2</f>
        <v>52.695137766615304</v>
      </c>
    </row>
    <row r="440" spans="4:10" x14ac:dyDescent="0.2">
      <c r="D440" t="s">
        <v>12</v>
      </c>
      <c r="E440" t="s">
        <v>22</v>
      </c>
      <c r="F440">
        <v>141</v>
      </c>
      <c r="G440">
        <v>118</v>
      </c>
      <c r="H440">
        <v>23</v>
      </c>
      <c r="I440">
        <f>VLOOKUP(NBA_2026_Results3[[#This Row],[Home Team]], TeamRating, 2, FALSE) - VLOOKUP(NBA_2026_Results3[[#This Row],[Away Team]], TeamRating, 2, FALSE)+HomeEdge</f>
        <v>10.455347633052497</v>
      </c>
      <c r="J440">
        <f>(NBA_2026_Results3[[#This Row],[Home Margin]]-NBA_2026_Results3[[#This Row],[Home Forecast]])^2</f>
        <v>157.36830300756159</v>
      </c>
    </row>
    <row r="441" spans="4:10" x14ac:dyDescent="0.2">
      <c r="D441" t="s">
        <v>33</v>
      </c>
      <c r="E441" t="s">
        <v>23</v>
      </c>
      <c r="F441">
        <v>94</v>
      </c>
      <c r="G441">
        <v>111</v>
      </c>
      <c r="H441">
        <v>-17</v>
      </c>
      <c r="I441">
        <f>VLOOKUP(NBA_2026_Results3[[#This Row],[Home Team]], TeamRating, 2, FALSE) - VLOOKUP(NBA_2026_Results3[[#This Row],[Away Team]], TeamRating, 2, FALSE)+HomeEdge</f>
        <v>-1.4904146146648305</v>
      </c>
      <c r="J441">
        <f>(NBA_2026_Results3[[#This Row],[Home Margin]]-NBA_2026_Results3[[#This Row],[Home Forecast]])^2</f>
        <v>240.54723882500227</v>
      </c>
    </row>
    <row r="442" spans="4:10" x14ac:dyDescent="0.2">
      <c r="D442" t="s">
        <v>14</v>
      </c>
      <c r="E442" t="s">
        <v>18</v>
      </c>
      <c r="F442">
        <v>91</v>
      </c>
      <c r="G442">
        <v>112</v>
      </c>
      <c r="H442">
        <v>-21</v>
      </c>
      <c r="I442">
        <f>VLOOKUP(NBA_2026_Results3[[#This Row],[Home Team]], TeamRating, 2, FALSE) - VLOOKUP(NBA_2026_Results3[[#This Row],[Away Team]], TeamRating, 2, FALSE)+HomeEdge</f>
        <v>2.8344129209054905</v>
      </c>
      <c r="J442">
        <f>(NBA_2026_Results3[[#This Row],[Home Margin]]-NBA_2026_Results3[[#This Row],[Home Forecast]])^2</f>
        <v>568.07923928422656</v>
      </c>
    </row>
    <row r="443" spans="4:10" x14ac:dyDescent="0.2">
      <c r="D443" t="s">
        <v>27</v>
      </c>
      <c r="E443" t="s">
        <v>34</v>
      </c>
      <c r="F443">
        <v>131</v>
      </c>
      <c r="G443">
        <v>130</v>
      </c>
      <c r="H443">
        <v>1</v>
      </c>
      <c r="I443">
        <f>VLOOKUP(NBA_2026_Results3[[#This Row],[Home Team]], TeamRating, 2, FALSE) - VLOOKUP(NBA_2026_Results3[[#This Row],[Away Team]], TeamRating, 2, FALSE)+HomeEdge</f>
        <v>-4.5692944577866017</v>
      </c>
      <c r="J443">
        <f>(NBA_2026_Results3[[#This Row],[Home Margin]]-NBA_2026_Results3[[#This Row],[Home Forecast]])^2</f>
        <v>31.017040757532559</v>
      </c>
    </row>
    <row r="444" spans="4:10" x14ac:dyDescent="0.2">
      <c r="D444" t="s">
        <v>30</v>
      </c>
      <c r="E444" t="s">
        <v>11</v>
      </c>
      <c r="F444">
        <v>115</v>
      </c>
      <c r="G444">
        <v>104</v>
      </c>
      <c r="H444">
        <v>11</v>
      </c>
      <c r="I444">
        <f>VLOOKUP(NBA_2026_Results3[[#This Row],[Home Team]], TeamRating, 2, FALSE) - VLOOKUP(NBA_2026_Results3[[#This Row],[Away Team]], TeamRating, 2, FALSE)+HomeEdge</f>
        <v>1.7616948118485478</v>
      </c>
      <c r="J444">
        <f>(NBA_2026_Results3[[#This Row],[Home Margin]]-NBA_2026_Results3[[#This Row],[Home Forecast]])^2</f>
        <v>85.346282749426038</v>
      </c>
    </row>
    <row r="445" spans="4:10" x14ac:dyDescent="0.2">
      <c r="D445" t="s">
        <v>28</v>
      </c>
      <c r="E445" t="s">
        <v>5</v>
      </c>
      <c r="F445">
        <v>130</v>
      </c>
      <c r="G445">
        <v>110</v>
      </c>
      <c r="H445">
        <v>20</v>
      </c>
      <c r="I445">
        <f>VLOOKUP(NBA_2026_Results3[[#This Row],[Home Team]], TeamRating, 2, FALSE) - VLOOKUP(NBA_2026_Results3[[#This Row],[Away Team]], TeamRating, 2, FALSE)+HomeEdge</f>
        <v>-4.5421940326127412</v>
      </c>
      <c r="J445">
        <f>(NBA_2026_Results3[[#This Row],[Home Margin]]-NBA_2026_Results3[[#This Row],[Home Forecast]])^2</f>
        <v>602.3192879344125</v>
      </c>
    </row>
    <row r="446" spans="4:10" x14ac:dyDescent="0.2">
      <c r="D446" t="s">
        <v>31</v>
      </c>
      <c r="E446" t="s">
        <v>7</v>
      </c>
      <c r="F446">
        <v>132</v>
      </c>
      <c r="G446">
        <v>108</v>
      </c>
      <c r="H446">
        <v>24</v>
      </c>
      <c r="I446">
        <f>VLOOKUP(NBA_2026_Results3[[#This Row],[Home Team]], TeamRating, 2, FALSE) - VLOOKUP(NBA_2026_Results3[[#This Row],[Away Team]], TeamRating, 2, FALSE)+HomeEdge</f>
        <v>5.5103939815267928</v>
      </c>
      <c r="J446">
        <f>(NBA_2026_Results3[[#This Row],[Home Margin]]-NBA_2026_Results3[[#This Row],[Home Forecast]])^2</f>
        <v>341.86553071836062</v>
      </c>
    </row>
    <row r="447" spans="4:10" x14ac:dyDescent="0.2">
      <c r="D447" t="s">
        <v>25</v>
      </c>
      <c r="E447" t="s">
        <v>21</v>
      </c>
      <c r="F447">
        <v>128</v>
      </c>
      <c r="G447">
        <v>137</v>
      </c>
      <c r="H447">
        <v>-9</v>
      </c>
      <c r="I447">
        <f>VLOOKUP(NBA_2026_Results3[[#This Row],[Home Team]], TeamRating, 2, FALSE) - VLOOKUP(NBA_2026_Results3[[#This Row],[Away Team]], TeamRating, 2, FALSE)+HomeEdge</f>
        <v>-4.2934821843079378</v>
      </c>
      <c r="J447">
        <f>(NBA_2026_Results3[[#This Row],[Home Margin]]-NBA_2026_Results3[[#This Row],[Home Forecast]])^2</f>
        <v>22.151309949426778</v>
      </c>
    </row>
    <row r="448" spans="4:10" x14ac:dyDescent="0.2">
      <c r="D448" t="s">
        <v>29</v>
      </c>
      <c r="E448" t="s">
        <v>13</v>
      </c>
      <c r="F448">
        <v>106</v>
      </c>
      <c r="G448">
        <v>110</v>
      </c>
      <c r="H448">
        <v>-4</v>
      </c>
      <c r="I448">
        <f>VLOOKUP(NBA_2026_Results3[[#This Row],[Home Team]], TeamRating, 2, FALSE) - VLOOKUP(NBA_2026_Results3[[#This Row],[Away Team]], TeamRating, 2, FALSE)+HomeEdge</f>
        <v>0.79528196875616275</v>
      </c>
      <c r="J448">
        <f>(NBA_2026_Results3[[#This Row],[Home Margin]]-NBA_2026_Results3[[#This Row],[Home Forecast]])^2</f>
        <v>22.994729159877977</v>
      </c>
    </row>
    <row r="449" spans="4:10" x14ac:dyDescent="0.2">
      <c r="D449" t="s">
        <v>32</v>
      </c>
      <c r="E449" t="s">
        <v>20</v>
      </c>
      <c r="F449">
        <v>127</v>
      </c>
      <c r="G449">
        <v>136</v>
      </c>
      <c r="H449">
        <v>-9</v>
      </c>
      <c r="I449">
        <f>VLOOKUP(NBA_2026_Results3[[#This Row],[Home Team]], TeamRating, 2, FALSE) - VLOOKUP(NBA_2026_Results3[[#This Row],[Away Team]], TeamRating, 2, FALSE)+HomeEdge</f>
        <v>-12.267192019871135</v>
      </c>
      <c r="J449">
        <f>(NBA_2026_Results3[[#This Row],[Home Margin]]-NBA_2026_Results3[[#This Row],[Home Forecast]])^2</f>
        <v>10.67454369470963</v>
      </c>
    </row>
    <row r="450" spans="4:10" x14ac:dyDescent="0.2">
      <c r="D450" t="s">
        <v>26</v>
      </c>
      <c r="E450" t="s">
        <v>6</v>
      </c>
      <c r="F450">
        <v>128</v>
      </c>
      <c r="G450">
        <v>108</v>
      </c>
      <c r="H450">
        <v>20</v>
      </c>
      <c r="I450">
        <f>VLOOKUP(NBA_2026_Results3[[#This Row],[Home Team]], TeamRating, 2, FALSE) - VLOOKUP(NBA_2026_Results3[[#This Row],[Away Team]], TeamRating, 2, FALSE)+HomeEdge</f>
        <v>-3.9886857409984673</v>
      </c>
      <c r="J450">
        <f>(NBA_2026_Results3[[#This Row],[Home Margin]]-NBA_2026_Results3[[#This Row],[Home Forecast]])^2</f>
        <v>575.45704358038313</v>
      </c>
    </row>
    <row r="451" spans="4:10" x14ac:dyDescent="0.2">
      <c r="D451" t="s">
        <v>11</v>
      </c>
      <c r="E451" t="s">
        <v>12</v>
      </c>
      <c r="F451">
        <v>126</v>
      </c>
      <c r="G451">
        <v>124</v>
      </c>
      <c r="H451">
        <v>2</v>
      </c>
      <c r="I451">
        <f>VLOOKUP(NBA_2026_Results3[[#This Row],[Home Team]], TeamRating, 2, FALSE) - VLOOKUP(NBA_2026_Results3[[#This Row],[Away Team]], TeamRating, 2, FALSE)+HomeEdge</f>
        <v>3.2960265183930635</v>
      </c>
      <c r="J451">
        <f>(NBA_2026_Results3[[#This Row],[Home Margin]]-NBA_2026_Results3[[#This Row],[Home Forecast]])^2</f>
        <v>1.6796847363780458</v>
      </c>
    </row>
    <row r="452" spans="4:10" x14ac:dyDescent="0.2">
      <c r="D452" t="s">
        <v>5</v>
      </c>
      <c r="E452" t="s">
        <v>28</v>
      </c>
      <c r="F452">
        <v>102</v>
      </c>
      <c r="G452">
        <v>117</v>
      </c>
      <c r="H452">
        <v>-15</v>
      </c>
      <c r="I452">
        <f>VLOOKUP(NBA_2026_Results3[[#This Row],[Home Team]], TeamRating, 2, FALSE) - VLOOKUP(NBA_2026_Results3[[#This Row],[Away Team]], TeamRating, 2, FALSE)+HomeEdge</f>
        <v>8.1569850349463682</v>
      </c>
      <c r="J452">
        <f>(NBA_2026_Results3[[#This Row],[Home Margin]]-NBA_2026_Results3[[#This Row],[Home Forecast]])^2</f>
        <v>536.24595590872991</v>
      </c>
    </row>
    <row r="453" spans="4:10" x14ac:dyDescent="0.2">
      <c r="D453" t="s">
        <v>8</v>
      </c>
      <c r="E453" t="s">
        <v>27</v>
      </c>
      <c r="F453">
        <v>126</v>
      </c>
      <c r="G453">
        <v>116</v>
      </c>
      <c r="H453">
        <v>10</v>
      </c>
      <c r="I453">
        <f>VLOOKUP(NBA_2026_Results3[[#This Row],[Home Team]], TeamRating, 2, FALSE) - VLOOKUP(NBA_2026_Results3[[#This Row],[Away Team]], TeamRating, 2, FALSE)+HomeEdge</f>
        <v>7.8820416988914639</v>
      </c>
      <c r="J453">
        <f>(NBA_2026_Results3[[#This Row],[Home Margin]]-NBA_2026_Results3[[#This Row],[Home Forecast]])^2</f>
        <v>4.4857473652345563</v>
      </c>
    </row>
    <row r="454" spans="4:10" x14ac:dyDescent="0.2">
      <c r="D454" t="s">
        <v>7</v>
      </c>
      <c r="E454" t="s">
        <v>6</v>
      </c>
      <c r="F454">
        <v>96</v>
      </c>
      <c r="G454">
        <v>119</v>
      </c>
      <c r="H454">
        <v>-23</v>
      </c>
      <c r="I454">
        <f>VLOOKUP(NBA_2026_Results3[[#This Row],[Home Team]], TeamRating, 2, FALSE) - VLOOKUP(NBA_2026_Results3[[#This Row],[Away Team]], TeamRating, 2, FALSE)+HomeEdge</f>
        <v>-4.7894308752134807</v>
      </c>
      <c r="J454">
        <f>(NBA_2026_Results3[[#This Row],[Home Margin]]-NBA_2026_Results3[[#This Row],[Home Forecast]])^2</f>
        <v>331.62482784862812</v>
      </c>
    </row>
    <row r="455" spans="4:10" x14ac:dyDescent="0.2">
      <c r="D455" t="s">
        <v>34</v>
      </c>
      <c r="E455" t="s">
        <v>30</v>
      </c>
      <c r="F455">
        <v>142</v>
      </c>
      <c r="G455">
        <v>138</v>
      </c>
      <c r="H455">
        <v>4</v>
      </c>
      <c r="I455">
        <f>VLOOKUP(NBA_2026_Results3[[#This Row],[Home Team]], TeamRating, 2, FALSE) - VLOOKUP(NBA_2026_Results3[[#This Row],[Away Team]], TeamRating, 2, FALSE)+HomeEdge</f>
        <v>0.65812718700662876</v>
      </c>
      <c r="J455">
        <f>(NBA_2026_Results3[[#This Row],[Home Margin]]-NBA_2026_Results3[[#This Row],[Home Forecast]])^2</f>
        <v>11.168113898224227</v>
      </c>
    </row>
    <row r="456" spans="4:10" x14ac:dyDescent="0.2">
      <c r="D456" t="s">
        <v>17</v>
      </c>
      <c r="E456" t="s">
        <v>14</v>
      </c>
      <c r="F456">
        <v>111</v>
      </c>
      <c r="G456">
        <v>126</v>
      </c>
      <c r="H456">
        <v>-15</v>
      </c>
      <c r="I456">
        <f>VLOOKUP(NBA_2026_Results3[[#This Row],[Home Team]], TeamRating, 2, FALSE) - VLOOKUP(NBA_2026_Results3[[#This Row],[Away Team]], TeamRating, 2, FALSE)+HomeEdge</f>
        <v>-0.85197092908094163</v>
      </c>
      <c r="J456">
        <f>(NBA_2026_Results3[[#This Row],[Home Margin]]-NBA_2026_Results3[[#This Row],[Home Forecast]])^2</f>
        <v>200.16672659157081</v>
      </c>
    </row>
    <row r="457" spans="4:10" x14ac:dyDescent="0.2">
      <c r="D457" t="s">
        <v>33</v>
      </c>
      <c r="E457" t="s">
        <v>15</v>
      </c>
      <c r="F457">
        <v>122</v>
      </c>
      <c r="G457">
        <v>140</v>
      </c>
      <c r="H457">
        <v>-18</v>
      </c>
      <c r="I457">
        <f>VLOOKUP(NBA_2026_Results3[[#This Row],[Home Team]], TeamRating, 2, FALSE) - VLOOKUP(NBA_2026_Results3[[#This Row],[Away Team]], TeamRating, 2, FALSE)+HomeEdge</f>
        <v>-10.864896094485399</v>
      </c>
      <c r="J457">
        <f>(NBA_2026_Results3[[#This Row],[Home Margin]]-NBA_2026_Results3[[#This Row],[Home Forecast]])^2</f>
        <v>50.909707742489715</v>
      </c>
    </row>
    <row r="458" spans="4:10" x14ac:dyDescent="0.2">
      <c r="D458" t="s">
        <v>13</v>
      </c>
      <c r="E458" t="s">
        <v>9</v>
      </c>
      <c r="F458">
        <v>105</v>
      </c>
      <c r="G458">
        <v>120</v>
      </c>
      <c r="H458">
        <v>-15</v>
      </c>
      <c r="I458">
        <f>VLOOKUP(NBA_2026_Results3[[#This Row],[Home Team]], TeamRating, 2, FALSE) - VLOOKUP(NBA_2026_Results3[[#This Row],[Away Team]], TeamRating, 2, FALSE)+HomeEdge</f>
        <v>0.86352146352931181</v>
      </c>
      <c r="J458">
        <f>(NBA_2026_Results3[[#This Row],[Home Margin]]-NBA_2026_Results3[[#This Row],[Home Forecast]])^2</f>
        <v>251.65131322385514</v>
      </c>
    </row>
    <row r="459" spans="4:10" x14ac:dyDescent="0.2">
      <c r="D459" t="s">
        <v>24</v>
      </c>
      <c r="E459" t="s">
        <v>18</v>
      </c>
      <c r="F459">
        <v>138</v>
      </c>
      <c r="G459">
        <v>117</v>
      </c>
      <c r="H459">
        <v>21</v>
      </c>
      <c r="I459">
        <f>VLOOKUP(NBA_2026_Results3[[#This Row],[Home Team]], TeamRating, 2, FALSE) - VLOOKUP(NBA_2026_Results3[[#This Row],[Away Team]], TeamRating, 2, FALSE)+HomeEdge</f>
        <v>-9.3226396334321677</v>
      </c>
      <c r="J459">
        <f>(NBA_2026_Results3[[#This Row],[Home Margin]]-NBA_2026_Results3[[#This Row],[Home Forecast]])^2</f>
        <v>919.46247433899134</v>
      </c>
    </row>
    <row r="460" spans="4:10" x14ac:dyDescent="0.2">
      <c r="D460" t="s">
        <v>19</v>
      </c>
      <c r="E460" t="s">
        <v>16</v>
      </c>
      <c r="F460">
        <v>109</v>
      </c>
      <c r="G460">
        <v>102</v>
      </c>
      <c r="H460">
        <v>7</v>
      </c>
      <c r="I460">
        <f>VLOOKUP(NBA_2026_Results3[[#This Row],[Home Team]], TeamRating, 2, FALSE) - VLOOKUP(NBA_2026_Results3[[#This Row],[Away Team]], TeamRating, 2, FALSE)+HomeEdge</f>
        <v>-1.155082713753715</v>
      </c>
      <c r="J460">
        <f>(NBA_2026_Results3[[#This Row],[Home Margin]]-NBA_2026_Results3[[#This Row],[Home Forecast]])^2</f>
        <v>66.505374068164642</v>
      </c>
    </row>
    <row r="461" spans="4:10" x14ac:dyDescent="0.2">
      <c r="D461" t="s">
        <v>21</v>
      </c>
      <c r="E461" t="s">
        <v>23</v>
      </c>
      <c r="F461">
        <v>125</v>
      </c>
      <c r="G461">
        <v>104</v>
      </c>
      <c r="H461">
        <v>21</v>
      </c>
      <c r="I461">
        <f>VLOOKUP(NBA_2026_Results3[[#This Row],[Home Team]], TeamRating, 2, FALSE) - VLOOKUP(NBA_2026_Results3[[#This Row],[Away Team]], TeamRating, 2, FALSE)+HomeEdge</f>
        <v>4.2003363169086567</v>
      </c>
      <c r="J461">
        <f>(NBA_2026_Results3[[#This Row],[Home Margin]]-NBA_2026_Results3[[#This Row],[Home Forecast]])^2</f>
        <v>282.22869986497818</v>
      </c>
    </row>
    <row r="462" spans="4:10" x14ac:dyDescent="0.2">
      <c r="D462" t="s">
        <v>22</v>
      </c>
      <c r="E462" t="s">
        <v>31</v>
      </c>
      <c r="F462">
        <v>108</v>
      </c>
      <c r="G462">
        <v>115</v>
      </c>
      <c r="H462">
        <v>-7</v>
      </c>
      <c r="I462">
        <f>VLOOKUP(NBA_2026_Results3[[#This Row],[Home Team]], TeamRating, 2, FALSE) - VLOOKUP(NBA_2026_Results3[[#This Row],[Away Team]], TeamRating, 2, FALSE)+HomeEdge</f>
        <v>-6.9350164240264958</v>
      </c>
      <c r="J462">
        <f>(NBA_2026_Results3[[#This Row],[Home Margin]]-NBA_2026_Results3[[#This Row],[Home Forecast]])^2</f>
        <v>4.2228651463041972E-3</v>
      </c>
    </row>
    <row r="463" spans="4:10" x14ac:dyDescent="0.2">
      <c r="D463" t="s">
        <v>25</v>
      </c>
      <c r="E463" t="s">
        <v>20</v>
      </c>
      <c r="F463">
        <v>131</v>
      </c>
      <c r="G463">
        <v>129</v>
      </c>
      <c r="H463">
        <v>2</v>
      </c>
      <c r="I463">
        <f>VLOOKUP(NBA_2026_Results3[[#This Row],[Home Team]], TeamRating, 2, FALSE) - VLOOKUP(NBA_2026_Results3[[#This Row],[Away Team]], TeamRating, 2, FALSE)+HomeEdge</f>
        <v>-11.390223571718295</v>
      </c>
      <c r="J463">
        <f>(NBA_2026_Results3[[#This Row],[Home Margin]]-NBA_2026_Results3[[#This Row],[Home Forecast]])^2</f>
        <v>179.29808730060026</v>
      </c>
    </row>
    <row r="464" spans="4:10" x14ac:dyDescent="0.2">
      <c r="D464" t="s">
        <v>29</v>
      </c>
      <c r="E464" t="s">
        <v>26</v>
      </c>
      <c r="F464">
        <v>103</v>
      </c>
      <c r="G464">
        <v>119</v>
      </c>
      <c r="H464">
        <v>-16</v>
      </c>
      <c r="I464">
        <f>VLOOKUP(NBA_2026_Results3[[#This Row],[Home Team]], TeamRating, 2, FALSE) - VLOOKUP(NBA_2026_Results3[[#This Row],[Away Team]], TeamRating, 2, FALSE)+HomeEdge</f>
        <v>0.7675229563924999</v>
      </c>
      <c r="J464">
        <f>(NBA_2026_Results3[[#This Row],[Home Margin]]-NBA_2026_Results3[[#This Row],[Home Forecast]])^2</f>
        <v>281.1498260931495</v>
      </c>
    </row>
    <row r="465" spans="4:10" x14ac:dyDescent="0.2">
      <c r="D465" t="s">
        <v>32</v>
      </c>
      <c r="E465" t="s">
        <v>27</v>
      </c>
      <c r="F465">
        <v>113</v>
      </c>
      <c r="G465">
        <v>107</v>
      </c>
      <c r="H465">
        <v>6</v>
      </c>
      <c r="I465">
        <f>VLOOKUP(NBA_2026_Results3[[#This Row],[Home Team]], TeamRating, 2, FALSE) - VLOOKUP(NBA_2026_Results3[[#This Row],[Away Team]], TeamRating, 2, FALSE)+HomeEdge</f>
        <v>-3.6036601882099903</v>
      </c>
      <c r="J465">
        <f>(NBA_2026_Results3[[#This Row],[Home Margin]]-NBA_2026_Results3[[#This Row],[Home Forecast]])^2</f>
        <v>92.230289010609525</v>
      </c>
    </row>
    <row r="466" spans="4:10" x14ac:dyDescent="0.2">
      <c r="D466" t="s">
        <v>22</v>
      </c>
      <c r="E466" t="s">
        <v>31</v>
      </c>
      <c r="F466">
        <v>114</v>
      </c>
      <c r="G466">
        <v>123</v>
      </c>
      <c r="H466">
        <v>-9</v>
      </c>
      <c r="I466">
        <f>VLOOKUP(NBA_2026_Results3[[#This Row],[Home Team]], TeamRating, 2, FALSE) - VLOOKUP(NBA_2026_Results3[[#This Row],[Away Team]], TeamRating, 2, FALSE)+HomeEdge</f>
        <v>-6.9350164240264958</v>
      </c>
      <c r="J466">
        <f>(NBA_2026_Results3[[#This Row],[Home Margin]]-NBA_2026_Results3[[#This Row],[Home Forecast]])^2</f>
        <v>4.2641571690403213</v>
      </c>
    </row>
    <row r="467" spans="4:10" x14ac:dyDescent="0.2">
      <c r="D467" t="s">
        <v>13</v>
      </c>
      <c r="E467" t="s">
        <v>34</v>
      </c>
      <c r="F467">
        <v>127</v>
      </c>
      <c r="G467">
        <v>126</v>
      </c>
      <c r="H467">
        <v>1</v>
      </c>
      <c r="I467">
        <f>VLOOKUP(NBA_2026_Results3[[#This Row],[Home Team]], TeamRating, 2, FALSE) - VLOOKUP(NBA_2026_Results3[[#This Row],[Away Team]], TeamRating, 2, FALSE)+HomeEdge</f>
        <v>-1.3218190777819903</v>
      </c>
      <c r="J467">
        <f>(NBA_2026_Results3[[#This Row],[Home Margin]]-NBA_2026_Results3[[#This Row],[Home Forecast]])^2</f>
        <v>5.390843829952412</v>
      </c>
    </row>
    <row r="468" spans="4:10" x14ac:dyDescent="0.2">
      <c r="D468" t="s">
        <v>17</v>
      </c>
      <c r="E468" t="s">
        <v>11</v>
      </c>
      <c r="F468">
        <v>125</v>
      </c>
      <c r="G468">
        <v>128</v>
      </c>
      <c r="H468">
        <v>-3</v>
      </c>
      <c r="I468">
        <f>VLOOKUP(NBA_2026_Results3[[#This Row],[Home Team]], TeamRating, 2, FALSE) - VLOOKUP(NBA_2026_Results3[[#This Row],[Away Team]], TeamRating, 2, FALSE)+HomeEdge</f>
        <v>-2.9571619015664403</v>
      </c>
      <c r="J468">
        <f>(NBA_2026_Results3[[#This Row],[Home Margin]]-NBA_2026_Results3[[#This Row],[Home Forecast]])^2</f>
        <v>1.8351026774033482E-3</v>
      </c>
    </row>
    <row r="469" spans="4:10" x14ac:dyDescent="0.2">
      <c r="D469" t="s">
        <v>19</v>
      </c>
      <c r="E469" t="s">
        <v>23</v>
      </c>
      <c r="F469">
        <v>103</v>
      </c>
      <c r="G469">
        <v>112</v>
      </c>
      <c r="H469">
        <v>-9</v>
      </c>
      <c r="I469">
        <f>VLOOKUP(NBA_2026_Results3[[#This Row],[Home Team]], TeamRating, 2, FALSE) - VLOOKUP(NBA_2026_Results3[[#This Row],[Away Team]], TeamRating, 2, FALSE)+HomeEdge</f>
        <v>2.9889012647985886</v>
      </c>
      <c r="J469">
        <f>(NBA_2026_Results3[[#This Row],[Home Margin]]-NBA_2026_Results3[[#This Row],[Home Forecast]])^2</f>
        <v>143.7337535370892</v>
      </c>
    </row>
    <row r="470" spans="4:10" x14ac:dyDescent="0.2">
      <c r="D470" t="s">
        <v>6</v>
      </c>
      <c r="E470" t="s">
        <v>12</v>
      </c>
      <c r="F470">
        <v>117</v>
      </c>
      <c r="G470">
        <v>100</v>
      </c>
      <c r="H470">
        <v>17</v>
      </c>
      <c r="I470">
        <f>VLOOKUP(NBA_2026_Results3[[#This Row],[Home Team]], TeamRating, 2, FALSE) - VLOOKUP(NBA_2026_Results3[[#This Row],[Away Team]], TeamRating, 2, FALSE)+HomeEdge</f>
        <v>4.7956831904947528</v>
      </c>
      <c r="J470">
        <f>(NBA_2026_Results3[[#This Row],[Home Margin]]-NBA_2026_Results3[[#This Row],[Home Forecast]])^2</f>
        <v>148.94534878677234</v>
      </c>
    </row>
    <row r="471" spans="4:10" x14ac:dyDescent="0.2">
      <c r="D471" t="s">
        <v>14</v>
      </c>
      <c r="E471" t="s">
        <v>33</v>
      </c>
      <c r="F471">
        <v>142</v>
      </c>
      <c r="G471">
        <v>116</v>
      </c>
      <c r="H471">
        <v>26</v>
      </c>
      <c r="I471">
        <f>VLOOKUP(NBA_2026_Results3[[#This Row],[Home Team]], TeamRating, 2, FALSE) - VLOOKUP(NBA_2026_Results3[[#This Row],[Away Team]], TeamRating, 2, FALSE)+HomeEdge</f>
        <v>11.397823978435881</v>
      </c>
      <c r="J471">
        <f>(NBA_2026_Results3[[#This Row],[Home Margin]]-NBA_2026_Results3[[#This Row],[Home Forecast]])^2</f>
        <v>213.22354456474213</v>
      </c>
    </row>
    <row r="472" spans="4:10" x14ac:dyDescent="0.2">
      <c r="D472" t="s">
        <v>30</v>
      </c>
      <c r="E472" t="s">
        <v>10</v>
      </c>
      <c r="F472">
        <v>107</v>
      </c>
      <c r="G472">
        <v>123</v>
      </c>
      <c r="H472">
        <v>-16</v>
      </c>
      <c r="I472">
        <f>VLOOKUP(NBA_2026_Results3[[#This Row],[Home Team]], TeamRating, 2, FALSE) - VLOOKUP(NBA_2026_Results3[[#This Row],[Away Team]], TeamRating, 2, FALSE)+HomeEdge</f>
        <v>12.820989655828907</v>
      </c>
      <c r="J472">
        <f>(NBA_2026_Results3[[#This Row],[Home Margin]]-NBA_2026_Results3[[#This Row],[Home Forecast]])^2</f>
        <v>830.64944474139679</v>
      </c>
    </row>
    <row r="473" spans="4:10" x14ac:dyDescent="0.2">
      <c r="D473" t="s">
        <v>28</v>
      </c>
      <c r="E473" t="s">
        <v>25</v>
      </c>
      <c r="F473">
        <v>114</v>
      </c>
      <c r="G473">
        <v>127</v>
      </c>
      <c r="H473">
        <v>-13</v>
      </c>
      <c r="I473">
        <f>VLOOKUP(NBA_2026_Results3[[#This Row],[Home Team]], TeamRating, 2, FALSE) - VLOOKUP(NBA_2026_Results3[[#This Row],[Away Team]], TeamRating, 2, FALSE)+HomeEdge</f>
        <v>14.631973588602463</v>
      </c>
      <c r="J473">
        <f>(NBA_2026_Results3[[#This Row],[Home Margin]]-NBA_2026_Results3[[#This Row],[Home Forecast]])^2</f>
        <v>763.52596440122409</v>
      </c>
    </row>
    <row r="474" spans="4:10" x14ac:dyDescent="0.2">
      <c r="D474" t="s">
        <v>5</v>
      </c>
      <c r="E474" t="s">
        <v>16</v>
      </c>
      <c r="F474">
        <v>129</v>
      </c>
      <c r="G474">
        <v>104</v>
      </c>
      <c r="H474">
        <v>25</v>
      </c>
      <c r="I474">
        <f>VLOOKUP(NBA_2026_Results3[[#This Row],[Home Team]], TeamRating, 2, FALSE) - VLOOKUP(NBA_2026_Results3[[#This Row],[Away Team]], TeamRating, 2, FALSE)+HomeEdge</f>
        <v>13.129642274096806</v>
      </c>
      <c r="J474">
        <f>(NBA_2026_Results3[[#This Row],[Home Margin]]-NBA_2026_Results3[[#This Row],[Home Forecast]])^2</f>
        <v>140.90539254090965</v>
      </c>
    </row>
    <row r="475" spans="4:10" x14ac:dyDescent="0.2">
      <c r="D475" t="s">
        <v>18</v>
      </c>
      <c r="E475" t="s">
        <v>8</v>
      </c>
      <c r="F475">
        <v>141</v>
      </c>
      <c r="G475">
        <v>127</v>
      </c>
      <c r="H475">
        <v>14</v>
      </c>
      <c r="I475">
        <f>VLOOKUP(NBA_2026_Results3[[#This Row],[Home Team]], TeamRating, 2, FALSE) - VLOOKUP(NBA_2026_Results3[[#This Row],[Away Team]], TeamRating, 2, FALSE)+HomeEdge</f>
        <v>0.17219987364985379</v>
      </c>
      <c r="J475">
        <f>(NBA_2026_Results3[[#This Row],[Home Margin]]-NBA_2026_Results3[[#This Row],[Home Forecast]])^2</f>
        <v>191.20805633428913</v>
      </c>
    </row>
    <row r="476" spans="4:10" x14ac:dyDescent="0.2">
      <c r="D476" t="s">
        <v>29</v>
      </c>
      <c r="E476" t="s">
        <v>15</v>
      </c>
      <c r="F476">
        <v>114</v>
      </c>
      <c r="G476">
        <v>108</v>
      </c>
      <c r="H476">
        <v>6</v>
      </c>
      <c r="I476">
        <f>VLOOKUP(NBA_2026_Results3[[#This Row],[Home Team]], TeamRating, 2, FALSE) - VLOOKUP(NBA_2026_Results3[[#This Row],[Away Team]], TeamRating, 2, FALSE)+HomeEdge</f>
        <v>-4.5055737595687395</v>
      </c>
      <c r="J476">
        <f>(NBA_2026_Results3[[#This Row],[Home Margin]]-NBA_2026_Results3[[#This Row],[Home Forecast]])^2</f>
        <v>110.36708001773928</v>
      </c>
    </row>
    <row r="477" spans="4:10" x14ac:dyDescent="0.2">
      <c r="D477" t="s">
        <v>24</v>
      </c>
      <c r="E477" t="s">
        <v>21</v>
      </c>
      <c r="F477">
        <v>116</v>
      </c>
      <c r="G477">
        <v>112</v>
      </c>
      <c r="H477">
        <v>4</v>
      </c>
      <c r="I477">
        <f>VLOOKUP(NBA_2026_Results3[[#This Row],[Home Team]], TeamRating, 2, FALSE) - VLOOKUP(NBA_2026_Results3[[#This Row],[Away Team]], TeamRating, 2, FALSE)+HomeEdge</f>
        <v>-6.4499795074752635</v>
      </c>
      <c r="J477">
        <f>(NBA_2026_Results3[[#This Row],[Home Margin]]-NBA_2026_Results3[[#This Row],[Home Forecast]])^2</f>
        <v>109.20207170665293</v>
      </c>
    </row>
    <row r="478" spans="4:10" x14ac:dyDescent="0.2">
      <c r="D478" t="s">
        <v>26</v>
      </c>
      <c r="E478" t="s">
        <v>20</v>
      </c>
      <c r="F478">
        <v>112</v>
      </c>
      <c r="G478">
        <v>99</v>
      </c>
      <c r="H478">
        <v>13</v>
      </c>
      <c r="I478">
        <f>VLOOKUP(NBA_2026_Results3[[#This Row],[Home Team]], TeamRating, 2, FALSE) - VLOOKUP(NBA_2026_Results3[[#This Row],[Away Team]], TeamRating, 2, FALSE)+HomeEdge</f>
        <v>-3.5809019381260558</v>
      </c>
      <c r="J478">
        <f>(NBA_2026_Results3[[#This Row],[Home Margin]]-NBA_2026_Results3[[#This Row],[Home Forecast]])^2</f>
        <v>274.92630908175232</v>
      </c>
    </row>
    <row r="479" spans="4:10" x14ac:dyDescent="0.2">
      <c r="D479" t="s">
        <v>7</v>
      </c>
      <c r="E479" t="s">
        <v>32</v>
      </c>
      <c r="F479">
        <v>125</v>
      </c>
      <c r="G479">
        <v>101</v>
      </c>
      <c r="H479">
        <v>24</v>
      </c>
      <c r="I479">
        <f>VLOOKUP(NBA_2026_Results3[[#This Row],[Home Team]], TeamRating, 2, FALSE) - VLOOKUP(NBA_2026_Results3[[#This Row],[Away Team]], TeamRating, 2, FALSE)+HomeEdge</f>
        <v>9.6929404486968789</v>
      </c>
      <c r="J479">
        <f>(NBA_2026_Results3[[#This Row],[Home Margin]]-NBA_2026_Results3[[#This Row],[Home Forecast]])^2</f>
        <v>204.69195300453387</v>
      </c>
    </row>
    <row r="480" spans="4:10" x14ac:dyDescent="0.2">
      <c r="D480" t="s">
        <v>9</v>
      </c>
      <c r="E480" t="s">
        <v>23</v>
      </c>
      <c r="F480">
        <v>113</v>
      </c>
      <c r="G480">
        <v>123</v>
      </c>
      <c r="H480">
        <v>-10</v>
      </c>
      <c r="I480">
        <f>VLOOKUP(NBA_2026_Results3[[#This Row],[Home Team]], TeamRating, 2, FALSE) - VLOOKUP(NBA_2026_Results3[[#This Row],[Away Team]], TeamRating, 2, FALSE)+HomeEdge</f>
        <v>6.824895290299982</v>
      </c>
      <c r="J480">
        <f>(NBA_2026_Results3[[#This Row],[Home Margin]]-NBA_2026_Results3[[#This Row],[Home Forecast]])^2</f>
        <v>283.07710152955849</v>
      </c>
    </row>
    <row r="481" spans="4:10" x14ac:dyDescent="0.2">
      <c r="D481" t="s">
        <v>24</v>
      </c>
      <c r="E481" t="s">
        <v>31</v>
      </c>
      <c r="F481">
        <v>101</v>
      </c>
      <c r="G481">
        <v>115</v>
      </c>
      <c r="H481">
        <v>-14</v>
      </c>
      <c r="I481">
        <f>VLOOKUP(NBA_2026_Results3[[#This Row],[Home Team]], TeamRating, 2, FALSE) - VLOOKUP(NBA_2026_Results3[[#This Row],[Away Team]], TeamRating, 2, FALSE)+HomeEdge</f>
        <v>-11.060676801737717</v>
      </c>
      <c r="J481">
        <f>(NBA_2026_Results3[[#This Row],[Home Margin]]-NBA_2026_Results3[[#This Row],[Home Forecast]])^2</f>
        <v>8.6396208638428167</v>
      </c>
    </row>
    <row r="482" spans="4:10" x14ac:dyDescent="0.2">
      <c r="D482" t="s">
        <v>10</v>
      </c>
      <c r="E482" t="s">
        <v>8</v>
      </c>
      <c r="F482">
        <v>107</v>
      </c>
      <c r="G482">
        <v>120</v>
      </c>
      <c r="H482">
        <v>-13</v>
      </c>
      <c r="I482">
        <f>VLOOKUP(NBA_2026_Results3[[#This Row],[Home Team]], TeamRating, 2, FALSE) - VLOOKUP(NBA_2026_Results3[[#This Row],[Away Team]], TeamRating, 2, FALSE)+HomeEdge</f>
        <v>-7.7548865781063308</v>
      </c>
      <c r="J482">
        <f>(NBA_2026_Results3[[#This Row],[Home Margin]]-NBA_2026_Results3[[#This Row],[Home Forecast]])^2</f>
        <v>27.511214808529115</v>
      </c>
    </row>
    <row r="483" spans="4:10" x14ac:dyDescent="0.2">
      <c r="D483" t="s">
        <v>14</v>
      </c>
      <c r="E483" t="s">
        <v>34</v>
      </c>
      <c r="F483">
        <v>147</v>
      </c>
      <c r="G483">
        <v>123</v>
      </c>
      <c r="H483">
        <v>24</v>
      </c>
      <c r="I483">
        <f>VLOOKUP(NBA_2026_Results3[[#This Row],[Home Team]], TeamRating, 2, FALSE) - VLOOKUP(NBA_2026_Results3[[#This Row],[Away Team]], TeamRating, 2, FALSE)+HomeEdge</f>
        <v>0.89717353215976559</v>
      </c>
      <c r="J483">
        <f>(NBA_2026_Results3[[#This Row],[Home Margin]]-NBA_2026_Results3[[#This Row],[Home Forecast]])^2</f>
        <v>533.7405908031393</v>
      </c>
    </row>
    <row r="484" spans="4:10" x14ac:dyDescent="0.2">
      <c r="D484" t="s">
        <v>18</v>
      </c>
      <c r="E484" t="s">
        <v>13</v>
      </c>
      <c r="F484">
        <v>107</v>
      </c>
      <c r="G484">
        <v>106</v>
      </c>
      <c r="H484">
        <v>1</v>
      </c>
      <c r="I484">
        <f>VLOOKUP(NBA_2026_Results3[[#This Row],[Home Team]], TeamRating, 2, FALSE) - VLOOKUP(NBA_2026_Results3[[#This Row],[Away Team]], TeamRating, 2, FALSE)+HomeEdge</f>
        <v>2.9993706913698919</v>
      </c>
      <c r="J484">
        <f>(NBA_2026_Results3[[#This Row],[Home Margin]]-NBA_2026_Results3[[#This Row],[Home Forecast]])^2</f>
        <v>3.9974831615089195</v>
      </c>
    </row>
    <row r="485" spans="4:10" x14ac:dyDescent="0.2">
      <c r="D485" t="s">
        <v>19</v>
      </c>
      <c r="E485" t="s">
        <v>30</v>
      </c>
      <c r="F485">
        <v>101</v>
      </c>
      <c r="G485">
        <v>136</v>
      </c>
      <c r="H485">
        <v>-35</v>
      </c>
      <c r="I485">
        <f>VLOOKUP(NBA_2026_Results3[[#This Row],[Home Team]], TeamRating, 2, FALSE) - VLOOKUP(NBA_2026_Results3[[#This Row],[Away Team]], TeamRating, 2, FALSE)+HomeEdge</f>
        <v>-5.3632073798060667</v>
      </c>
      <c r="J485">
        <f>(NBA_2026_Results3[[#This Row],[Home Margin]]-NBA_2026_Results3[[#This Row],[Home Forecast]])^2</f>
        <v>878.33947681238158</v>
      </c>
    </row>
    <row r="486" spans="4:10" x14ac:dyDescent="0.2">
      <c r="D486" t="s">
        <v>6</v>
      </c>
      <c r="E486" t="s">
        <v>33</v>
      </c>
      <c r="F486">
        <v>126</v>
      </c>
      <c r="G486">
        <v>119</v>
      </c>
      <c r="H486">
        <v>7</v>
      </c>
      <c r="I486">
        <f>VLOOKUP(NBA_2026_Results3[[#This Row],[Home Team]], TeamRating, 2, FALSE) - VLOOKUP(NBA_2026_Results3[[#This Row],[Away Team]], TeamRating, 2, FALSE)+HomeEdge</f>
        <v>15.002671623023069</v>
      </c>
      <c r="J486">
        <f>(NBA_2026_Results3[[#This Row],[Home Margin]]-NBA_2026_Results3[[#This Row],[Home Forecast]])^2</f>
        <v>64.042753105938687</v>
      </c>
    </row>
    <row r="487" spans="4:10" x14ac:dyDescent="0.2">
      <c r="D487" t="s">
        <v>22</v>
      </c>
      <c r="E487" t="s">
        <v>11</v>
      </c>
      <c r="F487">
        <v>125</v>
      </c>
      <c r="G487">
        <v>130</v>
      </c>
      <c r="H487">
        <v>-5</v>
      </c>
      <c r="I487">
        <f>VLOOKUP(NBA_2026_Results3[[#This Row],[Home Team]], TeamRating, 2, FALSE) - VLOOKUP(NBA_2026_Results3[[#This Row],[Away Team]], TeamRating, 2, FALSE)+HomeEdge</f>
        <v>-8.3291876479451226</v>
      </c>
      <c r="J487">
        <f>(NBA_2026_Results3[[#This Row],[Home Margin]]-NBA_2026_Results3[[#This Row],[Home Forecast]])^2</f>
        <v>11.083490395230378</v>
      </c>
    </row>
    <row r="488" spans="4:10" x14ac:dyDescent="0.2">
      <c r="D488" t="s">
        <v>5</v>
      </c>
      <c r="E488" t="s">
        <v>17</v>
      </c>
      <c r="F488">
        <v>140</v>
      </c>
      <c r="G488">
        <v>129</v>
      </c>
      <c r="H488">
        <v>11</v>
      </c>
      <c r="I488">
        <f>VLOOKUP(NBA_2026_Results3[[#This Row],[Home Team]], TeamRating, 2, FALSE) - VLOOKUP(NBA_2026_Results3[[#This Row],[Away Team]], TeamRating, 2, FALSE)+HomeEdge</f>
        <v>13.640374321459444</v>
      </c>
      <c r="J488">
        <f>(NBA_2026_Results3[[#This Row],[Home Margin]]-NBA_2026_Results3[[#This Row],[Home Forecast]])^2</f>
        <v>6.9715765574224164</v>
      </c>
    </row>
    <row r="489" spans="4:10" x14ac:dyDescent="0.2">
      <c r="D489" t="s">
        <v>28</v>
      </c>
      <c r="E489" t="s">
        <v>12</v>
      </c>
      <c r="F489">
        <v>101</v>
      </c>
      <c r="G489">
        <v>113</v>
      </c>
      <c r="H489">
        <v>-12</v>
      </c>
      <c r="I489">
        <f>VLOOKUP(NBA_2026_Results3[[#This Row],[Home Team]], TeamRating, 2, FALSE) - VLOOKUP(NBA_2026_Results3[[#This Row],[Away Team]], TeamRating, 2, FALSE)+HomeEdge</f>
        <v>4.0148584021728855</v>
      </c>
      <c r="J489">
        <f>(NBA_2026_Results3[[#This Row],[Home Margin]]-NBA_2026_Results3[[#This Row],[Home Forecast]])^2</f>
        <v>256.47568964164742</v>
      </c>
    </row>
    <row r="490" spans="4:10" x14ac:dyDescent="0.2">
      <c r="D490" t="s">
        <v>29</v>
      </c>
      <c r="E490" t="s">
        <v>27</v>
      </c>
      <c r="F490">
        <v>125</v>
      </c>
      <c r="G490">
        <v>122</v>
      </c>
      <c r="H490">
        <v>3</v>
      </c>
      <c r="I490">
        <f>VLOOKUP(NBA_2026_Results3[[#This Row],[Home Team]], TeamRating, 2, FALSE) - VLOOKUP(NBA_2026_Results3[[#This Row],[Away Team]], TeamRating, 2, FALSE)+HomeEdge</f>
        <v>4.0427573487607749</v>
      </c>
      <c r="J490">
        <f>(NBA_2026_Results3[[#This Row],[Home Margin]]-NBA_2026_Results3[[#This Row],[Home Forecast]])^2</f>
        <v>1.0873428883946004</v>
      </c>
    </row>
    <row r="491" spans="4:10" x14ac:dyDescent="0.2">
      <c r="D491" t="s">
        <v>21</v>
      </c>
      <c r="E491" t="s">
        <v>16</v>
      </c>
      <c r="F491">
        <v>136</v>
      </c>
      <c r="G491">
        <v>139</v>
      </c>
      <c r="H491">
        <v>-3</v>
      </c>
      <c r="I491">
        <f>VLOOKUP(NBA_2026_Results3[[#This Row],[Home Team]], TeamRating, 2, FALSE) - VLOOKUP(NBA_2026_Results3[[#This Row],[Away Team]], TeamRating, 2, FALSE)+HomeEdge</f>
        <v>5.6352338356353338E-2</v>
      </c>
      <c r="J491">
        <f>(NBA_2026_Results3[[#This Row],[Home Margin]]-NBA_2026_Results3[[#This Row],[Home Forecast]])^2</f>
        <v>9.341289616176347</v>
      </c>
    </row>
    <row r="492" spans="4:10" x14ac:dyDescent="0.2">
      <c r="D492" t="s">
        <v>25</v>
      </c>
      <c r="E492" t="s">
        <v>15</v>
      </c>
      <c r="F492">
        <v>119</v>
      </c>
      <c r="G492">
        <v>129</v>
      </c>
      <c r="H492">
        <v>-10</v>
      </c>
      <c r="I492">
        <f>VLOOKUP(NBA_2026_Results3[[#This Row],[Home Team]], TeamRating, 2, FALSE) - VLOOKUP(NBA_2026_Results3[[#This Row],[Away Team]], TeamRating, 2, FALSE)+HomeEdge</f>
        <v>-11.275022848386666</v>
      </c>
      <c r="J492">
        <f>(NBA_2026_Results3[[#This Row],[Home Margin]]-NBA_2026_Results3[[#This Row],[Home Forecast]])^2</f>
        <v>1.6256832639080463</v>
      </c>
    </row>
    <row r="493" spans="4:10" x14ac:dyDescent="0.2">
      <c r="D493" t="s">
        <v>7</v>
      </c>
      <c r="E493" t="s">
        <v>20</v>
      </c>
      <c r="F493">
        <v>106</v>
      </c>
      <c r="G493">
        <v>128</v>
      </c>
      <c r="H493">
        <v>-22</v>
      </c>
      <c r="I493">
        <f>VLOOKUP(NBA_2026_Results3[[#This Row],[Home Team]], TeamRating, 2, FALSE) - VLOOKUP(NBA_2026_Results3[[#This Row],[Away Team]], TeamRating, 2, FALSE)+HomeEdge</f>
        <v>-4.3816470723410692</v>
      </c>
      <c r="J493">
        <f>(NBA_2026_Results3[[#This Row],[Home Margin]]-NBA_2026_Results3[[#This Row],[Home Forecast]])^2</f>
        <v>310.40635988354808</v>
      </c>
    </row>
    <row r="494" spans="4:10" x14ac:dyDescent="0.2">
      <c r="D494" t="s">
        <v>26</v>
      </c>
      <c r="E494" t="s">
        <v>32</v>
      </c>
      <c r="F494">
        <v>131</v>
      </c>
      <c r="G494">
        <v>90</v>
      </c>
      <c r="H494">
        <v>41</v>
      </c>
      <c r="I494">
        <f>VLOOKUP(NBA_2026_Results3[[#This Row],[Home Team]], TeamRating, 2, FALSE) - VLOOKUP(NBA_2026_Results3[[#This Row],[Away Team]], TeamRating, 2, FALSE)+HomeEdge</f>
        <v>10.493685582911894</v>
      </c>
      <c r="J494">
        <f>(NBA_2026_Results3[[#This Row],[Home Margin]]-NBA_2026_Results3[[#This Row],[Home Forecast]])^2</f>
        <v>930.63521931423759</v>
      </c>
    </row>
    <row r="495" spans="4:10" x14ac:dyDescent="0.2">
      <c r="D495" t="s">
        <v>9</v>
      </c>
      <c r="E495" t="s">
        <v>8</v>
      </c>
      <c r="F495">
        <v>125</v>
      </c>
      <c r="G495">
        <v>132</v>
      </c>
      <c r="H495">
        <v>-7</v>
      </c>
      <c r="I495">
        <f>VLOOKUP(NBA_2026_Results3[[#This Row],[Home Team]], TeamRating, 2, FALSE) - VLOOKUP(NBA_2026_Results3[[#This Row],[Away Team]], TeamRating, 2, FALSE)+HomeEdge</f>
        <v>-7.590127891572318E-2</v>
      </c>
      <c r="J495">
        <f>(NBA_2026_Results3[[#This Row],[Home Margin]]-NBA_2026_Results3[[#This Row],[Home Forecast]])^2</f>
        <v>47.943143099320913</v>
      </c>
    </row>
    <row r="496" spans="4:10" x14ac:dyDescent="0.2">
      <c r="D496" t="s">
        <v>17</v>
      </c>
      <c r="E496" t="s">
        <v>30</v>
      </c>
      <c r="F496">
        <v>126</v>
      </c>
      <c r="G496">
        <v>102</v>
      </c>
      <c r="H496">
        <v>24</v>
      </c>
      <c r="I496">
        <f>VLOOKUP(NBA_2026_Results3[[#This Row],[Home Team]], TeamRating, 2, FALSE) - VLOOKUP(NBA_2026_Results3[[#This Row],[Away Team]], TeamRating, 2, FALSE)+HomeEdge</f>
        <v>-2.9114612122481747</v>
      </c>
      <c r="J496">
        <f>(NBA_2026_Results3[[#This Row],[Home Margin]]-NBA_2026_Results3[[#This Row],[Home Forecast]])^2</f>
        <v>724.22674457833796</v>
      </c>
    </row>
    <row r="497" spans="4:10" x14ac:dyDescent="0.2">
      <c r="D497" t="s">
        <v>33</v>
      </c>
      <c r="E497" t="s">
        <v>13</v>
      </c>
      <c r="F497">
        <v>110</v>
      </c>
      <c r="G497">
        <v>112</v>
      </c>
      <c r="H497">
        <v>-2</v>
      </c>
      <c r="I497">
        <f>VLOOKUP(NBA_2026_Results3[[#This Row],[Home Team]], TeamRating, 2, FALSE) - VLOOKUP(NBA_2026_Results3[[#This Row],[Away Team]], TeamRating, 2, FALSE)+HomeEdge</f>
        <v>-5.5640403661604978</v>
      </c>
      <c r="J497">
        <f>(NBA_2026_Results3[[#This Row],[Home Margin]]-NBA_2026_Results3[[#This Row],[Home Forecast]])^2</f>
        <v>12.702383731621456</v>
      </c>
    </row>
    <row r="498" spans="4:10" x14ac:dyDescent="0.2">
      <c r="D498" t="s">
        <v>12</v>
      </c>
      <c r="E498" t="s">
        <v>31</v>
      </c>
      <c r="F498">
        <v>129</v>
      </c>
      <c r="G498">
        <v>113</v>
      </c>
      <c r="H498">
        <v>16</v>
      </c>
      <c r="I498">
        <f>VLOOKUP(NBA_2026_Results3[[#This Row],[Home Team]], TeamRating, 2, FALSE) - VLOOKUP(NBA_2026_Results3[[#This Row],[Away Team]], TeamRating, 2, FALSE)+HomeEdge</f>
        <v>1.7129357078591889</v>
      </c>
      <c r="J498">
        <f>(NBA_2026_Results3[[#This Row],[Home Margin]]-NBA_2026_Results3[[#This Row],[Home Forecast]])^2</f>
        <v>204.12020608776504</v>
      </c>
    </row>
    <row r="499" spans="4:10" x14ac:dyDescent="0.2">
      <c r="D499" t="s">
        <v>19</v>
      </c>
      <c r="E499" t="s">
        <v>22</v>
      </c>
      <c r="F499">
        <v>134</v>
      </c>
      <c r="G499">
        <v>118</v>
      </c>
      <c r="H499">
        <v>16</v>
      </c>
      <c r="I499">
        <f>VLOOKUP(NBA_2026_Results3[[#This Row],[Home Team]], TeamRating, 2, FALSE) - VLOOKUP(NBA_2026_Results3[[#This Row],[Away Team]], TeamRating, 2, FALSE)+HomeEdge</f>
        <v>4.7276750799876028</v>
      </c>
      <c r="J499">
        <f>(NBA_2026_Results3[[#This Row],[Home Margin]]-NBA_2026_Results3[[#This Row],[Home Forecast]])^2</f>
        <v>127.06530910233252</v>
      </c>
    </row>
    <row r="500" spans="4:10" x14ac:dyDescent="0.2">
      <c r="D500" t="s">
        <v>28</v>
      </c>
      <c r="E500" t="s">
        <v>11</v>
      </c>
      <c r="F500">
        <v>134</v>
      </c>
      <c r="G500">
        <v>132</v>
      </c>
      <c r="H500">
        <v>2</v>
      </c>
      <c r="I500">
        <f>VLOOKUP(NBA_2026_Results3[[#This Row],[Home Team]], TeamRating, 2, FALSE) - VLOOKUP(NBA_2026_Results3[[#This Row],[Away Team]], TeamRating, 2, FALSE)+HomeEdge</f>
        <v>2.5262273849466359</v>
      </c>
      <c r="J500">
        <f>(NBA_2026_Results3[[#This Row],[Home Margin]]-NBA_2026_Results3[[#This Row],[Home Forecast]])^2</f>
        <v>0.27691526066777494</v>
      </c>
    </row>
    <row r="501" spans="4:10" x14ac:dyDescent="0.2">
      <c r="D501" t="s">
        <v>18</v>
      </c>
      <c r="E501" t="s">
        <v>34</v>
      </c>
      <c r="F501">
        <v>103</v>
      </c>
      <c r="G501">
        <v>106</v>
      </c>
      <c r="H501">
        <v>-3</v>
      </c>
      <c r="I501">
        <f>VLOOKUP(NBA_2026_Results3[[#This Row],[Home Team]], TeamRating, 2, FALSE) - VLOOKUP(NBA_2026_Results3[[#This Row],[Away Team]], TeamRating, 2, FALSE)+HomeEdge</f>
        <v>-0.12984388757891141</v>
      </c>
      <c r="J501">
        <f>(NBA_2026_Results3[[#This Row],[Home Margin]]-NBA_2026_Results3[[#This Row],[Home Forecast]])^2</f>
        <v>8.2377961096681371</v>
      </c>
    </row>
    <row r="502" spans="4:10" x14ac:dyDescent="0.2">
      <c r="D502" t="s">
        <v>23</v>
      </c>
      <c r="E502" t="s">
        <v>24</v>
      </c>
      <c r="F502">
        <v>113</v>
      </c>
      <c r="G502">
        <v>114</v>
      </c>
      <c r="H502">
        <v>-1</v>
      </c>
      <c r="I502">
        <f>VLOOKUP(NBA_2026_Results3[[#This Row],[Home Team]], TeamRating, 2, FALSE) - VLOOKUP(NBA_2026_Results3[[#This Row],[Away Team]], TeamRating, 2, FALSE)+HomeEdge</f>
        <v>7.6718296940670472</v>
      </c>
      <c r="J502">
        <f>(NBA_2026_Results3[[#This Row],[Home Margin]]-NBA_2026_Results3[[#This Row],[Home Forecast]])^2</f>
        <v>75.20063024290296</v>
      </c>
    </row>
    <row r="503" spans="4:10" x14ac:dyDescent="0.2">
      <c r="D503" t="s">
        <v>5</v>
      </c>
      <c r="E503" t="s">
        <v>29</v>
      </c>
      <c r="F503">
        <v>124</v>
      </c>
      <c r="G503">
        <v>95</v>
      </c>
      <c r="H503">
        <v>29</v>
      </c>
      <c r="I503">
        <f>VLOOKUP(NBA_2026_Results3[[#This Row],[Home Team]], TeamRating, 2, FALSE) - VLOOKUP(NBA_2026_Results3[[#This Row],[Away Team]], TeamRating, 2, FALSE)+HomeEdge</f>
        <v>14.212114033564095</v>
      </c>
      <c r="J503">
        <f>(NBA_2026_Results3[[#This Row],[Home Margin]]-NBA_2026_Results3[[#This Row],[Home Forecast]])^2</f>
        <v>218.68157135631196</v>
      </c>
    </row>
    <row r="504" spans="4:10" x14ac:dyDescent="0.2">
      <c r="D504" t="s">
        <v>10</v>
      </c>
      <c r="E504" t="s">
        <v>6</v>
      </c>
      <c r="F504">
        <v>96</v>
      </c>
      <c r="G504">
        <v>120</v>
      </c>
      <c r="H504">
        <v>-24</v>
      </c>
      <c r="I504">
        <f>VLOOKUP(NBA_2026_Results3[[#This Row],[Home Team]], TeamRating, 2, FALSE) - VLOOKUP(NBA_2026_Results3[[#This Row],[Away Team]], TeamRating, 2, FALSE)+HomeEdge</f>
        <v>-10.751556014915238</v>
      </c>
      <c r="J504">
        <f>(NBA_2026_Results3[[#This Row],[Home Margin]]-NBA_2026_Results3[[#This Row],[Home Forecast]])^2</f>
        <v>175.52126802592861</v>
      </c>
    </row>
    <row r="505" spans="4:10" x14ac:dyDescent="0.2">
      <c r="D505" t="s">
        <v>20</v>
      </c>
      <c r="E505" t="s">
        <v>14</v>
      </c>
      <c r="F505">
        <v>112</v>
      </c>
      <c r="G505">
        <v>118</v>
      </c>
      <c r="H505">
        <v>-6</v>
      </c>
      <c r="I505">
        <f>VLOOKUP(NBA_2026_Results3[[#This Row],[Home Team]], TeamRating, 2, FALSE) - VLOOKUP(NBA_2026_Results3[[#This Row],[Away Team]], TeamRating, 2, FALSE)+HomeEdge</f>
        <v>5.0044593428815904</v>
      </c>
      <c r="J505">
        <f>(NBA_2026_Results3[[#This Row],[Home Margin]]-NBA_2026_Results3[[#This Row],[Home Forecast]])^2</f>
        <v>121.09812542913393</v>
      </c>
    </row>
    <row r="506" spans="4:10" x14ac:dyDescent="0.2">
      <c r="D506" t="s">
        <v>27</v>
      </c>
      <c r="E506" t="s">
        <v>16</v>
      </c>
      <c r="F506">
        <v>108</v>
      </c>
      <c r="G506">
        <v>123</v>
      </c>
      <c r="H506">
        <v>-15</v>
      </c>
      <c r="I506">
        <f>VLOOKUP(NBA_2026_Results3[[#This Row],[Home Team]], TeamRating, 2, FALSE) - VLOOKUP(NBA_2026_Results3[[#This Row],[Away Team]], TeamRating, 2, FALSE)+HomeEdge</f>
        <v>-1.5104381058944347</v>
      </c>
      <c r="J506">
        <f>(NBA_2026_Results3[[#This Row],[Home Margin]]-NBA_2026_Results3[[#This Row],[Home Forecast]])^2</f>
        <v>181.96828009490491</v>
      </c>
    </row>
    <row r="507" spans="4:10" x14ac:dyDescent="0.2">
      <c r="D507" t="s">
        <v>32</v>
      </c>
      <c r="E507" t="s">
        <v>15</v>
      </c>
      <c r="F507">
        <v>106</v>
      </c>
      <c r="G507">
        <v>120</v>
      </c>
      <c r="H507">
        <v>-14</v>
      </c>
      <c r="I507">
        <f>VLOOKUP(NBA_2026_Results3[[#This Row],[Home Team]], TeamRating, 2, FALSE) - VLOOKUP(NBA_2026_Results3[[#This Row],[Away Team]], TeamRating, 2, FALSE)+HomeEdge</f>
        <v>-12.151991296539506</v>
      </c>
      <c r="J507">
        <f>(NBA_2026_Results3[[#This Row],[Home Margin]]-NBA_2026_Results3[[#This Row],[Home Forecast]])^2</f>
        <v>3.4151361680657342</v>
      </c>
    </row>
    <row r="508" spans="4:10" x14ac:dyDescent="0.2">
      <c r="D508" t="s">
        <v>26</v>
      </c>
      <c r="E508" t="s">
        <v>25</v>
      </c>
      <c r="F508">
        <v>118</v>
      </c>
      <c r="G508">
        <v>101</v>
      </c>
      <c r="H508">
        <v>17</v>
      </c>
      <c r="I508">
        <f>VLOOKUP(NBA_2026_Results3[[#This Row],[Home Team]], TeamRating, 2, FALSE) - VLOOKUP(NBA_2026_Results3[[#This Row],[Away Team]], TeamRating, 2, FALSE)+HomeEdge</f>
        <v>9.6167171347590514</v>
      </c>
      <c r="J508">
        <f>(NBA_2026_Results3[[#This Row],[Home Margin]]-NBA_2026_Results3[[#This Row],[Home Forecast]])^2</f>
        <v>54.512865868160588</v>
      </c>
    </row>
    <row r="509" spans="4:10" x14ac:dyDescent="0.2">
      <c r="D509" t="s">
        <v>33</v>
      </c>
      <c r="E509" t="s">
        <v>28</v>
      </c>
      <c r="F509">
        <v>113</v>
      </c>
      <c r="G509">
        <v>123</v>
      </c>
      <c r="H509">
        <v>-10</v>
      </c>
      <c r="I509">
        <f>VLOOKUP(NBA_2026_Results3[[#This Row],[Home Team]], TeamRating, 2, FALSE) - VLOOKUP(NBA_2026_Results3[[#This Row],[Away Team]], TeamRating, 2, FALSE)+HomeEdge</f>
        <v>-10.607055832367575</v>
      </c>
      <c r="J509">
        <f>(NBA_2026_Results3[[#This Row],[Home Margin]]-NBA_2026_Results3[[#This Row],[Home Forecast]])^2</f>
        <v>0.36851678361148904</v>
      </c>
    </row>
    <row r="510" spans="4:10" x14ac:dyDescent="0.2">
      <c r="D510" t="s">
        <v>24</v>
      </c>
      <c r="E510" t="s">
        <v>10</v>
      </c>
      <c r="F510">
        <v>119</v>
      </c>
      <c r="G510">
        <v>99</v>
      </c>
      <c r="H510">
        <v>20</v>
      </c>
      <c r="I510">
        <f>VLOOKUP(NBA_2026_Results3[[#This Row],[Home Team]], TeamRating, 2, FALSE) - VLOOKUP(NBA_2026_Results3[[#This Row],[Away Team]], TeamRating, 2, FALSE)+HomeEdge</f>
        <v>-1.3955531816759814</v>
      </c>
      <c r="J510">
        <f>(NBA_2026_Results3[[#This Row],[Home Margin]]-NBA_2026_Results3[[#This Row],[Home Forecast]])^2</f>
        <v>457.76969594992522</v>
      </c>
    </row>
    <row r="511" spans="4:10" x14ac:dyDescent="0.2">
      <c r="D511" t="s">
        <v>12</v>
      </c>
      <c r="E511" t="s">
        <v>34</v>
      </c>
      <c r="F511">
        <v>113</v>
      </c>
      <c r="G511">
        <v>108</v>
      </c>
      <c r="H511">
        <v>5</v>
      </c>
      <c r="I511">
        <f>VLOOKUP(NBA_2026_Results3[[#This Row],[Home Team]], TeamRating, 2, FALSE) - VLOOKUP(NBA_2026_Results3[[#This Row],[Away Team]], TeamRating, 2, FALSE)+HomeEdge</f>
        <v>1.5137334874190138</v>
      </c>
      <c r="J511">
        <f>(NBA_2026_Results3[[#This Row],[Home Margin]]-NBA_2026_Results3[[#This Row],[Home Forecast]])^2</f>
        <v>12.154054196743591</v>
      </c>
    </row>
    <row r="512" spans="4:10" x14ac:dyDescent="0.2">
      <c r="D512" t="s">
        <v>11</v>
      </c>
      <c r="E512" t="s">
        <v>17</v>
      </c>
      <c r="F512">
        <v>99</v>
      </c>
      <c r="G512">
        <v>111</v>
      </c>
      <c r="H512">
        <v>-12</v>
      </c>
      <c r="I512">
        <f>VLOOKUP(NBA_2026_Results3[[#This Row],[Home Team]], TeamRating, 2, FALSE) - VLOOKUP(NBA_2026_Results3[[#This Row],[Away Team]], TeamRating, 2, FALSE)+HomeEdge</f>
        <v>6.5719529039000673</v>
      </c>
      <c r="J512">
        <f>(NBA_2026_Results3[[#This Row],[Home Margin]]-NBA_2026_Results3[[#This Row],[Home Forecast]])^2</f>
        <v>344.91743466468222</v>
      </c>
    </row>
    <row r="513" spans="4:10" x14ac:dyDescent="0.2">
      <c r="D513" t="s">
        <v>19</v>
      </c>
      <c r="E513" t="s">
        <v>13</v>
      </c>
      <c r="F513">
        <v>121</v>
      </c>
      <c r="G513">
        <v>114</v>
      </c>
      <c r="H513">
        <v>7</v>
      </c>
      <c r="I513">
        <f>VLOOKUP(NBA_2026_Results3[[#This Row],[Home Team]], TeamRating, 2, FALSE) - VLOOKUP(NBA_2026_Results3[[#This Row],[Away Team]], TeamRating, 2, FALSE)+HomeEdge</f>
        <v>-1.0847244866970787</v>
      </c>
      <c r="J513">
        <f>(NBA_2026_Results3[[#This Row],[Home Margin]]-NBA_2026_Results3[[#This Row],[Home Forecast]])^2</f>
        <v>65.362770025799335</v>
      </c>
    </row>
    <row r="514" spans="4:10" x14ac:dyDescent="0.2">
      <c r="D514" t="s">
        <v>23</v>
      </c>
      <c r="E514" t="s">
        <v>9</v>
      </c>
      <c r="F514">
        <v>122</v>
      </c>
      <c r="G514">
        <v>121</v>
      </c>
      <c r="H514">
        <v>1</v>
      </c>
      <c r="I514">
        <f>VLOOKUP(NBA_2026_Results3[[#This Row],[Home Team]], TeamRating, 2, FALSE) - VLOOKUP(NBA_2026_Results3[[#This Row],[Away Team]], TeamRating, 2, FALSE)+HomeEdge</f>
        <v>-3.2101042879663551</v>
      </c>
      <c r="J514">
        <f>(NBA_2026_Results3[[#This Row],[Home Margin]]-NBA_2026_Results3[[#This Row],[Home Forecast]])^2</f>
        <v>17.724978115552691</v>
      </c>
    </row>
    <row r="515" spans="4:10" x14ac:dyDescent="0.2">
      <c r="D515" t="s">
        <v>22</v>
      </c>
      <c r="E515" t="s">
        <v>29</v>
      </c>
      <c r="F515">
        <v>109</v>
      </c>
      <c r="G515">
        <v>122</v>
      </c>
      <c r="H515">
        <v>-13</v>
      </c>
      <c r="I515">
        <f>VLOOKUP(NBA_2026_Results3[[#This Row],[Home Team]], TeamRating, 2, FALSE) - VLOOKUP(NBA_2026_Results3[[#This Row],[Away Team]], TeamRating, 2, FALSE)+HomeEdge</f>
        <v>-2.9928905331072171</v>
      </c>
      <c r="J515">
        <f>(NBA_2026_Results3[[#This Row],[Home Margin]]-NBA_2026_Results3[[#This Row],[Home Forecast]])^2</f>
        <v>100.14223988237514</v>
      </c>
    </row>
    <row r="516" spans="4:10" x14ac:dyDescent="0.2">
      <c r="D516" t="s">
        <v>31</v>
      </c>
      <c r="E516" t="s">
        <v>32</v>
      </c>
      <c r="F516">
        <v>129</v>
      </c>
      <c r="G516">
        <v>102</v>
      </c>
      <c r="H516">
        <v>27</v>
      </c>
      <c r="I516">
        <f>VLOOKUP(NBA_2026_Results3[[#This Row],[Home Team]], TeamRating, 2, FALSE) - VLOOKUP(NBA_2026_Results3[[#This Row],[Away Team]], TeamRating, 2, FALSE)+HomeEdge</f>
        <v>13.395938929056857</v>
      </c>
      <c r="J516">
        <f>(NBA_2026_Results3[[#This Row],[Home Margin]]-NBA_2026_Results3[[#This Row],[Home Forecast]])^2</f>
        <v>185.07047762195069</v>
      </c>
    </row>
    <row r="517" spans="4:10" x14ac:dyDescent="0.2">
      <c r="D517" t="s">
        <v>8</v>
      </c>
      <c r="E517" t="s">
        <v>5</v>
      </c>
      <c r="F517">
        <v>94</v>
      </c>
      <c r="G517">
        <v>131</v>
      </c>
      <c r="H517">
        <v>-37</v>
      </c>
      <c r="I517">
        <f>VLOOKUP(NBA_2026_Results3[[#This Row],[Home Team]], TeamRating, 2, FALSE) - VLOOKUP(NBA_2026_Results3[[#This Row],[Away Team]], TeamRating, 2, FALSE)+HomeEdge</f>
        <v>-6.7580386810997792</v>
      </c>
      <c r="J517">
        <f>(NBA_2026_Results3[[#This Row],[Home Margin]]-NBA_2026_Results3[[#This Row],[Home Forecast]])^2</f>
        <v>914.57622441385718</v>
      </c>
    </row>
    <row r="518" spans="4:10" x14ac:dyDescent="0.2">
      <c r="D518" t="s">
        <v>7</v>
      </c>
      <c r="E518" t="s">
        <v>21</v>
      </c>
      <c r="F518">
        <v>128</v>
      </c>
      <c r="G518">
        <v>121</v>
      </c>
      <c r="H518">
        <v>7</v>
      </c>
      <c r="I518">
        <f>VLOOKUP(NBA_2026_Results3[[#This Row],[Home Team]], TeamRating, 2, FALSE) - VLOOKUP(NBA_2026_Results3[[#This Row],[Away Team]], TeamRating, 2, FALSE)+HomeEdge</f>
        <v>2.7150943150692868</v>
      </c>
      <c r="J518">
        <f>(NBA_2026_Results3[[#This Row],[Home Margin]]-NBA_2026_Results3[[#This Row],[Home Forecast]])^2</f>
        <v>18.360416728751545</v>
      </c>
    </row>
    <row r="519" spans="4:10" x14ac:dyDescent="0.2">
      <c r="D519" t="s">
        <v>14</v>
      </c>
      <c r="E519" t="s">
        <v>30</v>
      </c>
      <c r="F519">
        <v>115</v>
      </c>
      <c r="G519">
        <v>125</v>
      </c>
      <c r="H519">
        <v>-10</v>
      </c>
      <c r="I519">
        <f>VLOOKUP(NBA_2026_Results3[[#This Row],[Home Team]], TeamRating, 2, FALSE) - VLOOKUP(NBA_2026_Results3[[#This Row],[Away Team]], TeamRating, 2, FALSE)+HomeEdge</f>
        <v>-0.25209478200041913</v>
      </c>
      <c r="J519">
        <f>(NBA_2026_Results3[[#This Row],[Home Margin]]-NBA_2026_Results3[[#This Row],[Home Forecast]])^2</f>
        <v>95.021656139103442</v>
      </c>
    </row>
    <row r="520" spans="4:10" x14ac:dyDescent="0.2">
      <c r="D520" t="s">
        <v>11</v>
      </c>
      <c r="E520" t="s">
        <v>16</v>
      </c>
      <c r="F520">
        <v>119</v>
      </c>
      <c r="G520">
        <v>130</v>
      </c>
      <c r="H520">
        <v>-11</v>
      </c>
      <c r="I520">
        <f>VLOOKUP(NBA_2026_Results3[[#This Row],[Home Team]], TeamRating, 2, FALSE) - VLOOKUP(NBA_2026_Results3[[#This Row],[Away Team]], TeamRating, 2, FALSE)+HomeEdge</f>
        <v>6.0612208565374308</v>
      </c>
      <c r="J520">
        <f>(NBA_2026_Results3[[#This Row],[Home Margin]]-NBA_2026_Results3[[#This Row],[Home Forecast]])^2</f>
        <v>291.08525711554785</v>
      </c>
    </row>
    <row r="521" spans="4:10" x14ac:dyDescent="0.2">
      <c r="D521" t="s">
        <v>18</v>
      </c>
      <c r="E521" t="s">
        <v>17</v>
      </c>
      <c r="F521">
        <v>134</v>
      </c>
      <c r="G521">
        <v>117</v>
      </c>
      <c r="H521">
        <v>17</v>
      </c>
      <c r="I521">
        <f>VLOOKUP(NBA_2026_Results3[[#This Row],[Home Team]], TeamRating, 2, FALSE) - VLOOKUP(NBA_2026_Results3[[#This Row],[Away Team]], TeamRating, 2, FALSE)+HomeEdge</f>
        <v>3.4397445116758916</v>
      </c>
      <c r="J521">
        <f>(NBA_2026_Results3[[#This Row],[Home Margin]]-NBA_2026_Results3[[#This Row],[Home Forecast]])^2</f>
        <v>183.88052890862409</v>
      </c>
    </row>
    <row r="522" spans="4:10" x14ac:dyDescent="0.2">
      <c r="D522" t="s">
        <v>19</v>
      </c>
      <c r="E522" t="s">
        <v>9</v>
      </c>
      <c r="F522">
        <v>99</v>
      </c>
      <c r="G522">
        <v>112</v>
      </c>
      <c r="H522">
        <v>-13</v>
      </c>
      <c r="I522">
        <f>VLOOKUP(NBA_2026_Results3[[#This Row],[Home Team]], TeamRating, 2, FALSE) - VLOOKUP(NBA_2026_Results3[[#This Row],[Away Team]], TeamRating, 2, FALSE)+HomeEdge</f>
        <v>-2.0285985243345799</v>
      </c>
      <c r="J522">
        <f>(NBA_2026_Results3[[#This Row],[Home Margin]]-NBA_2026_Results3[[#This Row],[Home Forecast]])^2</f>
        <v>120.37165034023336</v>
      </c>
    </row>
    <row r="523" spans="4:10" x14ac:dyDescent="0.2">
      <c r="D523" t="s">
        <v>28</v>
      </c>
      <c r="E523" t="s">
        <v>29</v>
      </c>
      <c r="F523">
        <v>110</v>
      </c>
      <c r="G523">
        <v>115</v>
      </c>
      <c r="H523">
        <v>-5</v>
      </c>
      <c r="I523">
        <f>VLOOKUP(NBA_2026_Results3[[#This Row],[Home Team]], TeamRating, 2, FALSE) - VLOOKUP(NBA_2026_Results3[[#This Row],[Away Team]], TeamRating, 2, FALSE)+HomeEdge</f>
        <v>7.8625244997845405</v>
      </c>
      <c r="J523">
        <f>(NBA_2026_Results3[[#This Row],[Home Margin]]-NBA_2026_Results3[[#This Row],[Home Forecast]])^2</f>
        <v>165.44453650755756</v>
      </c>
    </row>
    <row r="524" spans="4:10" x14ac:dyDescent="0.2">
      <c r="D524" t="s">
        <v>27</v>
      </c>
      <c r="E524" t="s">
        <v>6</v>
      </c>
      <c r="F524">
        <v>110</v>
      </c>
      <c r="G524">
        <v>104</v>
      </c>
      <c r="H524">
        <v>6</v>
      </c>
      <c r="I524">
        <f>VLOOKUP(NBA_2026_Results3[[#This Row],[Home Team]], TeamRating, 2, FALSE) - VLOOKUP(NBA_2026_Results3[[#This Row],[Away Team]], TeamRating, 2, FALSE)+HomeEdge</f>
        <v>-7.2639201333667414</v>
      </c>
      <c r="J524">
        <f>(NBA_2026_Results3[[#This Row],[Home Margin]]-NBA_2026_Results3[[#This Row],[Home Forecast]])^2</f>
        <v>175.93157730433163</v>
      </c>
    </row>
    <row r="525" spans="4:10" x14ac:dyDescent="0.2">
      <c r="D525" t="s">
        <v>8</v>
      </c>
      <c r="E525" t="s">
        <v>25</v>
      </c>
      <c r="F525">
        <v>123</v>
      </c>
      <c r="G525">
        <v>114</v>
      </c>
      <c r="H525">
        <v>9</v>
      </c>
      <c r="I525">
        <f>VLOOKUP(NBA_2026_Results3[[#This Row],[Home Team]], TeamRating, 2, FALSE) - VLOOKUP(NBA_2026_Results3[[#This Row],[Away Team]], TeamRating, 2, FALSE)+HomeEdge</f>
        <v>12.416128940115428</v>
      </c>
      <c r="J525">
        <f>(NBA_2026_Results3[[#This Row],[Home Margin]]-NBA_2026_Results3[[#This Row],[Home Forecast]])^2</f>
        <v>11.669936935494157</v>
      </c>
    </row>
    <row r="526" spans="4:10" x14ac:dyDescent="0.2">
      <c r="D526" t="s">
        <v>26</v>
      </c>
      <c r="E526" t="s">
        <v>15</v>
      </c>
      <c r="F526">
        <v>115</v>
      </c>
      <c r="G526">
        <v>146</v>
      </c>
      <c r="H526">
        <v>-31</v>
      </c>
      <c r="I526">
        <f>VLOOKUP(NBA_2026_Results3[[#This Row],[Home Team]], TeamRating, 2, FALSE) - VLOOKUP(NBA_2026_Results3[[#This Row],[Away Team]], TeamRating, 2, FALSE)+HomeEdge</f>
        <v>-3.4657012147944259</v>
      </c>
      <c r="J526">
        <f>(NBA_2026_Results3[[#This Row],[Home Margin]]-NBA_2026_Results3[[#This Row],[Home Forecast]])^2</f>
        <v>758.13760959297315</v>
      </c>
    </row>
    <row r="527" spans="4:10" x14ac:dyDescent="0.2">
      <c r="D527" t="s">
        <v>12</v>
      </c>
      <c r="E527" t="s">
        <v>20</v>
      </c>
      <c r="F527">
        <v>110</v>
      </c>
      <c r="G527">
        <v>114</v>
      </c>
      <c r="H527">
        <v>-4</v>
      </c>
      <c r="I527">
        <f>VLOOKUP(NBA_2026_Results3[[#This Row],[Home Team]], TeamRating, 2, FALSE) - VLOOKUP(NBA_2026_Results3[[#This Row],[Away Team]], TeamRating, 2, FALSE)+HomeEdge</f>
        <v>-0.77310838528871484</v>
      </c>
      <c r="J527">
        <f>(NBA_2026_Results3[[#This Row],[Home Margin]]-NBA_2026_Results3[[#This Row],[Home Forecast]])^2</f>
        <v>10.412829493094005</v>
      </c>
    </row>
    <row r="528" spans="4:10" x14ac:dyDescent="0.2">
      <c r="D528" t="s">
        <v>13</v>
      </c>
      <c r="E528" t="s">
        <v>33</v>
      </c>
      <c r="F528">
        <v>135</v>
      </c>
      <c r="G528">
        <v>127</v>
      </c>
      <c r="H528">
        <v>8</v>
      </c>
      <c r="I528">
        <f>VLOOKUP(NBA_2026_Results3[[#This Row],[Home Team]], TeamRating, 2, FALSE) - VLOOKUP(NBA_2026_Results3[[#This Row],[Away Team]], TeamRating, 2, FALSE)+HomeEdge</f>
        <v>9.1788313684941247</v>
      </c>
      <c r="J528">
        <f>(NBA_2026_Results3[[#This Row],[Home Margin]]-NBA_2026_Results3[[#This Row],[Home Forecast]])^2</f>
        <v>1.3896433953457308</v>
      </c>
    </row>
    <row r="529" spans="4:10" x14ac:dyDescent="0.2">
      <c r="D529" t="s">
        <v>10</v>
      </c>
      <c r="E529" t="s">
        <v>34</v>
      </c>
      <c r="F529">
        <v>127</v>
      </c>
      <c r="G529">
        <v>115</v>
      </c>
      <c r="H529">
        <v>12</v>
      </c>
      <c r="I529">
        <f>VLOOKUP(NBA_2026_Results3[[#This Row],[Home Team]], TeamRating, 2, FALSE) - VLOOKUP(NBA_2026_Results3[[#This Row],[Away Team]], TeamRating, 2, FALSE)+HomeEdge</f>
        <v>-8.0569303393350964</v>
      </c>
      <c r="J529">
        <f>(NBA_2026_Results3[[#This Row],[Home Margin]]-NBA_2026_Results3[[#This Row],[Home Forecast]])^2</f>
        <v>402.28045463694065</v>
      </c>
    </row>
    <row r="530" spans="4:10" x14ac:dyDescent="0.2">
      <c r="D530" t="s">
        <v>14</v>
      </c>
      <c r="E530" t="s">
        <v>22</v>
      </c>
      <c r="F530">
        <v>125</v>
      </c>
      <c r="G530">
        <v>106</v>
      </c>
      <c r="H530">
        <v>19</v>
      </c>
      <c r="I530">
        <f>VLOOKUP(NBA_2026_Results3[[#This Row],[Home Team]], TeamRating, 2, FALSE) - VLOOKUP(NBA_2026_Results3[[#This Row],[Away Team]], TeamRating, 2, FALSE)+HomeEdge</f>
        <v>9.838787677793249</v>
      </c>
      <c r="J530">
        <f>(NBA_2026_Results3[[#This Row],[Home Margin]]-NBA_2026_Results3[[#This Row],[Home Forecast]])^2</f>
        <v>83.927811212552811</v>
      </c>
    </row>
    <row r="531" spans="4:10" x14ac:dyDescent="0.2">
      <c r="D531" t="s">
        <v>24</v>
      </c>
      <c r="E531" t="s">
        <v>30</v>
      </c>
      <c r="F531">
        <v>115</v>
      </c>
      <c r="G531">
        <v>141</v>
      </c>
      <c r="H531">
        <v>-26</v>
      </c>
      <c r="I531">
        <f>VLOOKUP(NBA_2026_Results3[[#This Row],[Home Team]], TeamRating, 2, FALSE) - VLOOKUP(NBA_2026_Results3[[#This Row],[Away Team]], TeamRating, 2, FALSE)+HomeEdge</f>
        <v>-12.409147336338076</v>
      </c>
      <c r="J531">
        <f>(NBA_2026_Results3[[#This Row],[Home Margin]]-NBA_2026_Results3[[#This Row],[Home Forecast]])^2</f>
        <v>184.7112761253664</v>
      </c>
    </row>
    <row r="532" spans="4:10" x14ac:dyDescent="0.2">
      <c r="D532" t="s">
        <v>31</v>
      </c>
      <c r="E532" t="s">
        <v>5</v>
      </c>
      <c r="F532">
        <v>108</v>
      </c>
      <c r="G532">
        <v>105</v>
      </c>
      <c r="H532">
        <v>3</v>
      </c>
      <c r="I532">
        <f>VLOOKUP(NBA_2026_Results3[[#This Row],[Home Team]], TeamRating, 2, FALSE) - VLOOKUP(NBA_2026_Results3[[#This Row],[Away Team]], TeamRating, 2, FALSE)+HomeEdge</f>
        <v>-6.6551971403111887</v>
      </c>
      <c r="J532">
        <f>(NBA_2026_Results3[[#This Row],[Home Margin]]-NBA_2026_Results3[[#This Row],[Home Forecast]])^2</f>
        <v>93.222831818273335</v>
      </c>
    </row>
    <row r="533" spans="4:10" x14ac:dyDescent="0.2">
      <c r="D533" t="s">
        <v>32</v>
      </c>
      <c r="E533" t="s">
        <v>23</v>
      </c>
      <c r="F533">
        <v>98</v>
      </c>
      <c r="G533">
        <v>115</v>
      </c>
      <c r="H533">
        <v>-17</v>
      </c>
      <c r="I533">
        <f>VLOOKUP(NBA_2026_Results3[[#This Row],[Home Team]], TeamRating, 2, FALSE) - VLOOKUP(NBA_2026_Results3[[#This Row],[Away Team]], TeamRating, 2, FALSE)+HomeEdge</f>
        <v>-2.7775098167189354</v>
      </c>
      <c r="J533">
        <f>(NBA_2026_Results3[[#This Row],[Home Margin]]-NBA_2026_Results3[[#This Row],[Home Forecast]])^2</f>
        <v>202.27922701352622</v>
      </c>
    </row>
    <row r="534" spans="4:10" x14ac:dyDescent="0.2">
      <c r="D534" t="s">
        <v>7</v>
      </c>
      <c r="E534" t="s">
        <v>21</v>
      </c>
      <c r="F534">
        <v>120</v>
      </c>
      <c r="G534">
        <v>114</v>
      </c>
      <c r="H534">
        <v>6</v>
      </c>
      <c r="I534">
        <f>VLOOKUP(NBA_2026_Results3[[#This Row],[Home Team]], TeamRating, 2, FALSE) - VLOOKUP(NBA_2026_Results3[[#This Row],[Away Team]], TeamRating, 2, FALSE)+HomeEdge</f>
        <v>2.7150943150692868</v>
      </c>
      <c r="J534">
        <f>(NBA_2026_Results3[[#This Row],[Home Margin]]-NBA_2026_Results3[[#This Row],[Home Forecast]])^2</f>
        <v>10.790605358890119</v>
      </c>
    </row>
    <row r="535" spans="4:10" x14ac:dyDescent="0.2">
      <c r="D535" t="s">
        <v>20</v>
      </c>
      <c r="E535" t="s">
        <v>11</v>
      </c>
      <c r="F535">
        <v>121</v>
      </c>
      <c r="G535">
        <v>90</v>
      </c>
      <c r="H535">
        <v>31</v>
      </c>
      <c r="I535">
        <f>VLOOKUP(NBA_2026_Results3[[#This Row],[Home Team]], TeamRating, 2, FALSE) - VLOOKUP(NBA_2026_Results3[[#This Row],[Away Team]], TeamRating, 2, FALSE)+HomeEdge</f>
        <v>2.8992683703960918</v>
      </c>
      <c r="J535">
        <f>(NBA_2026_Results3[[#This Row],[Home Margin]]-NBA_2026_Results3[[#This Row],[Home Forecast]])^2</f>
        <v>789.65111811902148</v>
      </c>
    </row>
    <row r="536" spans="4:10" x14ac:dyDescent="0.2">
      <c r="D536" t="s">
        <v>15</v>
      </c>
      <c r="E536" t="s">
        <v>19</v>
      </c>
      <c r="F536">
        <v>115</v>
      </c>
      <c r="G536">
        <v>101</v>
      </c>
      <c r="H536">
        <v>14</v>
      </c>
      <c r="I536">
        <f>VLOOKUP(NBA_2026_Results3[[#This Row],[Home Team]], TeamRating, 2, FALSE) - VLOOKUP(NBA_2026_Results3[[#This Row],[Away Team]], TeamRating, 2, FALSE)+HomeEdge</f>
        <v>10.000371217355607</v>
      </c>
      <c r="J536">
        <f>(NBA_2026_Results3[[#This Row],[Home Margin]]-NBA_2026_Results3[[#This Row],[Home Forecast]])^2</f>
        <v>15.99703039895747</v>
      </c>
    </row>
    <row r="537" spans="4:10" x14ac:dyDescent="0.2">
      <c r="D537" t="s">
        <v>18</v>
      </c>
      <c r="E537" t="s">
        <v>17</v>
      </c>
      <c r="F537">
        <v>118</v>
      </c>
      <c r="G537">
        <v>100</v>
      </c>
      <c r="H537">
        <v>18</v>
      </c>
      <c r="I537">
        <f>VLOOKUP(NBA_2026_Results3[[#This Row],[Home Team]], TeamRating, 2, FALSE) - VLOOKUP(NBA_2026_Results3[[#This Row],[Away Team]], TeamRating, 2, FALSE)+HomeEdge</f>
        <v>3.4397445116758916</v>
      </c>
      <c r="J537">
        <f>(NBA_2026_Results3[[#This Row],[Home Margin]]-NBA_2026_Results3[[#This Row],[Home Forecast]])^2</f>
        <v>212.00103988527232</v>
      </c>
    </row>
    <row r="538" spans="4:10" x14ac:dyDescent="0.2">
      <c r="D538" t="s">
        <v>6</v>
      </c>
      <c r="E538" t="s">
        <v>31</v>
      </c>
      <c r="F538">
        <v>100</v>
      </c>
      <c r="G538">
        <v>97</v>
      </c>
      <c r="H538">
        <v>3</v>
      </c>
      <c r="I538">
        <f>VLOOKUP(NBA_2026_Results3[[#This Row],[Home Team]], TeamRating, 2, FALSE) - VLOOKUP(NBA_2026_Results3[[#This Row],[Away Team]], TeamRating, 2, FALSE)+HomeEdge</f>
        <v>4.7012233971871282</v>
      </c>
      <c r="J538">
        <f>(NBA_2026_Results3[[#This Row],[Home Margin]]-NBA_2026_Results3[[#This Row],[Home Forecast]])^2</f>
        <v>2.8941610471369135</v>
      </c>
    </row>
    <row r="539" spans="4:10" x14ac:dyDescent="0.2">
      <c r="D539" t="s">
        <v>5</v>
      </c>
      <c r="E539" t="s">
        <v>9</v>
      </c>
      <c r="F539">
        <v>97</v>
      </c>
      <c r="G539">
        <v>124</v>
      </c>
      <c r="H539">
        <v>-27</v>
      </c>
      <c r="I539">
        <f>VLOOKUP(NBA_2026_Results3[[#This Row],[Home Team]], TeamRating, 2, FALSE) - VLOOKUP(NBA_2026_Results3[[#This Row],[Away Team]], TeamRating, 2, FALSE)+HomeEdge</f>
        <v>12.256126463515944</v>
      </c>
      <c r="J539">
        <f>(NBA_2026_Results3[[#This Row],[Home Margin]]-NBA_2026_Results3[[#This Row],[Home Forecast]])^2</f>
        <v>1541.0434649195565</v>
      </c>
    </row>
    <row r="540" spans="4:10" x14ac:dyDescent="0.2">
      <c r="D540" t="s">
        <v>16</v>
      </c>
      <c r="E540" t="s">
        <v>34</v>
      </c>
      <c r="F540">
        <v>124</v>
      </c>
      <c r="G540">
        <v>125</v>
      </c>
      <c r="H540">
        <v>-1</v>
      </c>
      <c r="I540">
        <f>VLOOKUP(NBA_2026_Results3[[#This Row],[Home Team]], TeamRating, 2, FALSE) - VLOOKUP(NBA_2026_Results3[[#This Row],[Away Team]], TeamRating, 2, FALSE)+HomeEdge</f>
        <v>-1.2514608507253535</v>
      </c>
      <c r="J540">
        <f>(NBA_2026_Results3[[#This Row],[Home Margin]]-NBA_2026_Results3[[#This Row],[Home Forecast]])^2</f>
        <v>6.3232559447518516E-2</v>
      </c>
    </row>
    <row r="541" spans="4:10" x14ac:dyDescent="0.2">
      <c r="D541" t="s">
        <v>26</v>
      </c>
      <c r="E541" t="s">
        <v>8</v>
      </c>
      <c r="F541">
        <v>103</v>
      </c>
      <c r="G541">
        <v>102</v>
      </c>
      <c r="H541">
        <v>1</v>
      </c>
      <c r="I541">
        <f>VLOOKUP(NBA_2026_Results3[[#This Row],[Home Team]], TeamRating, 2, FALSE) - VLOOKUP(NBA_2026_Results3[[#This Row],[Away Team]], TeamRating, 2, FALSE)+HomeEdge</f>
        <v>-0.99201630418956199</v>
      </c>
      <c r="J541">
        <f>(NBA_2026_Results3[[#This Row],[Home Margin]]-NBA_2026_Results3[[#This Row],[Home Forecast]])^2</f>
        <v>3.9681289561570416</v>
      </c>
    </row>
    <row r="542" spans="4:10" x14ac:dyDescent="0.2">
      <c r="D542" t="s">
        <v>29</v>
      </c>
      <c r="E542" t="s">
        <v>25</v>
      </c>
      <c r="F542">
        <v>137</v>
      </c>
      <c r="G542">
        <v>117</v>
      </c>
      <c r="H542">
        <v>20</v>
      </c>
      <c r="I542">
        <f>VLOOKUP(NBA_2026_Results3[[#This Row],[Home Team]], TeamRating, 2, FALSE) - VLOOKUP(NBA_2026_Results3[[#This Row],[Away Team]], TeamRating, 2, FALSE)+HomeEdge</f>
        <v>8.5768445899847379</v>
      </c>
      <c r="J542">
        <f>(NBA_2026_Results3[[#This Row],[Home Margin]]-NBA_2026_Results3[[#This Row],[Home Forecast]])^2</f>
        <v>130.48847952136094</v>
      </c>
    </row>
    <row r="543" spans="4:10" x14ac:dyDescent="0.2">
      <c r="D543" t="s">
        <v>33</v>
      </c>
      <c r="E543" t="s">
        <v>12</v>
      </c>
      <c r="F543">
        <v>116</v>
      </c>
      <c r="G543">
        <v>120</v>
      </c>
      <c r="H543">
        <v>-4</v>
      </c>
      <c r="I543">
        <f>VLOOKUP(NBA_2026_Results3[[#This Row],[Home Team]], TeamRating, 2, FALSE) - VLOOKUP(NBA_2026_Results3[[#This Row],[Away Team]], TeamRating, 2, FALSE)+HomeEdge</f>
        <v>-8.3995929313615001</v>
      </c>
      <c r="J543">
        <f>(NBA_2026_Results3[[#This Row],[Home Margin]]-NBA_2026_Results3[[#This Row],[Home Forecast]])^2</f>
        <v>19.356417961686077</v>
      </c>
    </row>
    <row r="544" spans="4:10" x14ac:dyDescent="0.2">
      <c r="D544" t="s">
        <v>24</v>
      </c>
      <c r="E544" t="s">
        <v>13</v>
      </c>
      <c r="F544">
        <v>120</v>
      </c>
      <c r="G544">
        <v>112</v>
      </c>
      <c r="H544">
        <v>8</v>
      </c>
      <c r="I544">
        <f>VLOOKUP(NBA_2026_Results3[[#This Row],[Home Team]], TeamRating, 2, FALSE) - VLOOKUP(NBA_2026_Results3[[#This Row],[Away Team]], TeamRating, 2, FALSE)+HomeEdge</f>
        <v>-8.1306644432290867</v>
      </c>
      <c r="J544">
        <f>(NBA_2026_Results3[[#This Row],[Home Margin]]-NBA_2026_Results3[[#This Row],[Home Forecast]])^2</f>
        <v>260.19833538005514</v>
      </c>
    </row>
    <row r="545" spans="4:10" x14ac:dyDescent="0.2">
      <c r="D545" t="s">
        <v>21</v>
      </c>
      <c r="E545" t="s">
        <v>28</v>
      </c>
      <c r="F545">
        <v>106</v>
      </c>
      <c r="G545">
        <v>105</v>
      </c>
      <c r="H545">
        <v>1</v>
      </c>
      <c r="I545">
        <f>VLOOKUP(NBA_2026_Results3[[#This Row],[Home Team]], TeamRating, 2, FALSE) - VLOOKUP(NBA_2026_Results3[[#This Row],[Away Team]], TeamRating, 2, FALSE)+HomeEdge</f>
        <v>-4.9163049007940867</v>
      </c>
      <c r="J545">
        <f>(NBA_2026_Results3[[#This Row],[Home Margin]]-NBA_2026_Results3[[#This Row],[Home Forecast]])^2</f>
        <v>35.002663679160129</v>
      </c>
    </row>
    <row r="546" spans="4:10" x14ac:dyDescent="0.2">
      <c r="D546" t="s">
        <v>30</v>
      </c>
      <c r="E546" t="s">
        <v>14</v>
      </c>
      <c r="F546">
        <v>122</v>
      </c>
      <c r="G546">
        <v>94</v>
      </c>
      <c r="H546">
        <v>28</v>
      </c>
      <c r="I546">
        <f>VLOOKUP(NBA_2026_Results3[[#This Row],[Home Team]], TeamRating, 2, FALSE) - VLOOKUP(NBA_2026_Results3[[#This Row],[Away Team]], TeamRating, 2, FALSE)+HomeEdge</f>
        <v>3.8668857843340461</v>
      </c>
      <c r="J546">
        <f>(NBA_2026_Results3[[#This Row],[Home Margin]]-NBA_2026_Results3[[#This Row],[Home Forecast]])^2</f>
        <v>582.40720174637818</v>
      </c>
    </row>
    <row r="547" spans="4:10" x14ac:dyDescent="0.2">
      <c r="D547" t="s">
        <v>22</v>
      </c>
      <c r="E547" t="s">
        <v>7</v>
      </c>
      <c r="F547">
        <v>103</v>
      </c>
      <c r="G547">
        <v>111</v>
      </c>
      <c r="H547">
        <v>-8</v>
      </c>
      <c r="I547">
        <f>VLOOKUP(NBA_2026_Results3[[#This Row],[Home Team]], TeamRating, 2, FALSE) - VLOOKUP(NBA_2026_Results3[[#This Row],[Away Team]], TeamRating, 2, FALSE)+HomeEdge</f>
        <v>-3.2320179436665173</v>
      </c>
      <c r="J547">
        <f>(NBA_2026_Results3[[#This Row],[Home Margin]]-NBA_2026_Results3[[#This Row],[Home Forecast]])^2</f>
        <v>22.733652889518066</v>
      </c>
    </row>
    <row r="548" spans="4:10" x14ac:dyDescent="0.2">
      <c r="D548" t="s">
        <v>32</v>
      </c>
      <c r="E548" t="s">
        <v>27</v>
      </c>
      <c r="F548">
        <v>98</v>
      </c>
      <c r="G548">
        <v>100</v>
      </c>
      <c r="H548">
        <v>-2</v>
      </c>
      <c r="I548">
        <f>VLOOKUP(NBA_2026_Results3[[#This Row],[Home Team]], TeamRating, 2, FALSE) - VLOOKUP(NBA_2026_Results3[[#This Row],[Away Team]], TeamRating, 2, FALSE)+HomeEdge</f>
        <v>-3.6036601882099903</v>
      </c>
      <c r="J548">
        <f>(NBA_2026_Results3[[#This Row],[Home Margin]]-NBA_2026_Results3[[#This Row],[Home Forecast]])^2</f>
        <v>2.5717259992497015</v>
      </c>
    </row>
    <row r="549" spans="4:10" x14ac:dyDescent="0.2">
      <c r="D549" t="s">
        <v>15</v>
      </c>
      <c r="E549" t="s">
        <v>34</v>
      </c>
      <c r="F549">
        <v>110</v>
      </c>
      <c r="G549">
        <v>114</v>
      </c>
      <c r="H549">
        <v>-4</v>
      </c>
      <c r="I549">
        <f>VLOOKUP(NBA_2026_Results3[[#This Row],[Home Team]], TeamRating, 2, FALSE) - VLOOKUP(NBA_2026_Results3[[#This Row],[Away Team]], TeamRating, 2, FALSE)+HomeEdge</f>
        <v>3.9790366505429122</v>
      </c>
      <c r="J549">
        <f>(NBA_2026_Results3[[#This Row],[Home Margin]]-NBA_2026_Results3[[#This Row],[Home Forecast]])^2</f>
        <v>63.665025870707062</v>
      </c>
    </row>
    <row r="550" spans="4:10" x14ac:dyDescent="0.2">
      <c r="D550" t="s">
        <v>9</v>
      </c>
      <c r="E550" t="s">
        <v>18</v>
      </c>
      <c r="F550">
        <v>96</v>
      </c>
      <c r="G550">
        <v>97</v>
      </c>
      <c r="H550">
        <v>-1</v>
      </c>
      <c r="I550">
        <f>VLOOKUP(NBA_2026_Results3[[#This Row],[Home Team]], TeamRating, 2, FALSE) - VLOOKUP(NBA_2026_Results3[[#This Row],[Away Team]], TeamRating, 2, FALSE)+HomeEdge</f>
        <v>1.5592943486012365</v>
      </c>
      <c r="J550">
        <f>(NBA_2026_Results3[[#This Row],[Home Margin]]-NBA_2026_Results3[[#This Row],[Home Forecast]])^2</f>
        <v>6.5499875627822259</v>
      </c>
    </row>
    <row r="551" spans="4:10" x14ac:dyDescent="0.2">
      <c r="D551" t="s">
        <v>20</v>
      </c>
      <c r="E551" t="s">
        <v>19</v>
      </c>
      <c r="F551">
        <v>108</v>
      </c>
      <c r="G551">
        <v>93</v>
      </c>
      <c r="H551">
        <v>15</v>
      </c>
      <c r="I551">
        <f>VLOOKUP(NBA_2026_Results3[[#This Row],[Home Team]], TeamRating, 2, FALSE) - VLOOKUP(NBA_2026_Results3[[#This Row],[Away Team]], TeamRating, 2, FALSE)+HomeEdge</f>
        <v>10.115571940687236</v>
      </c>
      <c r="J551">
        <f>(NBA_2026_Results3[[#This Row],[Home Margin]]-NBA_2026_Results3[[#This Row],[Home Forecast]])^2</f>
        <v>23.857637466601858</v>
      </c>
    </row>
    <row r="552" spans="4:10" x14ac:dyDescent="0.2">
      <c r="D552" t="s">
        <v>16</v>
      </c>
      <c r="E552" t="s">
        <v>24</v>
      </c>
      <c r="F552">
        <v>131</v>
      </c>
      <c r="G552">
        <v>110</v>
      </c>
      <c r="H552">
        <v>21</v>
      </c>
      <c r="I552">
        <f>VLOOKUP(NBA_2026_Results3[[#This Row],[Home Team]], TeamRating, 2, FALSE) - VLOOKUP(NBA_2026_Results3[[#This Row],[Away Team]], TeamRating, 2, FALSE)+HomeEdge</f>
        <v>11.815813672619353</v>
      </c>
      <c r="J552">
        <f>(NBA_2026_Results3[[#This Row],[Home Margin]]-NBA_2026_Results3[[#This Row],[Home Forecast]])^2</f>
        <v>84.349278496045628</v>
      </c>
    </row>
    <row r="553" spans="4:10" x14ac:dyDescent="0.2">
      <c r="D553" t="s">
        <v>17</v>
      </c>
      <c r="E553" t="s">
        <v>22</v>
      </c>
      <c r="F553">
        <v>117</v>
      </c>
      <c r="G553">
        <v>100</v>
      </c>
      <c r="H553">
        <v>17</v>
      </c>
      <c r="I553">
        <f>VLOOKUP(NBA_2026_Results3[[#This Row],[Home Team]], TeamRating, 2, FALSE) - VLOOKUP(NBA_2026_Results3[[#This Row],[Away Team]], TeamRating, 2, FALSE)+HomeEdge</f>
        <v>7.1794212475454948</v>
      </c>
      <c r="J553">
        <f>(NBA_2026_Results3[[#This Row],[Home Margin]]-NBA_2026_Results3[[#This Row],[Home Forecast]])^2</f>
        <v>96.443767033160881</v>
      </c>
    </row>
    <row r="554" spans="4:10" x14ac:dyDescent="0.2">
      <c r="D554" t="s">
        <v>10</v>
      </c>
      <c r="E554" t="s">
        <v>13</v>
      </c>
      <c r="F554">
        <v>103</v>
      </c>
      <c r="G554">
        <v>104</v>
      </c>
      <c r="H554">
        <v>-1</v>
      </c>
      <c r="I554">
        <f>VLOOKUP(NBA_2026_Results3[[#This Row],[Home Team]], TeamRating, 2, FALSE) - VLOOKUP(NBA_2026_Results3[[#This Row],[Away Team]], TeamRating, 2, FALSE)+HomeEdge</f>
        <v>-4.9277157603862927</v>
      </c>
      <c r="J554">
        <f>(NBA_2026_Results3[[#This Row],[Home Margin]]-NBA_2026_Results3[[#This Row],[Home Forecast]])^2</f>
        <v>15.426951094386872</v>
      </c>
    </row>
    <row r="555" spans="4:10" x14ac:dyDescent="0.2">
      <c r="D555" t="s">
        <v>11</v>
      </c>
      <c r="E555" t="s">
        <v>26</v>
      </c>
      <c r="F555">
        <v>123</v>
      </c>
      <c r="G555">
        <v>111</v>
      </c>
      <c r="H555">
        <v>12</v>
      </c>
      <c r="I555">
        <f>VLOOKUP(NBA_2026_Results3[[#This Row],[Home Team]], TeamRating, 2, FALSE) - VLOOKUP(NBA_2026_Results3[[#This Row],[Away Team]], TeamRating, 2, FALSE)+HomeEdge</f>
        <v>6.1038200712304045</v>
      </c>
      <c r="J555">
        <f>(NBA_2026_Results3[[#This Row],[Home Margin]]-NBA_2026_Results3[[#This Row],[Home Forecast]])^2</f>
        <v>34.764937752425432</v>
      </c>
    </row>
    <row r="556" spans="4:10" x14ac:dyDescent="0.2">
      <c r="D556" t="s">
        <v>21</v>
      </c>
      <c r="E556" t="s">
        <v>31</v>
      </c>
      <c r="F556">
        <v>98</v>
      </c>
      <c r="G556">
        <v>117</v>
      </c>
      <c r="H556">
        <v>-19</v>
      </c>
      <c r="I556">
        <f>VLOOKUP(NBA_2026_Results3[[#This Row],[Home Team]], TeamRating, 2, FALSE) - VLOOKUP(NBA_2026_Results3[[#This Row],[Away Team]], TeamRating, 2, FALSE)+HomeEdge</f>
        <v>-2.8033017930956383</v>
      </c>
      <c r="J556">
        <f>(NBA_2026_Results3[[#This Row],[Home Margin]]-NBA_2026_Results3[[#This Row],[Home Forecast]])^2</f>
        <v>262.33303280553895</v>
      </c>
    </row>
    <row r="557" spans="4:10" x14ac:dyDescent="0.2">
      <c r="D557" t="s">
        <v>5</v>
      </c>
      <c r="E557" t="s">
        <v>25</v>
      </c>
      <c r="F557">
        <v>129</v>
      </c>
      <c r="G557">
        <v>125</v>
      </c>
      <c r="H557">
        <v>4</v>
      </c>
      <c r="I557">
        <f>VLOOKUP(NBA_2026_Results3[[#This Row],[Home Team]], TeamRating, 2, FALSE) - VLOOKUP(NBA_2026_Results3[[#This Row],[Away Team]], TeamRating, 2, FALSE)+HomeEdge</f>
        <v>20.981563122382017</v>
      </c>
      <c r="J557">
        <f>(NBA_2026_Results3[[#This Row],[Home Margin]]-NBA_2026_Results3[[#This Row],[Home Forecast]])^2</f>
        <v>288.37348607944489</v>
      </c>
    </row>
    <row r="558" spans="4:10" x14ac:dyDescent="0.2">
      <c r="D558" t="s">
        <v>28</v>
      </c>
      <c r="E558" t="s">
        <v>7</v>
      </c>
      <c r="F558">
        <v>107</v>
      </c>
      <c r="G558">
        <v>91</v>
      </c>
      <c r="H558">
        <v>16</v>
      </c>
      <c r="I558">
        <f>VLOOKUP(NBA_2026_Results3[[#This Row],[Home Team]], TeamRating, 2, FALSE) - VLOOKUP(NBA_2026_Results3[[#This Row],[Away Team]], TeamRating, 2, FALSE)+HomeEdge</f>
        <v>7.6233970892252403</v>
      </c>
      <c r="J558">
        <f>(NBA_2026_Results3[[#This Row],[Home Margin]]-NBA_2026_Results3[[#This Row],[Home Forecast]])^2</f>
        <v>70.167476324800191</v>
      </c>
    </row>
    <row r="559" spans="4:10" x14ac:dyDescent="0.2">
      <c r="D559" t="s">
        <v>8</v>
      </c>
      <c r="E559" t="s">
        <v>23</v>
      </c>
      <c r="F559">
        <v>120</v>
      </c>
      <c r="G559">
        <v>113</v>
      </c>
      <c r="H559">
        <v>7</v>
      </c>
      <c r="I559">
        <f>VLOOKUP(NBA_2026_Results3[[#This Row],[Home Team]], TeamRating, 2, FALSE) - VLOOKUP(NBA_2026_Results3[[#This Row],[Away Team]], TeamRating, 2, FALSE)+HomeEdge</f>
        <v>8.7081920703825197</v>
      </c>
      <c r="J559">
        <f>(NBA_2026_Results3[[#This Row],[Home Margin]]-NBA_2026_Results3[[#This Row],[Home Forecast]])^2</f>
        <v>2.9179201493177191</v>
      </c>
    </row>
    <row r="560" spans="4:10" x14ac:dyDescent="0.2">
      <c r="D560" t="s">
        <v>29</v>
      </c>
      <c r="E560" t="s">
        <v>6</v>
      </c>
      <c r="F560">
        <v>103</v>
      </c>
      <c r="G560">
        <v>102</v>
      </c>
      <c r="H560">
        <v>1</v>
      </c>
      <c r="I560">
        <f>VLOOKUP(NBA_2026_Results3[[#This Row],[Home Team]], TeamRating, 2, FALSE) - VLOOKUP(NBA_2026_Results3[[#This Row],[Away Team]], TeamRating, 2, FALSE)+HomeEdge</f>
        <v>-5.0285582857727809</v>
      </c>
      <c r="J560">
        <f>(NBA_2026_Results3[[#This Row],[Home Margin]]-NBA_2026_Results3[[#This Row],[Home Forecast]])^2</f>
        <v>36.343515004959649</v>
      </c>
    </row>
    <row r="561" spans="4:10" x14ac:dyDescent="0.2">
      <c r="D561" t="s">
        <v>9</v>
      </c>
      <c r="E561" t="s">
        <v>33</v>
      </c>
      <c r="F561">
        <v>112</v>
      </c>
      <c r="G561">
        <v>114</v>
      </c>
      <c r="H561">
        <v>-2</v>
      </c>
      <c r="I561">
        <f>VLOOKUP(NBA_2026_Results3[[#This Row],[Home Team]], TeamRating, 2, FALSE) - VLOOKUP(NBA_2026_Results3[[#This Row],[Away Team]], TeamRating, 2, FALSE)+HomeEdge</f>
        <v>10.122705406131626</v>
      </c>
      <c r="J561">
        <f>(NBA_2026_Results3[[#This Row],[Home Margin]]-NBA_2026_Results3[[#This Row],[Home Forecast]])^2</f>
        <v>146.95998636385295</v>
      </c>
    </row>
    <row r="562" spans="4:10" x14ac:dyDescent="0.2">
      <c r="D562" t="s">
        <v>30</v>
      </c>
      <c r="E562" t="s">
        <v>12</v>
      </c>
      <c r="F562">
        <v>131</v>
      </c>
      <c r="G562">
        <v>122</v>
      </c>
      <c r="H562">
        <v>9</v>
      </c>
      <c r="I562">
        <f>VLOOKUP(NBA_2026_Results3[[#This Row],[Home Team]], TeamRating, 2, FALSE) - VLOOKUP(NBA_2026_Results3[[#This Row],[Away Team]], TeamRating, 2, FALSE)+HomeEdge</f>
        <v>3.2503258290747978</v>
      </c>
      <c r="J562">
        <f>(NBA_2026_Results3[[#This Row],[Home Margin]]-NBA_2026_Results3[[#This Row],[Home Forecast]])^2</f>
        <v>33.058753071804404</v>
      </c>
    </row>
    <row r="563" spans="4:10" x14ac:dyDescent="0.2">
      <c r="D563" t="s">
        <v>25</v>
      </c>
      <c r="E563" t="s">
        <v>27</v>
      </c>
      <c r="F563">
        <v>116</v>
      </c>
      <c r="G563">
        <v>114</v>
      </c>
      <c r="H563">
        <v>2</v>
      </c>
      <c r="I563">
        <f>VLOOKUP(NBA_2026_Results3[[#This Row],[Home Team]], TeamRating, 2, FALSE) - VLOOKUP(NBA_2026_Results3[[#This Row],[Away Team]], TeamRating, 2, FALSE)+HomeEdge</f>
        <v>-2.7266917400571495</v>
      </c>
      <c r="J563">
        <f>(NBA_2026_Results3[[#This Row],[Home Margin]]-NBA_2026_Results3[[#This Row],[Home Forecast]])^2</f>
        <v>22.341614805524483</v>
      </c>
    </row>
    <row r="564" spans="4:10" x14ac:dyDescent="0.2">
      <c r="D564" t="s">
        <v>15</v>
      </c>
      <c r="E564" t="s">
        <v>18</v>
      </c>
      <c r="F564">
        <v>125</v>
      </c>
      <c r="G564">
        <v>117</v>
      </c>
      <c r="H564">
        <v>8</v>
      </c>
      <c r="I564">
        <f>VLOOKUP(NBA_2026_Results3[[#This Row],[Home Team]], TeamRating, 2, FALSE) - VLOOKUP(NBA_2026_Results3[[#This Row],[Away Team]], TeamRating, 2, FALSE)+HomeEdge</f>
        <v>5.9162760392886371</v>
      </c>
      <c r="J564">
        <f>(NBA_2026_Results3[[#This Row],[Home Margin]]-NBA_2026_Results3[[#This Row],[Home Forecast]])^2</f>
        <v>4.3419055444426498</v>
      </c>
    </row>
    <row r="565" spans="4:10" x14ac:dyDescent="0.2">
      <c r="D565" t="s">
        <v>13</v>
      </c>
      <c r="E565" t="s">
        <v>16</v>
      </c>
      <c r="F565">
        <v>91</v>
      </c>
      <c r="G565">
        <v>103</v>
      </c>
      <c r="H565">
        <v>-12</v>
      </c>
      <c r="I565">
        <f>VLOOKUP(NBA_2026_Results3[[#This Row],[Home Team]], TeamRating, 2, FALSE) - VLOOKUP(NBA_2026_Results3[[#This Row],[Away Team]], TeamRating, 2, FALSE)+HomeEdge</f>
        <v>1.7370372741101769</v>
      </c>
      <c r="J565">
        <f>(NBA_2026_Results3[[#This Row],[Home Margin]]-NBA_2026_Results3[[#This Row],[Home Forecast]])^2</f>
        <v>188.70619307029236</v>
      </c>
    </row>
    <row r="566" spans="4:10" x14ac:dyDescent="0.2">
      <c r="D566" t="s">
        <v>24</v>
      </c>
      <c r="E566" t="s">
        <v>22</v>
      </c>
      <c r="F566">
        <v>107</v>
      </c>
      <c r="G566">
        <v>128</v>
      </c>
      <c r="H566">
        <v>-21</v>
      </c>
      <c r="I566">
        <f>VLOOKUP(NBA_2026_Results3[[#This Row],[Home Team]], TeamRating, 2, FALSE) - VLOOKUP(NBA_2026_Results3[[#This Row],[Away Team]], TeamRating, 2, FALSE)+HomeEdge</f>
        <v>-2.3182648765444061</v>
      </c>
      <c r="J566">
        <f>(NBA_2026_Results3[[#This Row],[Home Margin]]-NBA_2026_Results3[[#This Row],[Home Forecast]])^2</f>
        <v>349.00722722295444</v>
      </c>
    </row>
    <row r="567" spans="4:10" x14ac:dyDescent="0.2">
      <c r="D567" t="s">
        <v>10</v>
      </c>
      <c r="E567" t="s">
        <v>26</v>
      </c>
      <c r="F567">
        <v>105</v>
      </c>
      <c r="G567">
        <v>121</v>
      </c>
      <c r="H567">
        <v>-16</v>
      </c>
      <c r="I567">
        <f>VLOOKUP(NBA_2026_Results3[[#This Row],[Home Team]], TeamRating, 2, FALSE) - VLOOKUP(NBA_2026_Results3[[#This Row],[Away Team]], TeamRating, 2, FALSE)+HomeEdge</f>
        <v>-4.9554747727499553</v>
      </c>
      <c r="J567">
        <f>(NBA_2026_Results3[[#This Row],[Home Margin]]-NBA_2026_Results3[[#This Row],[Home Forecast]])^2</f>
        <v>121.98153749536266</v>
      </c>
    </row>
    <row r="568" spans="4:10" x14ac:dyDescent="0.2">
      <c r="D568" t="s">
        <v>21</v>
      </c>
      <c r="E568" t="s">
        <v>5</v>
      </c>
      <c r="F568">
        <v>116</v>
      </c>
      <c r="G568">
        <v>117</v>
      </c>
      <c r="H568">
        <v>-1</v>
      </c>
      <c r="I568">
        <f>VLOOKUP(NBA_2026_Results3[[#This Row],[Home Team]], TeamRating, 2, FALSE) - VLOOKUP(NBA_2026_Results3[[#This Row],[Away Team]], TeamRating, 2, FALSE)+HomeEdge</f>
        <v>-11.265894434573642</v>
      </c>
      <c r="J568">
        <f>(NBA_2026_Results3[[#This Row],[Home Margin]]-NBA_2026_Results3[[#This Row],[Home Forecast]])^2</f>
        <v>105.38858854181008</v>
      </c>
    </row>
    <row r="569" spans="4:10" x14ac:dyDescent="0.2">
      <c r="D569" t="s">
        <v>34</v>
      </c>
      <c r="E569" t="s">
        <v>17</v>
      </c>
      <c r="F569">
        <v>87</v>
      </c>
      <c r="G569">
        <v>110</v>
      </c>
      <c r="H569">
        <v>-23</v>
      </c>
      <c r="I569">
        <f>VLOOKUP(NBA_2026_Results3[[#This Row],[Home Team]], TeamRating, 2, FALSE) - VLOOKUP(NBA_2026_Results3[[#This Row],[Away Team]], TeamRating, 2, FALSE)+HomeEdge</f>
        <v>5.3769839004216164</v>
      </c>
      <c r="J569">
        <f>(NBA_2026_Results3[[#This Row],[Home Margin]]-NBA_2026_Results3[[#This Row],[Home Forecast]])^2</f>
        <v>805.25321528478764</v>
      </c>
    </row>
    <row r="570" spans="4:10" x14ac:dyDescent="0.2">
      <c r="D570" t="s">
        <v>31</v>
      </c>
      <c r="E570" t="s">
        <v>11</v>
      </c>
      <c r="F570">
        <v>112</v>
      </c>
      <c r="G570">
        <v>107</v>
      </c>
      <c r="H570">
        <v>5</v>
      </c>
      <c r="I570">
        <f>VLOOKUP(NBA_2026_Results3[[#This Row],[Home Team]], TeamRating, 2, FALSE) - VLOOKUP(NBA_2026_Results3[[#This Row],[Away Team]], TeamRating, 2, FALSE)+HomeEdge</f>
        <v>0.413224277248188</v>
      </c>
      <c r="J570">
        <f>(NBA_2026_Results3[[#This Row],[Home Margin]]-NBA_2026_Results3[[#This Row],[Home Forecast]])^2</f>
        <v>21.038511530825403</v>
      </c>
    </row>
    <row r="571" spans="4:10" x14ac:dyDescent="0.2">
      <c r="D571" t="s">
        <v>8</v>
      </c>
      <c r="E571" t="s">
        <v>32</v>
      </c>
      <c r="F571">
        <v>137</v>
      </c>
      <c r="G571">
        <v>103</v>
      </c>
      <c r="H571">
        <v>34</v>
      </c>
      <c r="I571">
        <f>VLOOKUP(NBA_2026_Results3[[#This Row],[Home Team]], TeamRating, 2, FALSE) - VLOOKUP(NBA_2026_Results3[[#This Row],[Away Team]], TeamRating, 2, FALSE)+HomeEdge</f>
        <v>13.293097388268269</v>
      </c>
      <c r="J571">
        <f>(NBA_2026_Results3[[#This Row],[Home Margin]]-NBA_2026_Results3[[#This Row],[Home Forecast]])^2</f>
        <v>428.77581577174237</v>
      </c>
    </row>
    <row r="572" spans="4:10" x14ac:dyDescent="0.2">
      <c r="D572" t="s">
        <v>29</v>
      </c>
      <c r="E572" t="s">
        <v>6</v>
      </c>
      <c r="F572">
        <v>111</v>
      </c>
      <c r="G572">
        <v>105</v>
      </c>
      <c r="H572">
        <v>6</v>
      </c>
      <c r="I572">
        <f>VLOOKUP(NBA_2026_Results3[[#This Row],[Home Team]], TeamRating, 2, FALSE) - VLOOKUP(NBA_2026_Results3[[#This Row],[Away Team]], TeamRating, 2, FALSE)+HomeEdge</f>
        <v>-5.0285582857727809</v>
      </c>
      <c r="J572">
        <f>(NBA_2026_Results3[[#This Row],[Home Margin]]-NBA_2026_Results3[[#This Row],[Home Forecast]])^2</f>
        <v>121.62909786268747</v>
      </c>
    </row>
    <row r="573" spans="4:10" x14ac:dyDescent="0.2">
      <c r="D573" t="s">
        <v>7</v>
      </c>
      <c r="E573" t="s">
        <v>23</v>
      </c>
      <c r="F573">
        <v>101</v>
      </c>
      <c r="G573">
        <v>105</v>
      </c>
      <c r="H573">
        <v>-4</v>
      </c>
      <c r="I573">
        <f>VLOOKUP(NBA_2026_Results3[[#This Row],[Home Team]], TeamRating, 2, FALSE) - VLOOKUP(NBA_2026_Results3[[#This Row],[Away Team]], TeamRating, 2, FALSE)+HomeEdge</f>
        <v>5.10803513081113</v>
      </c>
      <c r="J573">
        <f>(NBA_2026_Results3[[#This Row],[Home Margin]]-NBA_2026_Results3[[#This Row],[Home Forecast]])^2</f>
        <v>82.956303944089726</v>
      </c>
    </row>
    <row r="574" spans="4:10" x14ac:dyDescent="0.2">
      <c r="D574" t="s">
        <v>12</v>
      </c>
      <c r="E574" t="s">
        <v>30</v>
      </c>
      <c r="F574">
        <v>146</v>
      </c>
      <c r="G574">
        <v>134</v>
      </c>
      <c r="H574">
        <v>12</v>
      </c>
      <c r="I574">
        <f>VLOOKUP(NBA_2026_Results3[[#This Row],[Home Team]], TeamRating, 2, FALSE) - VLOOKUP(NBA_2026_Results3[[#This Row],[Away Team]], TeamRating, 2, FALSE)+HomeEdge</f>
        <v>0.3644651732588291</v>
      </c>
      <c r="J574">
        <f>(NBA_2026_Results3[[#This Row],[Home Margin]]-NBA_2026_Results3[[#This Row],[Home Forecast]])^2</f>
        <v>135.3856707043067</v>
      </c>
    </row>
    <row r="575" spans="4:10" x14ac:dyDescent="0.2">
      <c r="D575" t="s">
        <v>33</v>
      </c>
      <c r="E575" t="s">
        <v>14</v>
      </c>
      <c r="F575">
        <v>123</v>
      </c>
      <c r="G575">
        <v>99</v>
      </c>
      <c r="H575">
        <v>24</v>
      </c>
      <c r="I575">
        <f>VLOOKUP(NBA_2026_Results3[[#This Row],[Home Team]], TeamRating, 2, FALSE) - VLOOKUP(NBA_2026_Results3[[#This Row],[Away Team]], TeamRating, 2, FALSE)+HomeEdge</f>
        <v>-7.7830329761022528</v>
      </c>
      <c r="J575">
        <f>(NBA_2026_Results3[[#This Row],[Home Margin]]-NBA_2026_Results3[[#This Row],[Home Forecast]])^2</f>
        <v>1010.1611851600031</v>
      </c>
    </row>
    <row r="576" spans="4:10" x14ac:dyDescent="0.2">
      <c r="D576" t="s">
        <v>20</v>
      </c>
      <c r="E576" t="s">
        <v>26</v>
      </c>
      <c r="F576">
        <v>92</v>
      </c>
      <c r="G576">
        <v>98</v>
      </c>
      <c r="H576">
        <v>-6</v>
      </c>
      <c r="I576">
        <f>VLOOKUP(NBA_2026_Results3[[#This Row],[Home Team]], TeamRating, 2, FALSE) - VLOOKUP(NBA_2026_Results3[[#This Row],[Away Team]], TeamRating, 2, FALSE)+HomeEdge</f>
        <v>7.1956929404596828</v>
      </c>
      <c r="J576">
        <f>(NBA_2026_Results3[[#This Row],[Home Margin]]-NBA_2026_Results3[[#This Row],[Home Forecast]])^2</f>
        <v>174.12631217889751</v>
      </c>
    </row>
    <row r="577" spans="4:10" x14ac:dyDescent="0.2">
      <c r="D577" t="s">
        <v>15</v>
      </c>
      <c r="E577" t="s">
        <v>28</v>
      </c>
      <c r="F577">
        <v>95</v>
      </c>
      <c r="G577">
        <v>100</v>
      </c>
      <c r="H577">
        <v>-5</v>
      </c>
      <c r="I577">
        <f>VLOOKUP(NBA_2026_Results3[[#This Row],[Home Team]], TeamRating, 2, FALSE) - VLOOKUP(NBA_2026_Results3[[#This Row],[Away Team]], TeamRating, 2, FALSE)+HomeEdge</f>
        <v>2.0652357632846394</v>
      </c>
      <c r="J577">
        <f>(NBA_2026_Results3[[#This Row],[Home Margin]]-NBA_2026_Results3[[#This Row],[Home Forecast]])^2</f>
        <v>49.917556390796278</v>
      </c>
    </row>
    <row r="578" spans="4:10" x14ac:dyDescent="0.2">
      <c r="D578" t="s">
        <v>19</v>
      </c>
      <c r="E578" t="s">
        <v>27</v>
      </c>
      <c r="F578">
        <v>125</v>
      </c>
      <c r="G578">
        <v>107</v>
      </c>
      <c r="H578">
        <v>18</v>
      </c>
      <c r="I578">
        <f>VLOOKUP(NBA_2026_Results3[[#This Row],[Home Team]], TeamRating, 2, FALSE) - VLOOKUP(NBA_2026_Results3[[#This Row],[Away Team]], TeamRating, 2, FALSE)+HomeEdge</f>
        <v>2.1627508933075332</v>
      </c>
      <c r="J578">
        <f>(NBA_2026_Results3[[#This Row],[Home Margin]]-NBA_2026_Results3[[#This Row],[Home Forecast]])^2</f>
        <v>250.81845926743134</v>
      </c>
    </row>
    <row r="579" spans="4:10" x14ac:dyDescent="0.2">
      <c r="D579" t="s">
        <v>25</v>
      </c>
      <c r="E579" t="s">
        <v>9</v>
      </c>
      <c r="F579">
        <v>95</v>
      </c>
      <c r="G579">
        <v>150</v>
      </c>
      <c r="H579">
        <v>-55</v>
      </c>
      <c r="I579">
        <f>VLOOKUP(NBA_2026_Results3[[#This Row],[Home Team]], TeamRating, 2, FALSE) - VLOOKUP(NBA_2026_Results3[[#This Row],[Away Team]], TeamRating, 2, FALSE)+HomeEdge</f>
        <v>-6.9180411576992631</v>
      </c>
      <c r="J579">
        <f>(NBA_2026_Results3[[#This Row],[Home Margin]]-NBA_2026_Results3[[#This Row],[Home Forecast]])^2</f>
        <v>2311.8747661127018</v>
      </c>
    </row>
    <row r="580" spans="4:10" x14ac:dyDescent="0.2">
      <c r="D580" t="s">
        <v>13</v>
      </c>
      <c r="E580" t="s">
        <v>22</v>
      </c>
      <c r="F580">
        <v>128</v>
      </c>
      <c r="G580">
        <v>118</v>
      </c>
      <c r="H580">
        <v>10</v>
      </c>
      <c r="I580">
        <f>VLOOKUP(NBA_2026_Results3[[#This Row],[Home Team]], TeamRating, 2, FALSE) - VLOOKUP(NBA_2026_Results3[[#This Row],[Away Team]], TeamRating, 2, FALSE)+HomeEdge</f>
        <v>7.619795067851495</v>
      </c>
      <c r="J580">
        <f>(NBA_2026_Results3[[#This Row],[Home Margin]]-NBA_2026_Results3[[#This Row],[Home Forecast]])^2</f>
        <v>5.6653755190240691</v>
      </c>
    </row>
    <row r="581" spans="4:10" x14ac:dyDescent="0.2">
      <c r="D581" t="s">
        <v>21</v>
      </c>
      <c r="E581" t="s">
        <v>10</v>
      </c>
      <c r="F581">
        <v>103</v>
      </c>
      <c r="G581">
        <v>98</v>
      </c>
      <c r="H581">
        <v>5</v>
      </c>
      <c r="I581">
        <f>VLOOKUP(NBA_2026_Results3[[#This Row],[Home Team]], TeamRating, 2, FALSE) - VLOOKUP(NBA_2026_Results3[[#This Row],[Away Team]], TeamRating, 2, FALSE)+HomeEdge</f>
        <v>6.8618218269660955</v>
      </c>
      <c r="J581">
        <f>(NBA_2026_Results3[[#This Row],[Home Margin]]-NBA_2026_Results3[[#This Row],[Home Forecast]])^2</f>
        <v>3.4663805153673697</v>
      </c>
    </row>
    <row r="582" spans="4:10" x14ac:dyDescent="0.2">
      <c r="D582" t="s">
        <v>29</v>
      </c>
      <c r="E582" t="s">
        <v>11</v>
      </c>
      <c r="F582">
        <v>114</v>
      </c>
      <c r="G582">
        <v>123</v>
      </c>
      <c r="H582">
        <v>-9</v>
      </c>
      <c r="I582">
        <f>VLOOKUP(NBA_2026_Results3[[#This Row],[Home Team]], TeamRating, 2, FALSE) - VLOOKUP(NBA_2026_Results3[[#This Row],[Away Team]], TeamRating, 2, FALSE)+HomeEdge</f>
        <v>-3.5289016136710911</v>
      </c>
      <c r="J582">
        <f>(NBA_2026_Results3[[#This Row],[Home Margin]]-NBA_2026_Results3[[#This Row],[Home Forecast]])^2</f>
        <v>29.932917552890789</v>
      </c>
    </row>
    <row r="583" spans="4:10" x14ac:dyDescent="0.2">
      <c r="D583" t="s">
        <v>18</v>
      </c>
      <c r="E583" t="s">
        <v>16</v>
      </c>
      <c r="F583">
        <v>116</v>
      </c>
      <c r="G583">
        <v>115</v>
      </c>
      <c r="H583">
        <v>1</v>
      </c>
      <c r="I583">
        <f>VLOOKUP(NBA_2026_Results3[[#This Row],[Home Team]], TeamRating, 2, FALSE) - VLOOKUP(NBA_2026_Results3[[#This Row],[Away Team]], TeamRating, 2, FALSE)+HomeEdge</f>
        <v>2.9290124643132556</v>
      </c>
      <c r="J583">
        <f>(NBA_2026_Results3[[#This Row],[Home Margin]]-NBA_2026_Results3[[#This Row],[Home Forecast]])^2</f>
        <v>3.7210890874758991</v>
      </c>
    </row>
    <row r="584" spans="4:10" x14ac:dyDescent="0.2">
      <c r="D584" t="s">
        <v>30</v>
      </c>
      <c r="E584" t="s">
        <v>28</v>
      </c>
      <c r="F584">
        <v>104</v>
      </c>
      <c r="G584">
        <v>103</v>
      </c>
      <c r="H584">
        <v>1</v>
      </c>
      <c r="I584">
        <f>VLOOKUP(NBA_2026_Results3[[#This Row],[Home Team]], TeamRating, 2, FALSE) - VLOOKUP(NBA_2026_Results3[[#This Row],[Away Team]], TeamRating, 2, FALSE)+HomeEdge</f>
        <v>1.0428629280687254</v>
      </c>
      <c r="J584">
        <f>(NBA_2026_Results3[[#This Row],[Home Margin]]-NBA_2026_Results3[[#This Row],[Home Forecast]])^2</f>
        <v>1.8372306026247262E-3</v>
      </c>
    </row>
    <row r="585" spans="4:10" x14ac:dyDescent="0.2">
      <c r="D585" t="s">
        <v>5</v>
      </c>
      <c r="E585" t="s">
        <v>14</v>
      </c>
      <c r="F585">
        <v>124</v>
      </c>
      <c r="G585">
        <v>112</v>
      </c>
      <c r="H585">
        <v>12</v>
      </c>
      <c r="I585">
        <f>VLOOKUP(NBA_2026_Results3[[#This Row],[Home Team]], TeamRating, 2, FALSE) - VLOOKUP(NBA_2026_Results3[[#This Row],[Away Team]], TeamRating, 2, FALSE)+HomeEdge</f>
        <v>10.981007891211689</v>
      </c>
      <c r="J585">
        <f>(NBA_2026_Results3[[#This Row],[Home Margin]]-NBA_2026_Results3[[#This Row],[Home Forecast]])^2</f>
        <v>1.0383449177728485</v>
      </c>
    </row>
    <row r="586" spans="4:10" x14ac:dyDescent="0.2">
      <c r="D586" t="s">
        <v>34</v>
      </c>
      <c r="E586" t="s">
        <v>23</v>
      </c>
      <c r="F586">
        <v>108</v>
      </c>
      <c r="G586">
        <v>104</v>
      </c>
      <c r="H586">
        <v>4</v>
      </c>
      <c r="I586">
        <f>VLOOKUP(NBA_2026_Results3[[#This Row],[Home Team]], TeamRating, 2, FALSE) - VLOOKUP(NBA_2026_Results3[[#This Row],[Away Team]], TeamRating, 2, FALSE)+HomeEdge</f>
        <v>9.0102358316112827</v>
      </c>
      <c r="J586">
        <f>(NBA_2026_Results3[[#This Row],[Home Margin]]-NBA_2026_Results3[[#This Row],[Home Forecast]])^2</f>
        <v>25.102463088361603</v>
      </c>
    </row>
    <row r="587" spans="4:10" x14ac:dyDescent="0.2">
      <c r="D587" t="s">
        <v>31</v>
      </c>
      <c r="E587" t="s">
        <v>24</v>
      </c>
      <c r="F587">
        <v>112</v>
      </c>
      <c r="G587">
        <v>93</v>
      </c>
      <c r="H587">
        <v>19</v>
      </c>
      <c r="I587">
        <f>VLOOKUP(NBA_2026_Results3[[#This Row],[Home Team]], TeamRating, 2, FALSE) - VLOOKUP(NBA_2026_Results3[[#This Row],[Away Team]], TeamRating, 2, FALSE)+HomeEdge</f>
        <v>14.675467804071342</v>
      </c>
      <c r="J587">
        <f>(NBA_2026_Results3[[#This Row],[Home Margin]]-NBA_2026_Results3[[#This Row],[Home Forecast]])^2</f>
        <v>18.70157871362354</v>
      </c>
    </row>
    <row r="588" spans="4:10" x14ac:dyDescent="0.2">
      <c r="D588" t="s">
        <v>8</v>
      </c>
      <c r="E588" t="s">
        <v>17</v>
      </c>
      <c r="F588">
        <v>111</v>
      </c>
      <c r="G588">
        <v>124</v>
      </c>
      <c r="H588">
        <v>-13</v>
      </c>
      <c r="I588">
        <f>VLOOKUP(NBA_2026_Results3[[#This Row],[Home Team]], TeamRating, 2, FALSE) - VLOOKUP(NBA_2026_Results3[[#This Row],[Away Team]], TeamRating, 2, FALSE)+HomeEdge</f>
        <v>5.0749401391928508</v>
      </c>
      <c r="J588">
        <f>(NBA_2026_Results3[[#This Row],[Home Margin]]-NBA_2026_Results3[[#This Row],[Home Forecast]])^2</f>
        <v>326.70346103540487</v>
      </c>
    </row>
    <row r="589" spans="4:10" x14ac:dyDescent="0.2">
      <c r="D589" t="s">
        <v>32</v>
      </c>
      <c r="E589" t="s">
        <v>6</v>
      </c>
      <c r="F589">
        <v>111</v>
      </c>
      <c r="G589">
        <v>98</v>
      </c>
      <c r="H589">
        <v>13</v>
      </c>
      <c r="I589">
        <f>VLOOKUP(NBA_2026_Results3[[#This Row],[Home Team]], TeamRating, 2, FALSE) - VLOOKUP(NBA_2026_Results3[[#This Row],[Away Team]], TeamRating, 2, FALSE)+HomeEdge</f>
        <v>-12.674975822743548</v>
      </c>
      <c r="J589">
        <f>(NBA_2026_Results3[[#This Row],[Home Margin]]-NBA_2026_Results3[[#This Row],[Home Forecast]])^2</f>
        <v>659.20438349846575</v>
      </c>
    </row>
    <row r="590" spans="4:10" x14ac:dyDescent="0.2">
      <c r="D590" t="s">
        <v>12</v>
      </c>
      <c r="E590" t="s">
        <v>25</v>
      </c>
      <c r="F590">
        <v>112</v>
      </c>
      <c r="G590">
        <v>123</v>
      </c>
      <c r="H590">
        <v>-11</v>
      </c>
      <c r="I590">
        <f>VLOOKUP(NBA_2026_Results3[[#This Row],[Home Team]], TeamRating, 2, FALSE) - VLOOKUP(NBA_2026_Results3[[#This Row],[Away Team]], TeamRating, 2, FALSE)+HomeEdge</f>
        <v>12.424510687596392</v>
      </c>
      <c r="J590">
        <f>(NBA_2026_Results3[[#This Row],[Home Margin]]-NBA_2026_Results3[[#This Row],[Home Forecast]])^2</f>
        <v>548.70770095331761</v>
      </c>
    </row>
    <row r="591" spans="4:10" x14ac:dyDescent="0.2">
      <c r="D591" t="s">
        <v>33</v>
      </c>
      <c r="E591" t="s">
        <v>15</v>
      </c>
      <c r="F591">
        <v>98</v>
      </c>
      <c r="G591">
        <v>96</v>
      </c>
      <c r="H591">
        <v>2</v>
      </c>
      <c r="I591">
        <f>VLOOKUP(NBA_2026_Results3[[#This Row],[Home Team]], TeamRating, 2, FALSE) - VLOOKUP(NBA_2026_Results3[[#This Row],[Away Team]], TeamRating, 2, FALSE)+HomeEdge</f>
        <v>-10.864896094485399</v>
      </c>
      <c r="J591">
        <f>(NBA_2026_Results3[[#This Row],[Home Margin]]-NBA_2026_Results3[[#This Row],[Home Forecast]])^2</f>
        <v>165.50555152190566</v>
      </c>
    </row>
    <row r="592" spans="4:10" x14ac:dyDescent="0.2">
      <c r="D592" t="s">
        <v>18</v>
      </c>
      <c r="E592" t="s">
        <v>16</v>
      </c>
      <c r="F592">
        <v>102</v>
      </c>
      <c r="G592">
        <v>115</v>
      </c>
      <c r="H592">
        <v>-13</v>
      </c>
      <c r="I592">
        <f>VLOOKUP(NBA_2026_Results3[[#This Row],[Home Team]], TeamRating, 2, FALSE) - VLOOKUP(NBA_2026_Results3[[#This Row],[Away Team]], TeamRating, 2, FALSE)+HomeEdge</f>
        <v>2.9290124643132556</v>
      </c>
      <c r="J592">
        <f>(NBA_2026_Results3[[#This Row],[Home Margin]]-NBA_2026_Results3[[#This Row],[Home Forecast]])^2</f>
        <v>253.73343808824708</v>
      </c>
    </row>
    <row r="593" spans="4:10" x14ac:dyDescent="0.2">
      <c r="D593" t="s">
        <v>27</v>
      </c>
      <c r="E593" t="s">
        <v>10</v>
      </c>
      <c r="F593">
        <v>113</v>
      </c>
      <c r="G593">
        <v>105</v>
      </c>
      <c r="H593">
        <v>8</v>
      </c>
      <c r="I593">
        <f>VLOOKUP(NBA_2026_Results3[[#This Row],[Home Team]], TeamRating, 2, FALSE) - VLOOKUP(NBA_2026_Results3[[#This Row],[Away Team]], TeamRating, 2, FALSE)+HomeEdge</f>
        <v>5.2950313827153082</v>
      </c>
      <c r="J593">
        <f>(NBA_2026_Results3[[#This Row],[Home Margin]]-NBA_2026_Results3[[#This Row],[Home Forecast]])^2</f>
        <v>7.3168552204950581</v>
      </c>
    </row>
    <row r="594" spans="4:10" x14ac:dyDescent="0.2">
      <c r="D594" t="s">
        <v>32</v>
      </c>
      <c r="E594" t="s">
        <v>7</v>
      </c>
      <c r="F594">
        <v>124</v>
      </c>
      <c r="G594">
        <v>112</v>
      </c>
      <c r="H594">
        <v>12</v>
      </c>
      <c r="I594">
        <f>VLOOKUP(NBA_2026_Results3[[#This Row],[Home Team]], TeamRating, 2, FALSE) - VLOOKUP(NBA_2026_Results3[[#This Row],[Away Team]], TeamRating, 2, FALSE)+HomeEdge</f>
        <v>-6.0781494463632519</v>
      </c>
      <c r="J594">
        <f>(NBA_2026_Results3[[#This Row],[Home Margin]]-NBA_2026_Results3[[#This Row],[Home Forecast]])^2</f>
        <v>326.81948740504396</v>
      </c>
    </row>
    <row r="595" spans="4:10" x14ac:dyDescent="0.2">
      <c r="D595" t="s">
        <v>26</v>
      </c>
      <c r="E595" t="s">
        <v>9</v>
      </c>
      <c r="F595">
        <v>117</v>
      </c>
      <c r="G595">
        <v>109</v>
      </c>
      <c r="H595">
        <v>8</v>
      </c>
      <c r="I595">
        <f>VLOOKUP(NBA_2026_Results3[[#This Row],[Home Team]], TeamRating, 2, FALSE) - VLOOKUP(NBA_2026_Results3[[#This Row],[Away Team]], TeamRating, 2, FALSE)+HomeEdge</f>
        <v>0.89128047589297466</v>
      </c>
      <c r="J595">
        <f>(NBA_2026_Results3[[#This Row],[Home Margin]]-NBA_2026_Results3[[#This Row],[Home Forecast]])^2</f>
        <v>50.533893272420407</v>
      </c>
    </row>
    <row r="596" spans="4:10" x14ac:dyDescent="0.2">
      <c r="D596" t="s">
        <v>14</v>
      </c>
      <c r="E596" t="s">
        <v>31</v>
      </c>
      <c r="F596">
        <v>127</v>
      </c>
      <c r="G596">
        <v>121</v>
      </c>
      <c r="H596">
        <v>6</v>
      </c>
      <c r="I596">
        <f>VLOOKUP(NBA_2026_Results3[[#This Row],[Home Team]], TeamRating, 2, FALSE) - VLOOKUP(NBA_2026_Results3[[#This Row],[Away Team]], TeamRating, 2, FALSE)+HomeEdge</f>
        <v>1.0963757525999407</v>
      </c>
      <c r="J596">
        <f>(NBA_2026_Results3[[#This Row],[Home Margin]]-NBA_2026_Results3[[#This Row],[Home Forecast]])^2</f>
        <v>24.045530759689797</v>
      </c>
    </row>
    <row r="597" spans="4:10" x14ac:dyDescent="0.2">
      <c r="D597" t="s">
        <v>6</v>
      </c>
      <c r="E597" t="s">
        <v>19</v>
      </c>
      <c r="F597">
        <v>119</v>
      </c>
      <c r="G597">
        <v>113</v>
      </c>
      <c r="H597">
        <v>6</v>
      </c>
      <c r="I597">
        <f>VLOOKUP(NBA_2026_Results3[[#This Row],[Home Team]], TeamRating, 2, FALSE) - VLOOKUP(NBA_2026_Results3[[#This Row],[Away Team]], TeamRating, 2, FALSE)+HomeEdge</f>
        <v>10.523355743559648</v>
      </c>
      <c r="J597">
        <f>(NBA_2026_Results3[[#This Row],[Home Margin]]-NBA_2026_Results3[[#This Row],[Home Forecast]])^2</f>
        <v>20.460747182794059</v>
      </c>
    </row>
    <row r="598" spans="4:10" x14ac:dyDescent="0.2">
      <c r="D598" t="s">
        <v>23</v>
      </c>
      <c r="E598" t="s">
        <v>30</v>
      </c>
      <c r="F598">
        <v>106</v>
      </c>
      <c r="G598">
        <v>139</v>
      </c>
      <c r="H598">
        <v>-33</v>
      </c>
      <c r="I598">
        <f>VLOOKUP(NBA_2026_Results3[[#This Row],[Home Team]], TeamRating, 2, FALSE) - VLOOKUP(NBA_2026_Results3[[#This Row],[Away Team]], TeamRating, 2, FALSE)+HomeEdge</f>
        <v>-6.5447131434378418</v>
      </c>
      <c r="J598">
        <f>(NBA_2026_Results3[[#This Row],[Home Margin]]-NBA_2026_Results3[[#This Row],[Home Forecast]])^2</f>
        <v>699.88220266299038</v>
      </c>
    </row>
    <row r="599" spans="4:10" x14ac:dyDescent="0.2">
      <c r="D599" t="s">
        <v>22</v>
      </c>
      <c r="E599" t="s">
        <v>34</v>
      </c>
      <c r="F599">
        <v>116</v>
      </c>
      <c r="G599">
        <v>122</v>
      </c>
      <c r="H599">
        <v>-6</v>
      </c>
      <c r="I599">
        <f>VLOOKUP(NBA_2026_Results3[[#This Row],[Home Team]], TeamRating, 2, FALSE) - VLOOKUP(NBA_2026_Results3[[#This Row],[Away Team]], TeamRating, 2, FALSE)+HomeEdge</f>
        <v>-7.1342186444666718</v>
      </c>
      <c r="J599">
        <f>(NBA_2026_Results3[[#This Row],[Home Margin]]-NBA_2026_Results3[[#This Row],[Home Forecast]])^2</f>
        <v>1.2864519334558144</v>
      </c>
    </row>
    <row r="600" spans="4:10" x14ac:dyDescent="0.2">
      <c r="D600" t="s">
        <v>5</v>
      </c>
      <c r="E600" t="s">
        <v>28</v>
      </c>
      <c r="F600">
        <v>119</v>
      </c>
      <c r="G600">
        <v>98</v>
      </c>
      <c r="H600">
        <v>21</v>
      </c>
      <c r="I600">
        <f>VLOOKUP(NBA_2026_Results3[[#This Row],[Home Team]], TeamRating, 2, FALSE) - VLOOKUP(NBA_2026_Results3[[#This Row],[Away Team]], TeamRating, 2, FALSE)+HomeEdge</f>
        <v>8.1569850349463682</v>
      </c>
      <c r="J600">
        <f>(NBA_2026_Results3[[#This Row],[Home Margin]]-NBA_2026_Results3[[#This Row],[Home Forecast]])^2</f>
        <v>164.94303339259153</v>
      </c>
    </row>
    <row r="601" spans="4:10" x14ac:dyDescent="0.2">
      <c r="D601" t="s">
        <v>7</v>
      </c>
      <c r="E601" t="s">
        <v>17</v>
      </c>
      <c r="F601">
        <v>141</v>
      </c>
      <c r="G601">
        <v>116</v>
      </c>
      <c r="H601">
        <v>25</v>
      </c>
      <c r="I601">
        <f>VLOOKUP(NBA_2026_Results3[[#This Row],[Home Team]], TeamRating, 2, FALSE) - VLOOKUP(NBA_2026_Results3[[#This Row],[Away Team]], TeamRating, 2, FALSE)+HomeEdge</f>
        <v>1.4747831996214624</v>
      </c>
      <c r="J601">
        <f>(NBA_2026_Results3[[#This Row],[Home Margin]]-NBA_2026_Results3[[#This Row],[Home Forecast]])^2</f>
        <v>553.43582550481256</v>
      </c>
    </row>
    <row r="602" spans="4:10" x14ac:dyDescent="0.2">
      <c r="D602" t="s">
        <v>8</v>
      </c>
      <c r="E602" t="s">
        <v>29</v>
      </c>
      <c r="F602">
        <v>119</v>
      </c>
      <c r="G602">
        <v>97</v>
      </c>
      <c r="H602">
        <v>22</v>
      </c>
      <c r="I602">
        <f>VLOOKUP(NBA_2026_Results3[[#This Row],[Home Team]], TeamRating, 2, FALSE) - VLOOKUP(NBA_2026_Results3[[#This Row],[Away Team]], TeamRating, 2, FALSE)+HomeEdge</f>
        <v>5.6466798512975025</v>
      </c>
      <c r="J602">
        <f>(NBA_2026_Results3[[#This Row],[Home Margin]]-NBA_2026_Results3[[#This Row],[Home Forecast]])^2</f>
        <v>267.43107988595909</v>
      </c>
    </row>
    <row r="603" spans="4:10" x14ac:dyDescent="0.2">
      <c r="D603" t="s">
        <v>33</v>
      </c>
      <c r="E603" t="s">
        <v>18</v>
      </c>
      <c r="F603">
        <v>101</v>
      </c>
      <c r="G603">
        <v>115</v>
      </c>
      <c r="H603">
        <v>-14</v>
      </c>
      <c r="I603">
        <f>VLOOKUP(NBA_2026_Results3[[#This Row],[Home Team]], TeamRating, 2, FALSE) - VLOOKUP(NBA_2026_Results3[[#This Row],[Away Team]], TeamRating, 2, FALSE)+HomeEdge</f>
        <v>-6.7560155563635762</v>
      </c>
      <c r="J603">
        <f>(NBA_2026_Results3[[#This Row],[Home Margin]]-NBA_2026_Results3[[#This Row],[Home Forecast]])^2</f>
        <v>52.475310619646507</v>
      </c>
    </row>
    <row r="604" spans="4:10" x14ac:dyDescent="0.2">
      <c r="D604" t="s">
        <v>16</v>
      </c>
      <c r="E604" t="s">
        <v>12</v>
      </c>
      <c r="F604">
        <v>107</v>
      </c>
      <c r="G604">
        <v>133</v>
      </c>
      <c r="H604">
        <v>-26</v>
      </c>
      <c r="I604">
        <f>VLOOKUP(NBA_2026_Results3[[#This Row],[Home Team]], TeamRating, 2, FALSE) - VLOOKUP(NBA_2026_Results3[[#This Row],[Away Team]], TeamRating, 2, FALSE)+HomeEdge</f>
        <v>-0.95779883697755386</v>
      </c>
      <c r="J604">
        <f>(NBA_2026_Results3[[#This Row],[Home Margin]]-NBA_2026_Results3[[#This Row],[Home Forecast]])^2</f>
        <v>627.11183908928285</v>
      </c>
    </row>
    <row r="605" spans="4:10" x14ac:dyDescent="0.2">
      <c r="D605" t="s">
        <v>19</v>
      </c>
      <c r="E605" t="s">
        <v>25</v>
      </c>
      <c r="F605">
        <v>128</v>
      </c>
      <c r="G605">
        <v>126</v>
      </c>
      <c r="H605">
        <v>2</v>
      </c>
      <c r="I605">
        <f>VLOOKUP(NBA_2026_Results3[[#This Row],[Home Team]], TeamRating, 2, FALSE) - VLOOKUP(NBA_2026_Results3[[#This Row],[Away Team]], TeamRating, 2, FALSE)+HomeEdge</f>
        <v>6.6968381345314967</v>
      </c>
      <c r="J605">
        <f>(NBA_2026_Results3[[#This Row],[Home Margin]]-NBA_2026_Results3[[#This Row],[Home Forecast]])^2</f>
        <v>22.060288461989309</v>
      </c>
    </row>
    <row r="606" spans="4:10" x14ac:dyDescent="0.2">
      <c r="D606" t="s">
        <v>22</v>
      </c>
      <c r="E606" t="s">
        <v>10</v>
      </c>
      <c r="F606">
        <v>116</v>
      </c>
      <c r="G606">
        <v>113</v>
      </c>
      <c r="H606">
        <v>3</v>
      </c>
      <c r="I606">
        <f>VLOOKUP(NBA_2026_Results3[[#This Row],[Home Team]], TeamRating, 2, FALSE) - VLOOKUP(NBA_2026_Results3[[#This Row],[Away Team]], TeamRating, 2, FALSE)+HomeEdge</f>
        <v>2.7301071960352381</v>
      </c>
      <c r="J606">
        <f>(NBA_2026_Results3[[#This Row],[Home Margin]]-NBA_2026_Results3[[#This Row],[Home Forecast]])^2</f>
        <v>7.2842125631961394E-2</v>
      </c>
    </row>
    <row r="607" spans="4:10" x14ac:dyDescent="0.2">
      <c r="D607" t="s">
        <v>27</v>
      </c>
      <c r="E607" t="s">
        <v>34</v>
      </c>
      <c r="F607">
        <v>109</v>
      </c>
      <c r="G607">
        <v>118</v>
      </c>
      <c r="H607">
        <v>-9</v>
      </c>
      <c r="I607">
        <f>VLOOKUP(NBA_2026_Results3[[#This Row],[Home Team]], TeamRating, 2, FALSE) - VLOOKUP(NBA_2026_Results3[[#This Row],[Away Team]], TeamRating, 2, FALSE)+HomeEdge</f>
        <v>-4.5692944577866017</v>
      </c>
      <c r="J607">
        <f>(NBA_2026_Results3[[#This Row],[Home Margin]]-NBA_2026_Results3[[#This Row],[Home Forecast]])^2</f>
        <v>19.631151601800525</v>
      </c>
    </row>
    <row r="608" spans="4:10" x14ac:dyDescent="0.2">
      <c r="D608" t="s">
        <v>32</v>
      </c>
      <c r="E608" t="s">
        <v>11</v>
      </c>
      <c r="F608">
        <v>112</v>
      </c>
      <c r="G608">
        <v>101</v>
      </c>
      <c r="H608">
        <v>11</v>
      </c>
      <c r="I608">
        <f>VLOOKUP(NBA_2026_Results3[[#This Row],[Home Team]], TeamRating, 2, FALSE) - VLOOKUP(NBA_2026_Results3[[#This Row],[Away Team]], TeamRating, 2, FALSE)+HomeEdge</f>
        <v>-11.175319150641858</v>
      </c>
      <c r="J608">
        <f>(NBA_2026_Results3[[#This Row],[Home Margin]]-NBA_2026_Results3[[#This Row],[Home Forecast]])^2</f>
        <v>491.74477943282352</v>
      </c>
    </row>
    <row r="609" spans="4:10" x14ac:dyDescent="0.2">
      <c r="D609" t="s">
        <v>26</v>
      </c>
      <c r="E609" t="s">
        <v>24</v>
      </c>
      <c r="F609">
        <v>119</v>
      </c>
      <c r="G609">
        <v>105</v>
      </c>
      <c r="H609">
        <v>14</v>
      </c>
      <c r="I609">
        <f>VLOOKUP(NBA_2026_Results3[[#This Row],[Home Team]], TeamRating, 2, FALSE) - VLOOKUP(NBA_2026_Results3[[#This Row],[Away Team]], TeamRating, 2, FALSE)+HomeEdge</f>
        <v>11.773214457926379</v>
      </c>
      <c r="J609">
        <f>(NBA_2026_Results3[[#This Row],[Home Margin]]-NBA_2026_Results3[[#This Row],[Home Forecast]])^2</f>
        <v>4.9585738503881105</v>
      </c>
    </row>
    <row r="610" spans="4:10" x14ac:dyDescent="0.2">
      <c r="D610" t="s">
        <v>13</v>
      </c>
      <c r="E610" t="s">
        <v>21</v>
      </c>
      <c r="F610">
        <v>118</v>
      </c>
      <c r="G610">
        <v>111</v>
      </c>
      <c r="H610">
        <v>7</v>
      </c>
      <c r="I610">
        <f>VLOOKUP(NBA_2026_Results3[[#This Row],[Home Team]], TeamRating, 2, FALSE) - VLOOKUP(NBA_2026_Results3[[#This Row],[Away Team]], TeamRating, 2, FALSE)+HomeEdge</f>
        <v>3.4880804369206371</v>
      </c>
      <c r="J610">
        <f>(NBA_2026_Results3[[#This Row],[Home Margin]]-NBA_2026_Results3[[#This Row],[Home Forecast]])^2</f>
        <v>12.333579017539543</v>
      </c>
    </row>
    <row r="611" spans="4:10" x14ac:dyDescent="0.2">
      <c r="D611" t="s">
        <v>20</v>
      </c>
      <c r="E611" t="s">
        <v>31</v>
      </c>
      <c r="F611">
        <v>108</v>
      </c>
      <c r="G611">
        <v>105</v>
      </c>
      <c r="H611">
        <v>3</v>
      </c>
      <c r="I611">
        <f>VLOOKUP(NBA_2026_Results3[[#This Row],[Home Team]], TeamRating, 2, FALSE) - VLOOKUP(NBA_2026_Results3[[#This Row],[Away Team]], TeamRating, 2, FALSE)+HomeEdge</f>
        <v>4.2934395943147177</v>
      </c>
      <c r="J611">
        <f>(NBA_2026_Results3[[#This Row],[Home Margin]]-NBA_2026_Results3[[#This Row],[Home Forecast]])^2</f>
        <v>1.6729859841410215</v>
      </c>
    </row>
    <row r="612" spans="4:10" x14ac:dyDescent="0.2">
      <c r="D612" t="s">
        <v>6</v>
      </c>
      <c r="E612" t="s">
        <v>5</v>
      </c>
      <c r="F612">
        <v>91</v>
      </c>
      <c r="G612">
        <v>111</v>
      </c>
      <c r="H612">
        <v>-20</v>
      </c>
      <c r="I612">
        <f>VLOOKUP(NBA_2026_Results3[[#This Row],[Home Team]], TeamRating, 2, FALSE) - VLOOKUP(NBA_2026_Results3[[#This Row],[Away Team]], TeamRating, 2, FALSE)+HomeEdge</f>
        <v>-3.7613692442908739</v>
      </c>
      <c r="J612">
        <f>(NBA_2026_Results3[[#This Row],[Home Margin]]-NBA_2026_Results3[[#This Row],[Home Forecast]])^2</f>
        <v>263.6931288202623</v>
      </c>
    </row>
    <row r="613" spans="4:10" x14ac:dyDescent="0.2">
      <c r="D613" t="s">
        <v>14</v>
      </c>
      <c r="E613" t="s">
        <v>15</v>
      </c>
      <c r="F613">
        <v>114</v>
      </c>
      <c r="G613">
        <v>119</v>
      </c>
      <c r="H613">
        <v>-5</v>
      </c>
      <c r="I613">
        <f>VLOOKUP(NBA_2026_Results3[[#This Row],[Home Team]], TeamRating, 2, FALSE) - VLOOKUP(NBA_2026_Results3[[#This Row],[Away Team]], TeamRating, 2, FALSE)+HomeEdge</f>
        <v>-1.2744676172163332</v>
      </c>
      <c r="J613">
        <f>(NBA_2026_Results3[[#This Row],[Home Margin]]-NBA_2026_Results3[[#This Row],[Home Forecast]])^2</f>
        <v>13.879591535169746</v>
      </c>
    </row>
    <row r="614" spans="4:10" x14ac:dyDescent="0.2">
      <c r="D614" t="s">
        <v>28</v>
      </c>
      <c r="E614" t="s">
        <v>23</v>
      </c>
      <c r="F614">
        <v>119</v>
      </c>
      <c r="G614">
        <v>101</v>
      </c>
      <c r="H614">
        <v>18</v>
      </c>
      <c r="I614">
        <f>VLOOKUP(NBA_2026_Results3[[#This Row],[Home Team]], TeamRating, 2, FALSE) - VLOOKUP(NBA_2026_Results3[[#This Row],[Away Team]], TeamRating, 2, FALSE)+HomeEdge</f>
        <v>10.924036718869555</v>
      </c>
      <c r="J614">
        <f>(NBA_2026_Results3[[#This Row],[Home Margin]]-NBA_2026_Results3[[#This Row],[Home Forecast]])^2</f>
        <v>50.069256355906333</v>
      </c>
    </row>
    <row r="615" spans="4:10" x14ac:dyDescent="0.2">
      <c r="D615" t="s">
        <v>27</v>
      </c>
      <c r="E615" t="s">
        <v>25</v>
      </c>
      <c r="F615">
        <v>144</v>
      </c>
      <c r="G615">
        <v>122</v>
      </c>
      <c r="H615">
        <v>22</v>
      </c>
      <c r="I615">
        <f>VLOOKUP(NBA_2026_Results3[[#This Row],[Home Team]], TeamRating, 2, FALSE) - VLOOKUP(NBA_2026_Results3[[#This Row],[Away Team]], TeamRating, 2, FALSE)+HomeEdge</f>
        <v>6.3414827423907765</v>
      </c>
      <c r="J615">
        <f>(NBA_2026_Results3[[#This Row],[Home Margin]]-NBA_2026_Results3[[#This Row],[Home Forecast]])^2</f>
        <v>245.18916270684585</v>
      </c>
    </row>
    <row r="616" spans="4:10" x14ac:dyDescent="0.2">
      <c r="D616" t="s">
        <v>8</v>
      </c>
      <c r="E616" t="s">
        <v>11</v>
      </c>
      <c r="F616">
        <v>126</v>
      </c>
      <c r="G616">
        <v>113</v>
      </c>
      <c r="H616">
        <v>13</v>
      </c>
      <c r="I616">
        <f>VLOOKUP(NBA_2026_Results3[[#This Row],[Home Team]], TeamRating, 2, FALSE) - VLOOKUP(NBA_2026_Results3[[#This Row],[Away Team]], TeamRating, 2, FALSE)+HomeEdge</f>
        <v>0.31038273645959791</v>
      </c>
      <c r="J616">
        <f>(NBA_2026_Results3[[#This Row],[Home Margin]]-NBA_2026_Results3[[#This Row],[Home Forecast]])^2</f>
        <v>161.0263862951426</v>
      </c>
    </row>
    <row r="617" spans="4:10" x14ac:dyDescent="0.2">
      <c r="D617" t="s">
        <v>29</v>
      </c>
      <c r="E617" t="s">
        <v>17</v>
      </c>
      <c r="F617">
        <v>117</v>
      </c>
      <c r="G617">
        <v>101</v>
      </c>
      <c r="H617">
        <v>16</v>
      </c>
      <c r="I617">
        <f>VLOOKUP(NBA_2026_Results3[[#This Row],[Home Team]], TeamRating, 2, FALSE) - VLOOKUP(NBA_2026_Results3[[#This Row],[Away Team]], TeamRating, 2, FALSE)+HomeEdge</f>
        <v>1.2356557890621622</v>
      </c>
      <c r="J617">
        <f>(NBA_2026_Results3[[#This Row],[Home Margin]]-NBA_2026_Results3[[#This Row],[Home Forecast]])^2</f>
        <v>217.98585997905363</v>
      </c>
    </row>
    <row r="618" spans="4:10" x14ac:dyDescent="0.2">
      <c r="D618" t="s">
        <v>7</v>
      </c>
      <c r="E618" t="s">
        <v>9</v>
      </c>
      <c r="F618">
        <v>117</v>
      </c>
      <c r="G618">
        <v>135</v>
      </c>
      <c r="H618">
        <v>-18</v>
      </c>
      <c r="I618">
        <f>VLOOKUP(NBA_2026_Results3[[#This Row],[Home Team]], TeamRating, 2, FALSE) - VLOOKUP(NBA_2026_Results3[[#This Row],[Away Team]], TeamRating, 2, FALSE)+HomeEdge</f>
        <v>9.053534167796129E-2</v>
      </c>
      <c r="J618">
        <f>(NBA_2026_Results3[[#This Row],[Home Margin]]-NBA_2026_Results3[[#This Row],[Home Forecast]])^2</f>
        <v>327.2674689484993</v>
      </c>
    </row>
    <row r="619" spans="4:10" x14ac:dyDescent="0.2">
      <c r="D619" t="s">
        <v>33</v>
      </c>
      <c r="E619" t="s">
        <v>22</v>
      </c>
      <c r="F619">
        <v>127</v>
      </c>
      <c r="G619">
        <v>119</v>
      </c>
      <c r="H619">
        <v>8</v>
      </c>
      <c r="I619">
        <f>VLOOKUP(NBA_2026_Results3[[#This Row],[Home Team]], TeamRating, 2, FALSE) - VLOOKUP(NBA_2026_Results3[[#This Row],[Away Team]], TeamRating, 2, FALSE)+HomeEdge</f>
        <v>0.2483592005241837</v>
      </c>
      <c r="J619">
        <f>(NBA_2026_Results3[[#This Row],[Home Margin]]-NBA_2026_Results3[[#This Row],[Home Forecast]])^2</f>
        <v>60.087935084098071</v>
      </c>
    </row>
    <row r="620" spans="4:10" x14ac:dyDescent="0.2">
      <c r="D620" t="s">
        <v>16</v>
      </c>
      <c r="E620" t="s">
        <v>12</v>
      </c>
      <c r="F620">
        <v>115</v>
      </c>
      <c r="G620">
        <v>117</v>
      </c>
      <c r="H620">
        <v>-2</v>
      </c>
      <c r="I620">
        <f>VLOOKUP(NBA_2026_Results3[[#This Row],[Home Team]], TeamRating, 2, FALSE) - VLOOKUP(NBA_2026_Results3[[#This Row],[Away Team]], TeamRating, 2, FALSE)+HomeEdge</f>
        <v>-0.95779883697755386</v>
      </c>
      <c r="J620">
        <f>(NBA_2026_Results3[[#This Row],[Home Margin]]-NBA_2026_Results3[[#This Row],[Home Forecast]])^2</f>
        <v>1.0861832642053393</v>
      </c>
    </row>
    <row r="621" spans="4:10" x14ac:dyDescent="0.2">
      <c r="D621" t="s">
        <v>10</v>
      </c>
      <c r="E621" t="s">
        <v>19</v>
      </c>
      <c r="F621">
        <v>112</v>
      </c>
      <c r="G621">
        <v>109</v>
      </c>
      <c r="H621">
        <v>3</v>
      </c>
      <c r="I621">
        <f>VLOOKUP(NBA_2026_Results3[[#This Row],[Home Team]], TeamRating, 2, FALSE) - VLOOKUP(NBA_2026_Results3[[#This Row],[Away Team]], TeamRating, 2, FALSE)+HomeEdge</f>
        <v>-2.0355957725224005</v>
      </c>
      <c r="J621">
        <f>(NBA_2026_Results3[[#This Row],[Home Margin]]-NBA_2026_Results3[[#This Row],[Home Forecast]])^2</f>
        <v>25.357224784245471</v>
      </c>
    </row>
    <row r="622" spans="4:10" x14ac:dyDescent="0.2">
      <c r="D622" t="s">
        <v>18</v>
      </c>
      <c r="E622" t="s">
        <v>26</v>
      </c>
      <c r="F622">
        <v>117</v>
      </c>
      <c r="G622">
        <v>121</v>
      </c>
      <c r="H622">
        <v>-4</v>
      </c>
      <c r="I622">
        <f>VLOOKUP(NBA_2026_Results3[[#This Row],[Home Team]], TeamRating, 2, FALSE) - VLOOKUP(NBA_2026_Results3[[#This Row],[Away Team]], TeamRating, 2, FALSE)+HomeEdge</f>
        <v>2.9716116790062292</v>
      </c>
      <c r="J622">
        <f>(NBA_2026_Results3[[#This Row],[Home Margin]]-NBA_2026_Results3[[#This Row],[Home Forecast]])^2</f>
        <v>48.603369402856053</v>
      </c>
    </row>
    <row r="623" spans="4:10" x14ac:dyDescent="0.2">
      <c r="D623" t="s">
        <v>6</v>
      </c>
      <c r="E623" t="s">
        <v>30</v>
      </c>
      <c r="F623">
        <v>110</v>
      </c>
      <c r="G623">
        <v>105</v>
      </c>
      <c r="H623">
        <v>5</v>
      </c>
      <c r="I623">
        <f>VLOOKUP(NBA_2026_Results3[[#This Row],[Home Team]], TeamRating, 2, FALSE) - VLOOKUP(NBA_2026_Results3[[#This Row],[Away Team]], TeamRating, 2, FALSE)+HomeEdge</f>
        <v>3.3527528625867689</v>
      </c>
      <c r="J623">
        <f>(NBA_2026_Results3[[#This Row],[Home Margin]]-NBA_2026_Results3[[#This Row],[Home Forecast]])^2</f>
        <v>2.7134231317160844</v>
      </c>
    </row>
    <row r="624" spans="4:10" x14ac:dyDescent="0.2">
      <c r="D624" t="s">
        <v>32</v>
      </c>
      <c r="E624" t="s">
        <v>24</v>
      </c>
      <c r="F624">
        <v>128</v>
      </c>
      <c r="G624">
        <v>115</v>
      </c>
      <c r="H624">
        <v>13</v>
      </c>
      <c r="I624">
        <f>VLOOKUP(NBA_2026_Results3[[#This Row],[Home Team]], TeamRating, 2, FALSE) - VLOOKUP(NBA_2026_Results3[[#This Row],[Away Team]], TeamRating, 2, FALSE)+HomeEdge</f>
        <v>3.0869243761812983</v>
      </c>
      <c r="J624">
        <f>(NBA_2026_Results3[[#This Row],[Home Margin]]-NBA_2026_Results3[[#This Row],[Home Forecast]])^2</f>
        <v>98.269068323548552</v>
      </c>
    </row>
    <row r="625" spans="4:10" x14ac:dyDescent="0.2">
      <c r="D625" t="s">
        <v>27</v>
      </c>
      <c r="E625" t="s">
        <v>25</v>
      </c>
      <c r="F625">
        <v>138</v>
      </c>
      <c r="G625">
        <v>120</v>
      </c>
      <c r="H625">
        <v>18</v>
      </c>
      <c r="I625">
        <f>VLOOKUP(NBA_2026_Results3[[#This Row],[Home Team]], TeamRating, 2, FALSE) - VLOOKUP(NBA_2026_Results3[[#This Row],[Away Team]], TeamRating, 2, FALSE)+HomeEdge</f>
        <v>6.3414827423907765</v>
      </c>
      <c r="J625">
        <f>(NBA_2026_Results3[[#This Row],[Home Margin]]-NBA_2026_Results3[[#This Row],[Home Forecast]])^2</f>
        <v>135.92102464597207</v>
      </c>
    </row>
    <row r="626" spans="4:10" x14ac:dyDescent="0.2">
      <c r="D626" t="s">
        <v>17</v>
      </c>
      <c r="E626" t="s">
        <v>15</v>
      </c>
      <c r="F626">
        <v>106</v>
      </c>
      <c r="G626">
        <v>132</v>
      </c>
      <c r="H626">
        <v>-26</v>
      </c>
      <c r="I626">
        <f>VLOOKUP(NBA_2026_Results3[[#This Row],[Home Team]], TeamRating, 2, FALSE) - VLOOKUP(NBA_2026_Results3[[#This Row],[Away Team]], TeamRating, 2, FALSE)+HomeEdge</f>
        <v>-3.9338340474640887</v>
      </c>
      <c r="J626">
        <f>(NBA_2026_Results3[[#This Row],[Home Margin]]-NBA_2026_Results3[[#This Row],[Home Forecast]])^2</f>
        <v>486.91567984485511</v>
      </c>
    </row>
    <row r="627" spans="4:10" x14ac:dyDescent="0.2">
      <c r="D627" t="s">
        <v>20</v>
      </c>
      <c r="E627" t="s">
        <v>33</v>
      </c>
      <c r="F627">
        <v>121</v>
      </c>
      <c r="G627">
        <v>78</v>
      </c>
      <c r="H627">
        <v>43</v>
      </c>
      <c r="I627">
        <f>VLOOKUP(NBA_2026_Results3[[#This Row],[Home Team]], TeamRating, 2, FALSE) - VLOOKUP(NBA_2026_Results3[[#This Row],[Away Team]], TeamRating, 2, FALSE)+HomeEdge</f>
        <v>14.594887820150657</v>
      </c>
      <c r="J627">
        <f>(NBA_2026_Results3[[#This Row],[Home Margin]]-NBA_2026_Results3[[#This Row],[Home Forecast]])^2</f>
        <v>806.85039794982549</v>
      </c>
    </row>
    <row r="628" spans="4:10" x14ac:dyDescent="0.2">
      <c r="D628" t="s">
        <v>11</v>
      </c>
      <c r="E628" t="s">
        <v>31</v>
      </c>
      <c r="F628">
        <v>99</v>
      </c>
      <c r="G628">
        <v>106</v>
      </c>
      <c r="H628">
        <v>-7</v>
      </c>
      <c r="I628">
        <f>VLOOKUP(NBA_2026_Results3[[#This Row],[Home Team]], TeamRating, 2, FALSE) - VLOOKUP(NBA_2026_Results3[[#This Row],[Away Team]], TeamRating, 2, FALSE)+HomeEdge</f>
        <v>3.2015667250854389</v>
      </c>
      <c r="J628">
        <f>(NBA_2026_Results3[[#This Row],[Home Margin]]-NBA_2026_Results3[[#This Row],[Home Forecast]])^2</f>
        <v>104.07196364637043</v>
      </c>
    </row>
    <row r="629" spans="4:10" x14ac:dyDescent="0.2">
      <c r="D629" t="s">
        <v>14</v>
      </c>
      <c r="E629" t="s">
        <v>5</v>
      </c>
      <c r="F629">
        <v>122</v>
      </c>
      <c r="G629">
        <v>120</v>
      </c>
      <c r="H629">
        <v>2</v>
      </c>
      <c r="I629">
        <f>VLOOKUP(NBA_2026_Results3[[#This Row],[Home Team]], TeamRating, 2, FALSE) - VLOOKUP(NBA_2026_Results3[[#This Row],[Away Team]], TeamRating, 2, FALSE)+HomeEdge</f>
        <v>-7.3662168888780615</v>
      </c>
      <c r="J629">
        <f>(NBA_2026_Results3[[#This Row],[Home Margin]]-NBA_2026_Results3[[#This Row],[Home Forecast]])^2</f>
        <v>87.726018809504623</v>
      </c>
    </row>
    <row r="630" spans="4:10" x14ac:dyDescent="0.2">
      <c r="D630" t="s">
        <v>28</v>
      </c>
      <c r="E630" t="s">
        <v>30</v>
      </c>
      <c r="F630">
        <v>126</v>
      </c>
      <c r="G630">
        <v>123</v>
      </c>
      <c r="H630">
        <v>3</v>
      </c>
      <c r="I630">
        <f>VLOOKUP(NBA_2026_Results3[[#This Row],[Home Team]], TeamRating, 2, FALSE) - VLOOKUP(NBA_2026_Results3[[#This Row],[Away Team]], TeamRating, 2, FALSE)+HomeEdge</f>
        <v>2.5719280742649016</v>
      </c>
      <c r="J630">
        <f>(NBA_2026_Results3[[#This Row],[Home Margin]]-NBA_2026_Results3[[#This Row],[Home Forecast]])^2</f>
        <v>0.18324557360255564</v>
      </c>
    </row>
    <row r="631" spans="4:10" x14ac:dyDescent="0.2">
      <c r="D631" t="s">
        <v>8</v>
      </c>
      <c r="E631" t="s">
        <v>9</v>
      </c>
      <c r="F631">
        <v>136</v>
      </c>
      <c r="G631">
        <v>116</v>
      </c>
      <c r="H631">
        <v>20</v>
      </c>
      <c r="I631">
        <f>VLOOKUP(NBA_2026_Results3[[#This Row],[Home Team]], TeamRating, 2, FALSE) - VLOOKUP(NBA_2026_Results3[[#This Row],[Away Team]], TeamRating, 2, FALSE)+HomeEdge</f>
        <v>3.6906922812493503</v>
      </c>
      <c r="J631">
        <f>(NBA_2026_Results3[[#This Row],[Home Margin]]-NBA_2026_Results3[[#This Row],[Home Forecast]])^2</f>
        <v>265.99351826489948</v>
      </c>
    </row>
    <row r="632" spans="4:10" x14ac:dyDescent="0.2">
      <c r="D632" t="s">
        <v>34</v>
      </c>
      <c r="E632" t="s">
        <v>24</v>
      </c>
      <c r="F632">
        <v>121</v>
      </c>
      <c r="G632">
        <v>115</v>
      </c>
      <c r="H632">
        <v>6</v>
      </c>
      <c r="I632">
        <f>VLOOKUP(NBA_2026_Results3[[#This Row],[Home Team]], TeamRating, 2, FALSE) - VLOOKUP(NBA_2026_Results3[[#This Row],[Away Team]], TeamRating, 2, FALSE)+HomeEdge</f>
        <v>14.874670024511516</v>
      </c>
      <c r="J632">
        <f>(NBA_2026_Results3[[#This Row],[Home Margin]]-NBA_2026_Results3[[#This Row],[Home Forecast]])^2</f>
        <v>78.759768043963234</v>
      </c>
    </row>
    <row r="633" spans="4:10" x14ac:dyDescent="0.2">
      <c r="D633" t="s">
        <v>29</v>
      </c>
      <c r="E633" t="s">
        <v>7</v>
      </c>
      <c r="F633">
        <v>132</v>
      </c>
      <c r="G633">
        <v>116</v>
      </c>
      <c r="H633">
        <v>16</v>
      </c>
      <c r="I633">
        <f>VLOOKUP(NBA_2026_Results3[[#This Row],[Home Team]], TeamRating, 2, FALSE) - VLOOKUP(NBA_2026_Results3[[#This Row],[Away Team]], TeamRating, 2, FALSE)+HomeEdge</f>
        <v>1.5682680906075133</v>
      </c>
      <c r="J633">
        <f>(NBA_2026_Results3[[#This Row],[Home Margin]]-NBA_2026_Results3[[#This Row],[Home Forecast]])^2</f>
        <v>208.27488590457727</v>
      </c>
    </row>
    <row r="634" spans="4:10" x14ac:dyDescent="0.2">
      <c r="D634" t="s">
        <v>21</v>
      </c>
      <c r="E634" t="s">
        <v>13</v>
      </c>
      <c r="F634">
        <v>126</v>
      </c>
      <c r="G634">
        <v>109</v>
      </c>
      <c r="H634">
        <v>17</v>
      </c>
      <c r="I634">
        <f>VLOOKUP(NBA_2026_Results3[[#This Row],[Home Team]], TeamRating, 2, FALSE) - VLOOKUP(NBA_2026_Results3[[#This Row],[Away Team]], TeamRating, 2, FALSE)+HomeEdge</f>
        <v>0.12671056541298986</v>
      </c>
      <c r="J634">
        <f>(NBA_2026_Results3[[#This Row],[Home Margin]]-NBA_2026_Results3[[#This Row],[Home Forecast]])^2</f>
        <v>284.70789634334568</v>
      </c>
    </row>
    <row r="635" spans="4:10" x14ac:dyDescent="0.2">
      <c r="D635" t="s">
        <v>19</v>
      </c>
      <c r="E635" t="s">
        <v>10</v>
      </c>
      <c r="F635">
        <v>124</v>
      </c>
      <c r="G635">
        <v>102</v>
      </c>
      <c r="H635">
        <v>22</v>
      </c>
      <c r="I635">
        <f>VLOOKUP(NBA_2026_Results3[[#This Row],[Home Team]], TeamRating, 2, FALSE) - VLOOKUP(NBA_2026_Results3[[#This Row],[Away Team]], TeamRating, 2, FALSE)+HomeEdge</f>
        <v>5.6503867748560275</v>
      </c>
      <c r="J635">
        <f>(NBA_2026_Results3[[#This Row],[Home Margin]]-NBA_2026_Results3[[#This Row],[Home Forecast]])^2</f>
        <v>267.30985261180268</v>
      </c>
    </row>
    <row r="636" spans="4:10" x14ac:dyDescent="0.2">
      <c r="D636" t="s">
        <v>6</v>
      </c>
      <c r="E636" t="s">
        <v>22</v>
      </c>
      <c r="F636">
        <v>119</v>
      </c>
      <c r="G636">
        <v>110</v>
      </c>
      <c r="H636">
        <v>9</v>
      </c>
      <c r="I636">
        <f>VLOOKUP(NBA_2026_Results3[[#This Row],[Home Team]], TeamRating, 2, FALSE) - VLOOKUP(NBA_2026_Results3[[#This Row],[Away Team]], TeamRating, 2, FALSE)+HomeEdge</f>
        <v>13.443635322380437</v>
      </c>
      <c r="J636">
        <f>(NBA_2026_Results3[[#This Row],[Home Margin]]-NBA_2026_Results3[[#This Row],[Home Forecast]])^2</f>
        <v>19.745894878307094</v>
      </c>
    </row>
    <row r="637" spans="4:10" x14ac:dyDescent="0.2">
      <c r="D637" t="s">
        <v>34</v>
      </c>
      <c r="E637" t="s">
        <v>9</v>
      </c>
      <c r="F637">
        <v>87</v>
      </c>
      <c r="G637">
        <v>110</v>
      </c>
      <c r="H637">
        <v>-23</v>
      </c>
      <c r="I637">
        <f>VLOOKUP(NBA_2026_Results3[[#This Row],[Home Team]], TeamRating, 2, FALSE) - VLOOKUP(NBA_2026_Results3[[#This Row],[Away Team]], TeamRating, 2, FALSE)+HomeEdge</f>
        <v>3.9927360424781151</v>
      </c>
      <c r="J637">
        <f>(NBA_2026_Results3[[#This Row],[Home Margin]]-NBA_2026_Results3[[#This Row],[Home Forecast]])^2</f>
        <v>728.60779905889706</v>
      </c>
    </row>
    <row r="638" spans="4:10" x14ac:dyDescent="0.2">
      <c r="D638" t="s">
        <v>32</v>
      </c>
      <c r="E638" t="s">
        <v>29</v>
      </c>
      <c r="F638">
        <v>110</v>
      </c>
      <c r="G638">
        <v>117</v>
      </c>
      <c r="H638">
        <v>-7</v>
      </c>
      <c r="I638">
        <f>VLOOKUP(NBA_2026_Results3[[#This Row],[Home Team]], TeamRating, 2, FALSE) - VLOOKUP(NBA_2026_Results3[[#This Row],[Away Team]], TeamRating, 2, FALSE)+HomeEdge</f>
        <v>-5.8390220358039517</v>
      </c>
      <c r="J638">
        <f>(NBA_2026_Results3[[#This Row],[Home Margin]]-NBA_2026_Results3[[#This Row],[Home Forecast]])^2</f>
        <v>1.3478698333488006</v>
      </c>
    </row>
    <row r="639" spans="4:10" x14ac:dyDescent="0.2">
      <c r="D639" t="s">
        <v>7</v>
      </c>
      <c r="E639" t="s">
        <v>18</v>
      </c>
      <c r="F639">
        <v>110</v>
      </c>
      <c r="G639">
        <v>93</v>
      </c>
      <c r="H639">
        <v>17</v>
      </c>
      <c r="I639">
        <f>VLOOKUP(NBA_2026_Results3[[#This Row],[Home Team]], TeamRating, 2, FALSE) - VLOOKUP(NBA_2026_Results3[[#This Row],[Away Team]], TeamRating, 2, FALSE)+HomeEdge</f>
        <v>-0.15756581088761568</v>
      </c>
      <c r="J639">
        <f>(NBA_2026_Results3[[#This Row],[Home Margin]]-NBA_2026_Results3[[#This Row],[Home Forecast]])^2</f>
        <v>294.38206455493957</v>
      </c>
    </row>
    <row r="640" spans="4:10" x14ac:dyDescent="0.2">
      <c r="D640" t="s">
        <v>17</v>
      </c>
      <c r="E640" t="s">
        <v>23</v>
      </c>
      <c r="F640">
        <v>110</v>
      </c>
      <c r="G640">
        <v>112</v>
      </c>
      <c r="H640">
        <v>-2</v>
      </c>
      <c r="I640">
        <f>VLOOKUP(NBA_2026_Results3[[#This Row],[Home Team]], TeamRating, 2, FALSE) - VLOOKUP(NBA_2026_Results3[[#This Row],[Away Team]], TeamRating, 2, FALSE)+HomeEdge</f>
        <v>5.4406474323564815</v>
      </c>
      <c r="J640">
        <f>(NBA_2026_Results3[[#This Row],[Home Margin]]-NBA_2026_Results3[[#This Row],[Home Forecast]])^2</f>
        <v>55.363234212633103</v>
      </c>
    </row>
    <row r="641" spans="4:10" x14ac:dyDescent="0.2">
      <c r="D641" t="s">
        <v>12</v>
      </c>
      <c r="E641" t="s">
        <v>5</v>
      </c>
      <c r="F641">
        <v>104</v>
      </c>
      <c r="G641">
        <v>136</v>
      </c>
      <c r="H641">
        <v>-32</v>
      </c>
      <c r="I641">
        <f>VLOOKUP(NBA_2026_Results3[[#This Row],[Home Team]], TeamRating, 2, FALSE) - VLOOKUP(NBA_2026_Results3[[#This Row],[Away Team]], TeamRating, 2, FALSE)+HomeEdge</f>
        <v>-6.7496569336188132</v>
      </c>
      <c r="J641">
        <f>(NBA_2026_Results3[[#This Row],[Home Margin]]-NBA_2026_Results3[[#This Row],[Home Forecast]])^2</f>
        <v>637.57982496994453</v>
      </c>
    </row>
    <row r="642" spans="4:10" x14ac:dyDescent="0.2">
      <c r="D642" t="s">
        <v>24</v>
      </c>
      <c r="E642" t="s">
        <v>26</v>
      </c>
      <c r="F642">
        <v>106</v>
      </c>
      <c r="G642">
        <v>110</v>
      </c>
      <c r="H642">
        <v>-4</v>
      </c>
      <c r="I642">
        <f>VLOOKUP(NBA_2026_Results3[[#This Row],[Home Team]], TeamRating, 2, FALSE) - VLOOKUP(NBA_2026_Results3[[#This Row],[Away Team]], TeamRating, 2, FALSE)+HomeEdge</f>
        <v>-8.1584234555927502</v>
      </c>
      <c r="J642">
        <f>(NBA_2026_Results3[[#This Row],[Home Margin]]-NBA_2026_Results3[[#This Row],[Home Forecast]])^2</f>
        <v>17.292485636023951</v>
      </c>
    </row>
    <row r="643" spans="4:10" x14ac:dyDescent="0.2">
      <c r="D643" t="s">
        <v>11</v>
      </c>
      <c r="E643" t="s">
        <v>27</v>
      </c>
      <c r="F643">
        <v>97</v>
      </c>
      <c r="G643">
        <v>114</v>
      </c>
      <c r="H643">
        <v>-17</v>
      </c>
      <c r="I643">
        <f>VLOOKUP(NBA_2026_Results3[[#This Row],[Home Team]], TeamRating, 2, FALSE) - VLOOKUP(NBA_2026_Results3[[#This Row],[Away Team]], TeamRating, 2, FALSE)+HomeEdge</f>
        <v>9.3790544635986777</v>
      </c>
      <c r="J643">
        <f>(NBA_2026_Results3[[#This Row],[Home Margin]]-NBA_2026_Results3[[#This Row],[Home Forecast]])^2</f>
        <v>695.85451439350527</v>
      </c>
    </row>
    <row r="644" spans="4:10" x14ac:dyDescent="0.2">
      <c r="D644" t="s">
        <v>28</v>
      </c>
      <c r="E644" t="s">
        <v>25</v>
      </c>
      <c r="F644">
        <v>123</v>
      </c>
      <c r="G644">
        <v>110</v>
      </c>
      <c r="H644">
        <v>13</v>
      </c>
      <c r="I644">
        <f>VLOOKUP(NBA_2026_Results3[[#This Row],[Home Team]], TeamRating, 2, FALSE) - VLOOKUP(NBA_2026_Results3[[#This Row],[Away Team]], TeamRating, 2, FALSE)+HomeEdge</f>
        <v>14.631973588602463</v>
      </c>
      <c r="J644">
        <f>(NBA_2026_Results3[[#This Row],[Home Margin]]-NBA_2026_Results3[[#This Row],[Home Forecast]])^2</f>
        <v>2.6633377938960017</v>
      </c>
    </row>
    <row r="645" spans="4:10" x14ac:dyDescent="0.2">
      <c r="D645" t="s">
        <v>16</v>
      </c>
      <c r="E645" t="s">
        <v>33</v>
      </c>
      <c r="F645">
        <v>113</v>
      </c>
      <c r="G645">
        <v>104</v>
      </c>
      <c r="H645">
        <v>9</v>
      </c>
      <c r="I645">
        <f>VLOOKUP(NBA_2026_Results3[[#This Row],[Home Team]], TeamRating, 2, FALSE) - VLOOKUP(NBA_2026_Results3[[#This Row],[Away Team]], TeamRating, 2, FALSE)+HomeEdge</f>
        <v>9.2491895955507601</v>
      </c>
      <c r="J645">
        <f>(NBA_2026_Results3[[#This Row],[Home Margin]]-NBA_2026_Results3[[#This Row],[Home Forecast]])^2</f>
        <v>6.2095454530751423E-2</v>
      </c>
    </row>
    <row r="646" spans="4:10" x14ac:dyDescent="0.2">
      <c r="D646" t="s">
        <v>10</v>
      </c>
      <c r="E646" t="s">
        <v>31</v>
      </c>
      <c r="F646">
        <v>117</v>
      </c>
      <c r="G646">
        <v>126</v>
      </c>
      <c r="H646">
        <v>-9</v>
      </c>
      <c r="I646">
        <f>VLOOKUP(NBA_2026_Results3[[#This Row],[Home Team]], TeamRating, 2, FALSE) - VLOOKUP(NBA_2026_Results3[[#This Row],[Away Team]], TeamRating, 2, FALSE)+HomeEdge</f>
        <v>-7.8577281188949213</v>
      </c>
      <c r="J646">
        <f>(NBA_2026_Results3[[#This Row],[Home Margin]]-NBA_2026_Results3[[#This Row],[Home Forecast]])^2</f>
        <v>1.3047850503633351</v>
      </c>
    </row>
    <row r="647" spans="4:10" x14ac:dyDescent="0.2">
      <c r="D647" t="s">
        <v>20</v>
      </c>
      <c r="E647" t="s">
        <v>15</v>
      </c>
      <c r="F647">
        <v>104</v>
      </c>
      <c r="G647">
        <v>103</v>
      </c>
      <c r="H647">
        <v>1</v>
      </c>
      <c r="I647">
        <f>VLOOKUP(NBA_2026_Results3[[#This Row],[Home Team]], TeamRating, 2, FALSE) - VLOOKUP(NBA_2026_Results3[[#This Row],[Away Team]], TeamRating, 2, FALSE)+HomeEdge</f>
        <v>1.9225962244984434</v>
      </c>
      <c r="J647">
        <f>(NBA_2026_Results3[[#This Row],[Home Margin]]-NBA_2026_Results3[[#This Row],[Home Forecast]])^2</f>
        <v>0.85118379345878215</v>
      </c>
    </row>
    <row r="648" spans="4:10" x14ac:dyDescent="0.2">
      <c r="D648" t="s">
        <v>8</v>
      </c>
      <c r="E648" t="s">
        <v>14</v>
      </c>
      <c r="F648">
        <v>135</v>
      </c>
      <c r="G648">
        <v>112</v>
      </c>
      <c r="H648">
        <v>23</v>
      </c>
      <c r="I648">
        <f>VLOOKUP(NBA_2026_Results3[[#This Row],[Home Team]], TeamRating, 2, FALSE) - VLOOKUP(NBA_2026_Results3[[#This Row],[Away Team]], TeamRating, 2, FALSE)+HomeEdge</f>
        <v>2.4155737089450962</v>
      </c>
      <c r="J648">
        <f>(NBA_2026_Results3[[#This Row],[Home Margin]]-NBA_2026_Results3[[#This Row],[Home Forecast]])^2</f>
        <v>423.71860573187234</v>
      </c>
    </row>
    <row r="649" spans="4:10" x14ac:dyDescent="0.2">
      <c r="D649" t="s">
        <v>16</v>
      </c>
      <c r="E649" t="s">
        <v>31</v>
      </c>
      <c r="F649">
        <v>110</v>
      </c>
      <c r="G649">
        <v>116</v>
      </c>
      <c r="H649">
        <v>-6</v>
      </c>
      <c r="I649">
        <f>VLOOKUP(NBA_2026_Results3[[#This Row],[Home Team]], TeamRating, 2, FALSE) - VLOOKUP(NBA_2026_Results3[[#This Row],[Away Team]], TeamRating, 2, FALSE)+HomeEdge</f>
        <v>-1.0522586302851784</v>
      </c>
      <c r="J649">
        <f>(NBA_2026_Results3[[#This Row],[Home Margin]]-NBA_2026_Results3[[#This Row],[Home Forecast]])^2</f>
        <v>24.480144661587495</v>
      </c>
    </row>
    <row r="650" spans="4:10" x14ac:dyDescent="0.2">
      <c r="D650" t="s">
        <v>19</v>
      </c>
      <c r="E650" t="s">
        <v>26</v>
      </c>
      <c r="F650">
        <v>138</v>
      </c>
      <c r="G650">
        <v>110</v>
      </c>
      <c r="H650">
        <v>28</v>
      </c>
      <c r="I650">
        <f>VLOOKUP(NBA_2026_Results3[[#This Row],[Home Team]], TeamRating, 2, FALSE) - VLOOKUP(NBA_2026_Results3[[#This Row],[Away Team]], TeamRating, 2, FALSE)+HomeEdge</f>
        <v>-1.1124834990607413</v>
      </c>
      <c r="J650">
        <f>(NBA_2026_Results3[[#This Row],[Home Margin]]-NBA_2026_Results3[[#This Row],[Home Forecast]])^2</f>
        <v>847.53669548308392</v>
      </c>
    </row>
    <row r="651" spans="4:10" x14ac:dyDescent="0.2">
      <c r="D651" t="s">
        <v>6</v>
      </c>
      <c r="E651" t="s">
        <v>28</v>
      </c>
      <c r="F651">
        <v>111</v>
      </c>
      <c r="G651">
        <v>106</v>
      </c>
      <c r="H651">
        <v>5</v>
      </c>
      <c r="I651">
        <f>VLOOKUP(NBA_2026_Results3[[#This Row],[Home Team]], TeamRating, 2, FALSE) - VLOOKUP(NBA_2026_Results3[[#This Row],[Away Team]], TeamRating, 2, FALSE)+HomeEdge</f>
        <v>2.5882202894886808</v>
      </c>
      <c r="J651">
        <f>(NBA_2026_Results3[[#This Row],[Home Margin]]-NBA_2026_Results3[[#This Row],[Home Forecast]])^2</f>
        <v>5.8166813720340631</v>
      </c>
    </row>
    <row r="652" spans="4:10" x14ac:dyDescent="0.2">
      <c r="D652" t="s">
        <v>25</v>
      </c>
      <c r="E652" t="s">
        <v>30</v>
      </c>
      <c r="F652">
        <v>127</v>
      </c>
      <c r="G652">
        <v>122</v>
      </c>
      <c r="H652">
        <v>5</v>
      </c>
      <c r="I652">
        <f>VLOOKUP(NBA_2026_Results3[[#This Row],[Home Team]], TeamRating, 2, FALSE) - VLOOKUP(NBA_2026_Results3[[#This Row],[Away Team]], TeamRating, 2, FALSE)+HomeEdge</f>
        <v>-10.252650013170751</v>
      </c>
      <c r="J652">
        <f>(NBA_2026_Results3[[#This Row],[Home Margin]]-NBA_2026_Results3[[#This Row],[Home Forecast]])^2</f>
        <v>232.6433324242777</v>
      </c>
    </row>
    <row r="653" spans="4:10" x14ac:dyDescent="0.2">
      <c r="D653" t="s">
        <v>34</v>
      </c>
      <c r="E653" t="s">
        <v>7</v>
      </c>
      <c r="F653">
        <v>107</v>
      </c>
      <c r="G653">
        <v>115</v>
      </c>
      <c r="H653">
        <v>-8</v>
      </c>
      <c r="I653">
        <f>VLOOKUP(NBA_2026_Results3[[#This Row],[Home Team]], TeamRating, 2, FALSE) - VLOOKUP(NBA_2026_Results3[[#This Row],[Away Team]], TeamRating, 2, FALSE)+HomeEdge</f>
        <v>5.709596201966967</v>
      </c>
      <c r="J653">
        <f>(NBA_2026_Results3[[#This Row],[Home Margin]]-NBA_2026_Results3[[#This Row],[Home Forecast]])^2</f>
        <v>187.95302802098709</v>
      </c>
    </row>
    <row r="654" spans="4:10" x14ac:dyDescent="0.2">
      <c r="D654" t="s">
        <v>8</v>
      </c>
      <c r="E654" t="s">
        <v>18</v>
      </c>
      <c r="F654">
        <v>127</v>
      </c>
      <c r="G654">
        <v>145</v>
      </c>
      <c r="H654">
        <v>-18</v>
      </c>
      <c r="I654">
        <f>VLOOKUP(NBA_2026_Results3[[#This Row],[Home Team]], TeamRating, 2, FALSE) - VLOOKUP(NBA_2026_Results3[[#This Row],[Away Team]], TeamRating, 2, FALSE)+HomeEdge</f>
        <v>3.4425911286837731</v>
      </c>
      <c r="J654">
        <f>(NBA_2026_Results3[[#This Row],[Home Margin]]-NBA_2026_Results3[[#This Row],[Home Forecast]])^2</f>
        <v>459.78471431190803</v>
      </c>
    </row>
    <row r="655" spans="4:10" x14ac:dyDescent="0.2">
      <c r="D655" t="s">
        <v>32</v>
      </c>
      <c r="E655" t="s">
        <v>14</v>
      </c>
      <c r="F655">
        <v>117</v>
      </c>
      <c r="G655">
        <v>130</v>
      </c>
      <c r="H655">
        <v>-13</v>
      </c>
      <c r="I655">
        <f>VLOOKUP(NBA_2026_Results3[[#This Row],[Home Team]], TeamRating, 2, FALSE) - VLOOKUP(NBA_2026_Results3[[#This Row],[Away Team]], TeamRating, 2, FALSE)+HomeEdge</f>
        <v>-9.0701281781563594</v>
      </c>
      <c r="J655">
        <f>(NBA_2026_Results3[[#This Row],[Home Margin]]-NBA_2026_Results3[[#This Row],[Home Forecast]])^2</f>
        <v>15.443892536120655</v>
      </c>
    </row>
    <row r="656" spans="4:10" x14ac:dyDescent="0.2">
      <c r="D656" t="s">
        <v>9</v>
      </c>
      <c r="E656" t="s">
        <v>12</v>
      </c>
      <c r="F656">
        <v>87</v>
      </c>
      <c r="G656">
        <v>94</v>
      </c>
      <c r="H656">
        <v>-7</v>
      </c>
      <c r="I656">
        <f>VLOOKUP(NBA_2026_Results3[[#This Row],[Home Team]], TeamRating, 2, FALSE) - VLOOKUP(NBA_2026_Results3[[#This Row],[Away Team]], TeamRating, 2, FALSE)+HomeEdge</f>
        <v>-8.4283026396688721E-2</v>
      </c>
      <c r="J656">
        <f>(NBA_2026_Results3[[#This Row],[Home Margin]]-NBA_2026_Results3[[#This Row],[Home Forecast]])^2</f>
        <v>47.827141258984945</v>
      </c>
    </row>
    <row r="657" spans="4:10" x14ac:dyDescent="0.2">
      <c r="D657" t="s">
        <v>15</v>
      </c>
      <c r="E657" t="s">
        <v>33</v>
      </c>
      <c r="F657">
        <v>119</v>
      </c>
      <c r="G657">
        <v>104</v>
      </c>
      <c r="H657">
        <v>15</v>
      </c>
      <c r="I657">
        <f>VLOOKUP(NBA_2026_Results3[[#This Row],[Home Team]], TeamRating, 2, FALSE) - VLOOKUP(NBA_2026_Results3[[#This Row],[Away Team]], TeamRating, 2, FALSE)+HomeEdge</f>
        <v>14.479687096819028</v>
      </c>
      <c r="J657">
        <f>(NBA_2026_Results3[[#This Row],[Home Margin]]-NBA_2026_Results3[[#This Row],[Home Forecast]])^2</f>
        <v>0.27072551721661192</v>
      </c>
    </row>
    <row r="658" spans="4:10" x14ac:dyDescent="0.2">
      <c r="D658" t="s">
        <v>11</v>
      </c>
      <c r="E658" t="s">
        <v>10</v>
      </c>
      <c r="F658">
        <v>120</v>
      </c>
      <c r="G658">
        <v>66</v>
      </c>
      <c r="H658">
        <v>54</v>
      </c>
      <c r="I658">
        <f>VLOOKUP(NBA_2026_Results3[[#This Row],[Home Team]], TeamRating, 2, FALSE) - VLOOKUP(NBA_2026_Results3[[#This Row],[Away Team]], TeamRating, 2, FALSE)+HomeEdge</f>
        <v>12.866690345147173</v>
      </c>
      <c r="J658">
        <f>(NBA_2026_Results3[[#This Row],[Home Margin]]-NBA_2026_Results3[[#This Row],[Home Forecast]])^2</f>
        <v>1691.9491631620085</v>
      </c>
    </row>
    <row r="659" spans="4:10" x14ac:dyDescent="0.2">
      <c r="D659" t="s">
        <v>21</v>
      </c>
      <c r="E659" t="s">
        <v>17</v>
      </c>
      <c r="F659">
        <v>122</v>
      </c>
      <c r="G659">
        <v>124</v>
      </c>
      <c r="H659">
        <v>-2</v>
      </c>
      <c r="I659">
        <f>VLOOKUP(NBA_2026_Results3[[#This Row],[Home Team]], TeamRating, 2, FALSE) - VLOOKUP(NBA_2026_Results3[[#This Row],[Away Team]], TeamRating, 2, FALSE)+HomeEdge</f>
        <v>0.56708438571898956</v>
      </c>
      <c r="J659">
        <f>(NBA_2026_Results3[[#This Row],[Home Margin]]-NBA_2026_Results3[[#This Row],[Home Forecast]])^2</f>
        <v>6.589922243402242</v>
      </c>
    </row>
    <row r="660" spans="4:10" x14ac:dyDescent="0.2">
      <c r="D660" t="s">
        <v>22</v>
      </c>
      <c r="E660" t="s">
        <v>20</v>
      </c>
      <c r="F660">
        <v>104</v>
      </c>
      <c r="G660">
        <v>112</v>
      </c>
      <c r="H660">
        <v>-8</v>
      </c>
      <c r="I660">
        <f>VLOOKUP(NBA_2026_Results3[[#This Row],[Home Team]], TeamRating, 2, FALSE) - VLOOKUP(NBA_2026_Results3[[#This Row],[Away Team]], TeamRating, 2, FALSE)+HomeEdge</f>
        <v>-9.4210605171744</v>
      </c>
      <c r="J660">
        <f>(NBA_2026_Results3[[#This Row],[Home Margin]]-NBA_2026_Results3[[#This Row],[Home Forecast]])^2</f>
        <v>2.0194129934719731</v>
      </c>
    </row>
    <row r="661" spans="4:10" x14ac:dyDescent="0.2">
      <c r="D661" t="s">
        <v>23</v>
      </c>
      <c r="E661" t="s">
        <v>5</v>
      </c>
      <c r="F661">
        <v>102</v>
      </c>
      <c r="G661">
        <v>122</v>
      </c>
      <c r="H661">
        <v>-20</v>
      </c>
      <c r="I661">
        <f>VLOOKUP(NBA_2026_Results3[[#This Row],[Home Team]], TeamRating, 2, FALSE) - VLOOKUP(NBA_2026_Results3[[#This Row],[Away Team]], TeamRating, 2, FALSE)+HomeEdge</f>
        <v>-13.658835250315484</v>
      </c>
      <c r="J661">
        <f>(NBA_2026_Results3[[#This Row],[Home Margin]]-NBA_2026_Results3[[#This Row],[Home Forecast]])^2</f>
        <v>40.210370382641493</v>
      </c>
    </row>
    <row r="662" spans="4:10" x14ac:dyDescent="0.2">
      <c r="D662" t="s">
        <v>32</v>
      </c>
      <c r="E662" t="s">
        <v>18</v>
      </c>
      <c r="F662">
        <v>109</v>
      </c>
      <c r="G662">
        <v>122</v>
      </c>
      <c r="H662">
        <v>-13</v>
      </c>
      <c r="I662">
        <f>VLOOKUP(NBA_2026_Results3[[#This Row],[Home Team]], TeamRating, 2, FALSE) - VLOOKUP(NBA_2026_Results3[[#This Row],[Away Team]], TeamRating, 2, FALSE)+HomeEdge</f>
        <v>-8.0431107584176829</v>
      </c>
      <c r="J662">
        <f>(NBA_2026_Results3[[#This Row],[Home Margin]]-NBA_2026_Results3[[#This Row],[Home Forecast]])^2</f>
        <v>24.570750953314519</v>
      </c>
    </row>
    <row r="663" spans="4:10" x14ac:dyDescent="0.2">
      <c r="D663" t="s">
        <v>13</v>
      </c>
      <c r="E663" t="s">
        <v>9</v>
      </c>
      <c r="F663">
        <v>97</v>
      </c>
      <c r="G663">
        <v>124</v>
      </c>
      <c r="H663">
        <v>-27</v>
      </c>
      <c r="I663">
        <f>VLOOKUP(NBA_2026_Results3[[#This Row],[Home Team]], TeamRating, 2, FALSE) - VLOOKUP(NBA_2026_Results3[[#This Row],[Away Team]], TeamRating, 2, FALSE)+HomeEdge</f>
        <v>0.86352146352931181</v>
      </c>
      <c r="J663">
        <f>(NBA_2026_Results3[[#This Row],[Home Margin]]-NBA_2026_Results3[[#This Row],[Home Forecast]])^2</f>
        <v>776.37582834855868</v>
      </c>
    </row>
    <row r="664" spans="4:10" x14ac:dyDescent="0.2">
      <c r="D664" t="s">
        <v>16</v>
      </c>
      <c r="E664" t="s">
        <v>6</v>
      </c>
      <c r="F664">
        <v>128</v>
      </c>
      <c r="G664">
        <v>122</v>
      </c>
      <c r="H664">
        <v>6</v>
      </c>
      <c r="I664">
        <f>VLOOKUP(NBA_2026_Results3[[#This Row],[Home Team]], TeamRating, 2, FALSE) - VLOOKUP(NBA_2026_Results3[[#This Row],[Away Team]], TeamRating, 2, FALSE)+HomeEdge</f>
        <v>-3.9460865263054936</v>
      </c>
      <c r="J664">
        <f>(NBA_2026_Results3[[#This Row],[Home Margin]]-NBA_2026_Results3[[#This Row],[Home Forecast]])^2</f>
        <v>98.924637188755668</v>
      </c>
    </row>
    <row r="665" spans="4:10" x14ac:dyDescent="0.2">
      <c r="D665" t="s">
        <v>24</v>
      </c>
      <c r="E665" t="s">
        <v>34</v>
      </c>
      <c r="F665">
        <v>97</v>
      </c>
      <c r="G665">
        <v>107</v>
      </c>
      <c r="H665">
        <v>-10</v>
      </c>
      <c r="I665">
        <f>VLOOKUP(NBA_2026_Results3[[#This Row],[Home Team]], TeamRating, 2, FALSE) - VLOOKUP(NBA_2026_Results3[[#This Row],[Away Team]], TeamRating, 2, FALSE)+HomeEdge</f>
        <v>-11.259879022177891</v>
      </c>
      <c r="J665">
        <f>(NBA_2026_Results3[[#This Row],[Home Margin]]-NBA_2026_Results3[[#This Row],[Home Forecast]])^2</f>
        <v>1.5872951505239195</v>
      </c>
    </row>
    <row r="666" spans="4:10" x14ac:dyDescent="0.2">
      <c r="D666" t="s">
        <v>27</v>
      </c>
      <c r="E666" t="s">
        <v>8</v>
      </c>
      <c r="F666">
        <v>123</v>
      </c>
      <c r="G666">
        <v>115</v>
      </c>
      <c r="H666">
        <v>8</v>
      </c>
      <c r="I666">
        <f>VLOOKUP(NBA_2026_Results3[[#This Row],[Home Team]], TeamRating, 2, FALSE) - VLOOKUP(NBA_2026_Results3[[#This Row],[Away Team]], TeamRating, 2, FALSE)+HomeEdge</f>
        <v>-4.267250696557837</v>
      </c>
      <c r="J666">
        <f>(NBA_2026_Results3[[#This Row],[Home Margin]]-NBA_2026_Results3[[#This Row],[Home Forecast]])^2</f>
        <v>150.48543965219875</v>
      </c>
    </row>
    <row r="667" spans="4:10" x14ac:dyDescent="0.2">
      <c r="D667" t="s">
        <v>30</v>
      </c>
      <c r="E667" t="s">
        <v>19</v>
      </c>
      <c r="F667">
        <v>115</v>
      </c>
      <c r="G667">
        <v>120</v>
      </c>
      <c r="H667">
        <v>-5</v>
      </c>
      <c r="I667">
        <f>VLOOKUP(NBA_2026_Results3[[#This Row],[Home Team]], TeamRating, 2, FALSE) - VLOOKUP(NBA_2026_Results3[[#This Row],[Away Team]], TeamRating, 2, FALSE)+HomeEdge</f>
        <v>8.9779983821396936</v>
      </c>
      <c r="J667">
        <f>(NBA_2026_Results3[[#This Row],[Home Margin]]-NBA_2026_Results3[[#This Row],[Home Forecast]])^2</f>
        <v>195.38443877109989</v>
      </c>
    </row>
    <row r="668" spans="4:10" x14ac:dyDescent="0.2">
      <c r="D668" t="s">
        <v>25</v>
      </c>
      <c r="E668" t="s">
        <v>28</v>
      </c>
      <c r="F668">
        <v>109</v>
      </c>
      <c r="G668">
        <v>126</v>
      </c>
      <c r="H668">
        <v>-17</v>
      </c>
      <c r="I668">
        <f>VLOOKUP(NBA_2026_Results3[[#This Row],[Home Team]], TeamRating, 2, FALSE) - VLOOKUP(NBA_2026_Results3[[#This Row],[Away Team]], TeamRating, 2, FALSE)+HomeEdge</f>
        <v>-11.017182586268838</v>
      </c>
      <c r="J668">
        <f>(NBA_2026_Results3[[#This Row],[Home Margin]]-NBA_2026_Results3[[#This Row],[Home Forecast]])^2</f>
        <v>35.794104206044828</v>
      </c>
    </row>
    <row r="669" spans="4:10" x14ac:dyDescent="0.2">
      <c r="D669" t="s">
        <v>26</v>
      </c>
      <c r="E669" t="s">
        <v>7</v>
      </c>
      <c r="F669">
        <v>112</v>
      </c>
      <c r="G669">
        <v>104</v>
      </c>
      <c r="H669">
        <v>8</v>
      </c>
      <c r="I669">
        <f>VLOOKUP(NBA_2026_Results3[[#This Row],[Home Team]], TeamRating, 2, FALSE) - VLOOKUP(NBA_2026_Results3[[#This Row],[Away Team]], TeamRating, 2, FALSE)+HomeEdge</f>
        <v>2.6081406353818268</v>
      </c>
      <c r="J669">
        <f>(NBA_2026_Results3[[#This Row],[Home Margin]]-NBA_2026_Results3[[#This Row],[Home Forecast]])^2</f>
        <v>29.07214740782069</v>
      </c>
    </row>
    <row r="670" spans="4:10" x14ac:dyDescent="0.2">
      <c r="D670" t="s">
        <v>29</v>
      </c>
      <c r="E670" t="s">
        <v>14</v>
      </c>
      <c r="F670">
        <v>127</v>
      </c>
      <c r="G670">
        <v>110</v>
      </c>
      <c r="H670">
        <v>17</v>
      </c>
      <c r="I670">
        <f>VLOOKUP(NBA_2026_Results3[[#This Row],[Home Team]], TeamRating, 2, FALSE) - VLOOKUP(NBA_2026_Results3[[#This Row],[Away Team]], TeamRating, 2, FALSE)+HomeEdge</f>
        <v>-1.4237106411855929</v>
      </c>
      <c r="J670">
        <f>(NBA_2026_Results3[[#This Row],[Home Margin]]-NBA_2026_Results3[[#This Row],[Home Forecast]])^2</f>
        <v>339.43311379013528</v>
      </c>
    </row>
    <row r="671" spans="4:10" x14ac:dyDescent="0.2">
      <c r="D671" t="s">
        <v>20</v>
      </c>
      <c r="E671" t="s">
        <v>6</v>
      </c>
      <c r="F671">
        <v>104</v>
      </c>
      <c r="G671">
        <v>111</v>
      </c>
      <c r="H671">
        <v>-7</v>
      </c>
      <c r="I671">
        <f>VLOOKUP(NBA_2026_Results3[[#This Row],[Home Team]], TeamRating, 2, FALSE) - VLOOKUP(NBA_2026_Results3[[#This Row],[Away Team]], TeamRating, 2, FALSE)+HomeEdge</f>
        <v>1.399611698294402</v>
      </c>
      <c r="J671">
        <f>(NBA_2026_Results3[[#This Row],[Home Margin]]-NBA_2026_Results3[[#This Row],[Home Forecast]])^2</f>
        <v>70.55347668212417</v>
      </c>
    </row>
    <row r="672" spans="4:10" x14ac:dyDescent="0.2">
      <c r="D672" t="s">
        <v>17</v>
      </c>
      <c r="E672" t="s">
        <v>31</v>
      </c>
      <c r="F672">
        <v>110</v>
      </c>
      <c r="G672">
        <v>103</v>
      </c>
      <c r="H672">
        <v>7</v>
      </c>
      <c r="I672">
        <f>VLOOKUP(NBA_2026_Results3[[#This Row],[Home Team]], TeamRating, 2, FALSE) - VLOOKUP(NBA_2026_Results3[[#This Row],[Away Team]], TeamRating, 2, FALSE)+HomeEdge</f>
        <v>-1.5629906776478144</v>
      </c>
      <c r="J672">
        <f>(NBA_2026_Results3[[#This Row],[Home Margin]]-NBA_2026_Results3[[#This Row],[Home Forecast]])^2</f>
        <v>73.324809345483374</v>
      </c>
    </row>
    <row r="673" spans="4:10" x14ac:dyDescent="0.2">
      <c r="D673" t="s">
        <v>10</v>
      </c>
      <c r="E673" t="s">
        <v>15</v>
      </c>
      <c r="F673">
        <v>126</v>
      </c>
      <c r="G673">
        <v>130</v>
      </c>
      <c r="H673">
        <v>-4</v>
      </c>
      <c r="I673">
        <f>VLOOKUP(NBA_2026_Results3[[#This Row],[Home Team]], TeamRating, 2, FALSE) - VLOOKUP(NBA_2026_Results3[[#This Row],[Away Team]], TeamRating, 2, FALSE)+HomeEdge</f>
        <v>-10.228571488711196</v>
      </c>
      <c r="J673">
        <f>(NBA_2026_Results3[[#This Row],[Home Margin]]-NBA_2026_Results3[[#This Row],[Home Forecast]])^2</f>
        <v>38.795102789986011</v>
      </c>
    </row>
    <row r="674" spans="4:10" x14ac:dyDescent="0.2">
      <c r="D674" t="s">
        <v>12</v>
      </c>
      <c r="E674" t="s">
        <v>32</v>
      </c>
      <c r="F674">
        <v>123</v>
      </c>
      <c r="G674">
        <v>118</v>
      </c>
      <c r="H674">
        <v>5</v>
      </c>
      <c r="I674">
        <f>VLOOKUP(NBA_2026_Results3[[#This Row],[Home Team]], TeamRating, 2, FALSE) - VLOOKUP(NBA_2026_Results3[[#This Row],[Away Team]], TeamRating, 2, FALSE)+HomeEdge</f>
        <v>13.301479135749233</v>
      </c>
      <c r="J674">
        <f>(NBA_2026_Results3[[#This Row],[Home Margin]]-NBA_2026_Results3[[#This Row],[Home Forecast]])^2</f>
        <v>68.914555841279835</v>
      </c>
    </row>
    <row r="675" spans="4:10" x14ac:dyDescent="0.2">
      <c r="D675" t="s">
        <v>21</v>
      </c>
      <c r="E675" t="s">
        <v>22</v>
      </c>
      <c r="F675">
        <v>127</v>
      </c>
      <c r="G675">
        <v>133</v>
      </c>
      <c r="H675">
        <v>-6</v>
      </c>
      <c r="I675">
        <f>VLOOKUP(NBA_2026_Results3[[#This Row],[Home Team]], TeamRating, 2, FALSE) - VLOOKUP(NBA_2026_Results3[[#This Row],[Away Team]], TeamRating, 2, FALSE)+HomeEdge</f>
        <v>5.9391101320976709</v>
      </c>
      <c r="J675">
        <f>(NBA_2026_Results3[[#This Row],[Home Margin]]-NBA_2026_Results3[[#This Row],[Home Forecast]])^2</f>
        <v>142.54235074635727</v>
      </c>
    </row>
    <row r="676" spans="4:10" x14ac:dyDescent="0.2">
      <c r="D676" t="s">
        <v>5</v>
      </c>
      <c r="E676" t="s">
        <v>33</v>
      </c>
      <c r="F676">
        <v>114</v>
      </c>
      <c r="G676">
        <v>117</v>
      </c>
      <c r="H676">
        <v>-3</v>
      </c>
      <c r="I676">
        <f>VLOOKUP(NBA_2026_Results3[[#This Row],[Home Team]], TeamRating, 2, FALSE) - VLOOKUP(NBA_2026_Results3[[#This Row],[Away Team]], TeamRating, 2, FALSE)+HomeEdge</f>
        <v>20.571436368480754</v>
      </c>
      <c r="J676">
        <f>(NBA_2026_Results3[[#This Row],[Home Margin]]-NBA_2026_Results3[[#This Row],[Home Forecast]])^2</f>
        <v>555.61261247333709</v>
      </c>
    </row>
    <row r="677" spans="4:10" x14ac:dyDescent="0.2">
      <c r="D677" t="s">
        <v>23</v>
      </c>
      <c r="E677" t="s">
        <v>34</v>
      </c>
      <c r="F677">
        <v>100</v>
      </c>
      <c r="G677">
        <v>102</v>
      </c>
      <c r="H677">
        <v>-2</v>
      </c>
      <c r="I677">
        <f>VLOOKUP(NBA_2026_Results3[[#This Row],[Home Team]], TeamRating, 2, FALSE) - VLOOKUP(NBA_2026_Results3[[#This Row],[Away Team]], TeamRating, 2, FALSE)+HomeEdge</f>
        <v>-5.3954448292776567</v>
      </c>
      <c r="J677">
        <f>(NBA_2026_Results3[[#This Row],[Home Margin]]-NBA_2026_Results3[[#This Row],[Home Forecast]])^2</f>
        <v>11.529045588668374</v>
      </c>
    </row>
    <row r="678" spans="4:10" x14ac:dyDescent="0.2">
      <c r="D678" t="s">
        <v>29</v>
      </c>
      <c r="E678" t="s">
        <v>18</v>
      </c>
      <c r="F678">
        <v>98</v>
      </c>
      <c r="G678">
        <v>110</v>
      </c>
      <c r="H678">
        <v>-12</v>
      </c>
      <c r="I678">
        <f>VLOOKUP(NBA_2026_Results3[[#This Row],[Home Team]], TeamRating, 2, FALSE) - VLOOKUP(NBA_2026_Results3[[#This Row],[Away Team]], TeamRating, 2, FALSE)+HomeEdge</f>
        <v>-0.39669322144691588</v>
      </c>
      <c r="J678">
        <f>(NBA_2026_Results3[[#This Row],[Home Margin]]-NBA_2026_Results3[[#This Row],[Home Forecast]])^2</f>
        <v>134.63672819721592</v>
      </c>
    </row>
    <row r="679" spans="4:10" x14ac:dyDescent="0.2">
      <c r="D679" t="s">
        <v>9</v>
      </c>
      <c r="E679" t="s">
        <v>24</v>
      </c>
      <c r="F679">
        <v>119</v>
      </c>
      <c r="G679">
        <v>115</v>
      </c>
      <c r="H679">
        <v>4</v>
      </c>
      <c r="I679">
        <f>VLOOKUP(NBA_2026_Results3[[#This Row],[Home Team]], TeamRating, 2, FALSE) - VLOOKUP(NBA_2026_Results3[[#This Row],[Away Team]], TeamRating, 2, FALSE)+HomeEdge</f>
        <v>12.689329483200215</v>
      </c>
      <c r="J679">
        <f>(NBA_2026_Results3[[#This Row],[Home Margin]]-NBA_2026_Results3[[#This Row],[Home Forecast]])^2</f>
        <v>75.504446867612515</v>
      </c>
    </row>
    <row r="680" spans="4:10" x14ac:dyDescent="0.2">
      <c r="D680" t="s">
        <v>16</v>
      </c>
      <c r="E680" t="s">
        <v>11</v>
      </c>
      <c r="F680">
        <v>109</v>
      </c>
      <c r="G680">
        <v>112</v>
      </c>
      <c r="H680">
        <v>-3</v>
      </c>
      <c r="I680">
        <f>VLOOKUP(NBA_2026_Results3[[#This Row],[Home Team]], TeamRating, 2, FALSE) - VLOOKUP(NBA_2026_Results3[[#This Row],[Away Team]], TeamRating, 2, FALSE)+HomeEdge</f>
        <v>-2.4464298542038039</v>
      </c>
      <c r="J680">
        <f>(NBA_2026_Results3[[#This Row],[Home Margin]]-NBA_2026_Results3[[#This Row],[Home Forecast]])^2</f>
        <v>0.30643990631682183</v>
      </c>
    </row>
    <row r="681" spans="4:10" x14ac:dyDescent="0.2">
      <c r="D681" t="s">
        <v>13</v>
      </c>
      <c r="E681" t="s">
        <v>12</v>
      </c>
      <c r="F681">
        <v>105</v>
      </c>
      <c r="G681">
        <v>119</v>
      </c>
      <c r="H681">
        <v>-14</v>
      </c>
      <c r="I681">
        <f>VLOOKUP(NBA_2026_Results3[[#This Row],[Home Team]], TeamRating, 2, FALSE) - VLOOKUP(NBA_2026_Results3[[#This Row],[Away Team]], TeamRating, 2, FALSE)+HomeEdge</f>
        <v>-1.0281570640341906</v>
      </c>
      <c r="J681">
        <f>(NBA_2026_Results3[[#This Row],[Home Margin]]-NBA_2026_Results3[[#This Row],[Home Forecast]])^2</f>
        <v>168.26870915536608</v>
      </c>
    </row>
    <row r="682" spans="4:10" x14ac:dyDescent="0.2">
      <c r="D682" t="s">
        <v>19</v>
      </c>
      <c r="E682" t="s">
        <v>15</v>
      </c>
      <c r="F682">
        <v>114</v>
      </c>
      <c r="G682">
        <v>111</v>
      </c>
      <c r="H682">
        <v>3</v>
      </c>
      <c r="I682">
        <f>VLOOKUP(NBA_2026_Results3[[#This Row],[Home Team]], TeamRating, 2, FALSE) - VLOOKUP(NBA_2026_Results3[[#This Row],[Away Team]], TeamRating, 2, FALSE)+HomeEdge</f>
        <v>-6.3855802150219807</v>
      </c>
      <c r="J682">
        <f>(NBA_2026_Results3[[#This Row],[Home Margin]]-NBA_2026_Results3[[#This Row],[Home Forecast]])^2</f>
        <v>88.089115972612063</v>
      </c>
    </row>
    <row r="683" spans="4:10" x14ac:dyDescent="0.2">
      <c r="D683" t="s">
        <v>27</v>
      </c>
      <c r="E683" t="s">
        <v>7</v>
      </c>
      <c r="F683">
        <v>110</v>
      </c>
      <c r="G683">
        <v>116</v>
      </c>
      <c r="H683">
        <v>-6</v>
      </c>
      <c r="I683">
        <f>VLOOKUP(NBA_2026_Results3[[#This Row],[Home Team]], TeamRating, 2, FALSE) - VLOOKUP(NBA_2026_Results3[[#This Row],[Away Team]], TeamRating, 2, FALSE)+HomeEdge</f>
        <v>-0.66709375698644768</v>
      </c>
      <c r="J683">
        <f>(NBA_2026_Results3[[#This Row],[Home Margin]]-NBA_2026_Results3[[#This Row],[Home Forecast]])^2</f>
        <v>28.439888996772918</v>
      </c>
    </row>
    <row r="684" spans="4:10" x14ac:dyDescent="0.2">
      <c r="D684" t="s">
        <v>25</v>
      </c>
      <c r="E684" t="s">
        <v>14</v>
      </c>
      <c r="F684">
        <v>116</v>
      </c>
      <c r="G684">
        <v>147</v>
      </c>
      <c r="H684">
        <v>-31</v>
      </c>
      <c r="I684">
        <f>VLOOKUP(NBA_2026_Results3[[#This Row],[Home Team]], TeamRating, 2, FALSE) - VLOOKUP(NBA_2026_Results3[[#This Row],[Away Team]], TeamRating, 2, FALSE)+HomeEdge</f>
        <v>-8.1931597300035186</v>
      </c>
      <c r="J684">
        <f>(NBA_2026_Results3[[#This Row],[Home Margin]]-NBA_2026_Results3[[#This Row],[Home Forecast]])^2</f>
        <v>520.15196310113322</v>
      </c>
    </row>
    <row r="685" spans="4:10" x14ac:dyDescent="0.2">
      <c r="D685" t="s">
        <v>20</v>
      </c>
      <c r="E685" t="s">
        <v>32</v>
      </c>
      <c r="F685">
        <v>139</v>
      </c>
      <c r="G685">
        <v>116</v>
      </c>
      <c r="H685">
        <v>23</v>
      </c>
      <c r="I685">
        <f>VLOOKUP(NBA_2026_Results3[[#This Row],[Home Team]], TeamRating, 2, FALSE) - VLOOKUP(NBA_2026_Results3[[#This Row],[Away Team]], TeamRating, 2, FALSE)+HomeEdge</f>
        <v>15.881983022204761</v>
      </c>
      <c r="J685">
        <f>(NBA_2026_Results3[[#This Row],[Home Margin]]-NBA_2026_Results3[[#This Row],[Home Forecast]])^2</f>
        <v>50.666165696181274</v>
      </c>
    </row>
    <row r="686" spans="4:10" x14ac:dyDescent="0.2">
      <c r="D686" t="s">
        <v>30</v>
      </c>
      <c r="E686" t="s">
        <v>8</v>
      </c>
      <c r="F686">
        <v>85</v>
      </c>
      <c r="G686">
        <v>111</v>
      </c>
      <c r="H686">
        <v>-26</v>
      </c>
      <c r="I686">
        <f>VLOOKUP(NBA_2026_Results3[[#This Row],[Home Team]], TeamRating, 2, FALSE) - VLOOKUP(NBA_2026_Results3[[#This Row],[Away Team]], TeamRating, 2, FALSE)+HomeEdge</f>
        <v>3.2587075765557634</v>
      </c>
      <c r="J686">
        <f>(NBA_2026_Results3[[#This Row],[Home Margin]]-NBA_2026_Results3[[#This Row],[Home Forecast]])^2</f>
        <v>856.07196905040166</v>
      </c>
    </row>
    <row r="687" spans="4:10" x14ac:dyDescent="0.2">
      <c r="D687" t="s">
        <v>5</v>
      </c>
      <c r="E687" t="s">
        <v>18</v>
      </c>
      <c r="F687">
        <v>101</v>
      </c>
      <c r="G687">
        <v>103</v>
      </c>
      <c r="H687">
        <v>-2</v>
      </c>
      <c r="I687">
        <f>VLOOKUP(NBA_2026_Results3[[#This Row],[Home Team]], TeamRating, 2, FALSE) - VLOOKUP(NBA_2026_Results3[[#This Row],[Away Team]], TeamRating, 2, FALSE)+HomeEdge</f>
        <v>12.008025310950366</v>
      </c>
      <c r="J687">
        <f>(NBA_2026_Results3[[#This Row],[Home Margin]]-NBA_2026_Results3[[#This Row],[Home Forecast]])^2</f>
        <v>196.2247731122261</v>
      </c>
    </row>
    <row r="688" spans="4:10" x14ac:dyDescent="0.2">
      <c r="D688" t="s">
        <v>28</v>
      </c>
      <c r="E688" t="s">
        <v>22</v>
      </c>
      <c r="F688">
        <v>95</v>
      </c>
      <c r="G688">
        <v>104</v>
      </c>
      <c r="H688">
        <v>-9</v>
      </c>
      <c r="I688">
        <f>VLOOKUP(NBA_2026_Results3[[#This Row],[Home Team]], TeamRating, 2, FALSE) - VLOOKUP(NBA_2026_Results3[[#This Row],[Away Team]], TeamRating, 2, FALSE)+HomeEdge</f>
        <v>12.662810534058572</v>
      </c>
      <c r="J688">
        <f>(NBA_2026_Results3[[#This Row],[Home Margin]]-NBA_2026_Results3[[#This Row],[Home Forecast]])^2</f>
        <v>469.27736023451905</v>
      </c>
    </row>
    <row r="689" spans="4:10" x14ac:dyDescent="0.2">
      <c r="D689" t="s">
        <v>31</v>
      </c>
      <c r="E689" t="s">
        <v>14</v>
      </c>
      <c r="F689">
        <v>102</v>
      </c>
      <c r="G689">
        <v>111</v>
      </c>
      <c r="H689">
        <v>-9</v>
      </c>
      <c r="I689">
        <f>VLOOKUP(NBA_2026_Results3[[#This Row],[Home Team]], TeamRating, 2, FALSE) - VLOOKUP(NBA_2026_Results3[[#This Row],[Away Team]], TeamRating, 2, FALSE)+HomeEdge</f>
        <v>2.5184152497336862</v>
      </c>
      <c r="J689">
        <f>(NBA_2026_Results3[[#This Row],[Home Margin]]-NBA_2026_Results3[[#This Row],[Home Forecast]])^2</f>
        <v>132.67388986529753</v>
      </c>
    </row>
    <row r="690" spans="4:10" x14ac:dyDescent="0.2">
      <c r="D690" t="s">
        <v>26</v>
      </c>
      <c r="E690" t="s">
        <v>10</v>
      </c>
      <c r="F690">
        <v>126</v>
      </c>
      <c r="G690">
        <v>89</v>
      </c>
      <c r="H690">
        <v>37</v>
      </c>
      <c r="I690">
        <f>VLOOKUP(NBA_2026_Results3[[#This Row],[Home Team]], TeamRating, 2, FALSE) - VLOOKUP(NBA_2026_Results3[[#This Row],[Away Team]], TeamRating, 2, FALSE)+HomeEdge</f>
        <v>8.5702657750835822</v>
      </c>
      <c r="J690">
        <f>(NBA_2026_Results3[[#This Row],[Home Margin]]-NBA_2026_Results3[[#This Row],[Home Forecast]])^2</f>
        <v>808.24978809938386</v>
      </c>
    </row>
    <row r="691" spans="4:10" x14ac:dyDescent="0.2">
      <c r="D691" t="s">
        <v>17</v>
      </c>
      <c r="E691" t="s">
        <v>33</v>
      </c>
      <c r="F691">
        <v>132</v>
      </c>
      <c r="G691">
        <v>116</v>
      </c>
      <c r="H691">
        <v>16</v>
      </c>
      <c r="I691">
        <f>VLOOKUP(NBA_2026_Results3[[#This Row],[Home Team]], TeamRating, 2, FALSE) - VLOOKUP(NBA_2026_Results3[[#This Row],[Away Team]], TeamRating, 2, FALSE)+HomeEdge</f>
        <v>8.7384575481881246</v>
      </c>
      <c r="J691">
        <f>(NBA_2026_Results3[[#This Row],[Home Margin]]-NBA_2026_Results3[[#This Row],[Home Forecast]])^2</f>
        <v>52.729998779466023</v>
      </c>
    </row>
    <row r="692" spans="4:10" x14ac:dyDescent="0.2">
      <c r="D692" t="s">
        <v>9</v>
      </c>
      <c r="E692" t="s">
        <v>16</v>
      </c>
      <c r="F692">
        <v>130</v>
      </c>
      <c r="G692">
        <v>93</v>
      </c>
      <c r="H692">
        <v>37</v>
      </c>
      <c r="I692">
        <f>VLOOKUP(NBA_2026_Results3[[#This Row],[Home Team]], TeamRating, 2, FALSE) - VLOOKUP(NBA_2026_Results3[[#This Row],[Away Team]], TeamRating, 2, FALSE)+HomeEdge</f>
        <v>2.6809113117476784</v>
      </c>
      <c r="J692">
        <f>(NBA_2026_Results3[[#This Row],[Home Margin]]-NBA_2026_Results3[[#This Row],[Home Forecast]])^2</f>
        <v>1177.7998483921285</v>
      </c>
    </row>
    <row r="693" spans="4:10" x14ac:dyDescent="0.2">
      <c r="D693" t="s">
        <v>12</v>
      </c>
      <c r="E693" t="s">
        <v>13</v>
      </c>
      <c r="F693">
        <v>114</v>
      </c>
      <c r="G693">
        <v>98</v>
      </c>
      <c r="H693">
        <v>16</v>
      </c>
      <c r="I693">
        <f>VLOOKUP(NBA_2026_Results3[[#This Row],[Home Team]], TeamRating, 2, FALSE) - VLOOKUP(NBA_2026_Results3[[#This Row],[Away Team]], TeamRating, 2, FALSE)+HomeEdge</f>
        <v>4.6429480663678175</v>
      </c>
      <c r="J693">
        <f>(NBA_2026_Results3[[#This Row],[Home Margin]]-NBA_2026_Results3[[#This Row],[Home Forecast]])^2</f>
        <v>128.98262862321849</v>
      </c>
    </row>
    <row r="694" spans="4:10" x14ac:dyDescent="0.2">
      <c r="D694" t="s">
        <v>15</v>
      </c>
      <c r="E694" t="s">
        <v>29</v>
      </c>
      <c r="F694">
        <v>102</v>
      </c>
      <c r="G694">
        <v>94</v>
      </c>
      <c r="H694">
        <v>8</v>
      </c>
      <c r="I694">
        <f>VLOOKUP(NBA_2026_Results3[[#This Row],[Home Team]], TeamRating, 2, FALSE) - VLOOKUP(NBA_2026_Results3[[#This Row],[Away Team]], TeamRating, 2, FALSE)+HomeEdge</f>
        <v>8.1203647619023656</v>
      </c>
      <c r="J694">
        <f>(NBA_2026_Results3[[#This Row],[Home Margin]]-NBA_2026_Results3[[#This Row],[Home Forecast]])^2</f>
        <v>1.4487675907813151E-2</v>
      </c>
    </row>
    <row r="695" spans="4:10" x14ac:dyDescent="0.2">
      <c r="D695" t="s">
        <v>19</v>
      </c>
      <c r="E695" t="s">
        <v>7</v>
      </c>
      <c r="F695">
        <v>118</v>
      </c>
      <c r="G695">
        <v>129</v>
      </c>
      <c r="H695">
        <v>-11</v>
      </c>
      <c r="I695">
        <f>VLOOKUP(NBA_2026_Results3[[#This Row],[Home Team]], TeamRating, 2, FALSE) - VLOOKUP(NBA_2026_Results3[[#This Row],[Away Team]], TeamRating, 2, FALSE)+HomeEdge</f>
        <v>-0.31173836484572792</v>
      </c>
      <c r="J695">
        <f>(NBA_2026_Results3[[#This Row],[Home Margin]]-NBA_2026_Results3[[#This Row],[Home Forecast]])^2</f>
        <v>114.23893678151069</v>
      </c>
    </row>
    <row r="696" spans="4:10" x14ac:dyDescent="0.2">
      <c r="D696" t="s">
        <v>6</v>
      </c>
      <c r="E696" t="s">
        <v>21</v>
      </c>
      <c r="F696">
        <v>108</v>
      </c>
      <c r="G696">
        <v>99</v>
      </c>
      <c r="H696">
        <v>9</v>
      </c>
      <c r="I696">
        <f>VLOOKUP(NBA_2026_Results3[[#This Row],[Home Team]], TeamRating, 2, FALSE) - VLOOKUP(NBA_2026_Results3[[#This Row],[Away Team]], TeamRating, 2, FALSE)+HomeEdge</f>
        <v>9.3119206914495809</v>
      </c>
      <c r="J696">
        <f>(NBA_2026_Results3[[#This Row],[Home Margin]]-NBA_2026_Results3[[#This Row],[Home Forecast]])^2</f>
        <v>9.7294517754384649E-2</v>
      </c>
    </row>
    <row r="697" spans="4:10" x14ac:dyDescent="0.2">
      <c r="D697" t="s">
        <v>30</v>
      </c>
      <c r="E697" t="s">
        <v>8</v>
      </c>
      <c r="F697">
        <v>108</v>
      </c>
      <c r="G697">
        <v>83</v>
      </c>
      <c r="H697">
        <v>25</v>
      </c>
      <c r="I697">
        <f>VLOOKUP(NBA_2026_Results3[[#This Row],[Home Team]], TeamRating, 2, FALSE) - VLOOKUP(NBA_2026_Results3[[#This Row],[Away Team]], TeamRating, 2, FALSE)+HomeEdge</f>
        <v>3.2587075765557634</v>
      </c>
      <c r="J697">
        <f>(NBA_2026_Results3[[#This Row],[Home Margin]]-NBA_2026_Results3[[#This Row],[Home Forecast]])^2</f>
        <v>472.68379624171371</v>
      </c>
    </row>
    <row r="698" spans="4:10" x14ac:dyDescent="0.2">
      <c r="D698" t="s">
        <v>24</v>
      </c>
      <c r="E698" t="s">
        <v>29</v>
      </c>
      <c r="F698">
        <v>115</v>
      </c>
      <c r="G698">
        <v>111</v>
      </c>
      <c r="H698">
        <v>4</v>
      </c>
      <c r="I698">
        <f>VLOOKUP(NBA_2026_Results3[[#This Row],[Home Team]], TeamRating, 2, FALSE) - VLOOKUP(NBA_2026_Results3[[#This Row],[Away Team]], TeamRating, 2, FALSE)+HomeEdge</f>
        <v>-7.1185509108184375</v>
      </c>
      <c r="J698">
        <f>(NBA_2026_Results3[[#This Row],[Home Margin]]-NBA_2026_Results3[[#This Row],[Home Forecast]])^2</f>
        <v>123.62217435646153</v>
      </c>
    </row>
    <row r="699" spans="4:10" x14ac:dyDescent="0.2">
      <c r="D699" t="s">
        <v>11</v>
      </c>
      <c r="E699" t="s">
        <v>32</v>
      </c>
      <c r="F699">
        <v>103</v>
      </c>
      <c r="G699">
        <v>87</v>
      </c>
      <c r="H699">
        <v>16</v>
      </c>
      <c r="I699">
        <f>VLOOKUP(NBA_2026_Results3[[#This Row],[Home Team]], TeamRating, 2, FALSE) - VLOOKUP(NBA_2026_Results3[[#This Row],[Away Team]], TeamRating, 2, FALSE)+HomeEdge</f>
        <v>14.790110152975483</v>
      </c>
      <c r="J699">
        <f>(NBA_2026_Results3[[#This Row],[Home Margin]]-NBA_2026_Results3[[#This Row],[Home Forecast]])^2</f>
        <v>1.4638334419330086</v>
      </c>
    </row>
    <row r="700" spans="4:10" x14ac:dyDescent="0.2">
      <c r="D700" t="s">
        <v>5</v>
      </c>
      <c r="E700" t="s">
        <v>22</v>
      </c>
      <c r="F700">
        <v>104</v>
      </c>
      <c r="G700">
        <v>95</v>
      </c>
      <c r="H700">
        <v>9</v>
      </c>
      <c r="I700">
        <f>VLOOKUP(NBA_2026_Results3[[#This Row],[Home Team]], TeamRating, 2, FALSE) - VLOOKUP(NBA_2026_Results3[[#This Row],[Away Team]], TeamRating, 2, FALSE)+HomeEdge</f>
        <v>19.012400067838126</v>
      </c>
      <c r="J700">
        <f>(NBA_2026_Results3[[#This Row],[Home Margin]]-NBA_2026_Results3[[#This Row],[Home Forecast]])^2</f>
        <v>100.2481551184449</v>
      </c>
    </row>
    <row r="701" spans="4:10" x14ac:dyDescent="0.2">
      <c r="D701" t="s">
        <v>16</v>
      </c>
      <c r="E701" t="s">
        <v>23</v>
      </c>
      <c r="F701">
        <v>139</v>
      </c>
      <c r="G701">
        <v>122</v>
      </c>
      <c r="H701">
        <v>17</v>
      </c>
      <c r="I701">
        <f>VLOOKUP(NBA_2026_Results3[[#This Row],[Home Team]], TeamRating, 2, FALSE) - VLOOKUP(NBA_2026_Results3[[#This Row],[Away Team]], TeamRating, 2, FALSE)+HomeEdge</f>
        <v>5.9513794797191171</v>
      </c>
      <c r="J701">
        <f>(NBA_2026_Results3[[#This Row],[Home Margin]]-NBA_2026_Results3[[#This Row],[Home Forecast]])^2</f>
        <v>122.07201540117181</v>
      </c>
    </row>
    <row r="702" spans="4:10" x14ac:dyDescent="0.2">
      <c r="D702" t="s">
        <v>34</v>
      </c>
      <c r="E702" t="s">
        <v>20</v>
      </c>
      <c r="F702">
        <v>107</v>
      </c>
      <c r="G702">
        <v>109</v>
      </c>
      <c r="H702">
        <v>-2</v>
      </c>
      <c r="I702">
        <f>VLOOKUP(NBA_2026_Results3[[#This Row],[Home Team]], TeamRating, 2, FALSE) - VLOOKUP(NBA_2026_Results3[[#This Row],[Away Team]], TeamRating, 2, FALSE)+HomeEdge</f>
        <v>-0.47944637154091518</v>
      </c>
      <c r="J702">
        <f>(NBA_2026_Results3[[#This Row],[Home Margin]]-NBA_2026_Results3[[#This Row],[Home Forecast]])^2</f>
        <v>2.3120833370200886</v>
      </c>
    </row>
    <row r="703" spans="4:10" x14ac:dyDescent="0.2">
      <c r="D703" t="s">
        <v>31</v>
      </c>
      <c r="E703" t="s">
        <v>10</v>
      </c>
      <c r="F703">
        <v>106</v>
      </c>
      <c r="G703">
        <v>102</v>
      </c>
      <c r="H703">
        <v>4</v>
      </c>
      <c r="I703">
        <f>VLOOKUP(NBA_2026_Results3[[#This Row],[Home Team]], TeamRating, 2, FALSE) - VLOOKUP(NBA_2026_Results3[[#This Row],[Away Team]], TeamRating, 2, FALSE)+HomeEdge</f>
        <v>11.472519121228547</v>
      </c>
      <c r="J703">
        <f>(NBA_2026_Results3[[#This Row],[Home Margin]]-NBA_2026_Results3[[#This Row],[Home Forecast]])^2</f>
        <v>55.838542017126258</v>
      </c>
    </row>
    <row r="704" spans="4:10" x14ac:dyDescent="0.2">
      <c r="D704" t="s">
        <v>25</v>
      </c>
      <c r="E704" t="s">
        <v>26</v>
      </c>
      <c r="F704">
        <v>103</v>
      </c>
      <c r="G704">
        <v>115</v>
      </c>
      <c r="H704">
        <v>-12</v>
      </c>
      <c r="I704">
        <f>VLOOKUP(NBA_2026_Results3[[#This Row],[Home Team]], TeamRating, 2, FALSE) - VLOOKUP(NBA_2026_Results3[[#This Row],[Away Team]], TeamRating, 2, FALSE)+HomeEdge</f>
        <v>-6.0019261324254245</v>
      </c>
      <c r="J704">
        <f>(NBA_2026_Results3[[#This Row],[Home Margin]]-NBA_2026_Results3[[#This Row],[Home Forecast]])^2</f>
        <v>35.976890120881023</v>
      </c>
    </row>
    <row r="705" spans="4:10" x14ac:dyDescent="0.2">
      <c r="D705" t="s">
        <v>12</v>
      </c>
      <c r="E705" t="s">
        <v>7</v>
      </c>
      <c r="F705">
        <v>129</v>
      </c>
      <c r="G705">
        <v>99</v>
      </c>
      <c r="H705">
        <v>30</v>
      </c>
      <c r="I705">
        <f>VLOOKUP(NBA_2026_Results3[[#This Row],[Home Team]], TeamRating, 2, FALSE) - VLOOKUP(NBA_2026_Results3[[#This Row],[Away Team]], TeamRating, 2, FALSE)+HomeEdge</f>
        <v>5.4159341882191683</v>
      </c>
      <c r="J705">
        <f>(NBA_2026_Results3[[#This Row],[Home Margin]]-NBA_2026_Results3[[#This Row],[Home Forecast]])^2</f>
        <v>604.37629183797117</v>
      </c>
    </row>
    <row r="706" spans="4:10" x14ac:dyDescent="0.2">
      <c r="D706" t="s">
        <v>33</v>
      </c>
      <c r="E706" t="s">
        <v>19</v>
      </c>
      <c r="F706">
        <v>113</v>
      </c>
      <c r="G706">
        <v>110</v>
      </c>
      <c r="H706">
        <v>3</v>
      </c>
      <c r="I706">
        <f>VLOOKUP(NBA_2026_Results3[[#This Row],[Home Team]], TeamRating, 2, FALSE) - VLOOKUP(NBA_2026_Results3[[#This Row],[Away Team]], TeamRating, 2, FALSE)+HomeEdge</f>
        <v>-2.6719203782966057</v>
      </c>
      <c r="J706">
        <f>(NBA_2026_Results3[[#This Row],[Home Margin]]-NBA_2026_Results3[[#This Row],[Home Forecast]])^2</f>
        <v>32.170680777736308</v>
      </c>
    </row>
    <row r="707" spans="4:10" x14ac:dyDescent="0.2">
      <c r="D707" t="s">
        <v>15</v>
      </c>
      <c r="E707" t="s">
        <v>17</v>
      </c>
      <c r="F707">
        <v>106</v>
      </c>
      <c r="G707">
        <v>117</v>
      </c>
      <c r="H707">
        <v>-11</v>
      </c>
      <c r="I707">
        <f>VLOOKUP(NBA_2026_Results3[[#This Row],[Home Team]], TeamRating, 2, FALSE) - VLOOKUP(NBA_2026_Results3[[#This Row],[Away Team]], TeamRating, 2, FALSE)+HomeEdge</f>
        <v>7.5486250497977156</v>
      </c>
      <c r="J707">
        <f>(NBA_2026_Results3[[#This Row],[Home Margin]]-NBA_2026_Results3[[#This Row],[Home Forecast]])^2</f>
        <v>344.05149123798327</v>
      </c>
    </row>
    <row r="708" spans="4:10" x14ac:dyDescent="0.2">
      <c r="D708" t="s">
        <v>14</v>
      </c>
      <c r="E708" t="s">
        <v>13</v>
      </c>
      <c r="F708">
        <v>124</v>
      </c>
      <c r="G708">
        <v>133</v>
      </c>
      <c r="H708">
        <v>-9</v>
      </c>
      <c r="I708">
        <f>VLOOKUP(NBA_2026_Results3[[#This Row],[Home Team]], TeamRating, 2, FALSE) - VLOOKUP(NBA_2026_Results3[[#This Row],[Away Team]], TeamRating, 2, FALSE)+HomeEdge</f>
        <v>4.0263881111085693</v>
      </c>
      <c r="J708">
        <f>(NBA_2026_Results3[[#This Row],[Home Margin]]-NBA_2026_Results3[[#This Row],[Home Forecast]])^2</f>
        <v>169.6867872212307</v>
      </c>
    </row>
    <row r="709" spans="4:10" x14ac:dyDescent="0.2">
      <c r="D709" t="s">
        <v>18</v>
      </c>
      <c r="E709" t="s">
        <v>11</v>
      </c>
      <c r="F709">
        <v>92</v>
      </c>
      <c r="G709">
        <v>119</v>
      </c>
      <c r="H709">
        <v>-27</v>
      </c>
      <c r="I709">
        <f>VLOOKUP(NBA_2026_Results3[[#This Row],[Home Team]], TeamRating, 2, FALSE) - VLOOKUP(NBA_2026_Results3[[#This Row],[Away Team]], TeamRating, 2, FALSE)+HomeEdge</f>
        <v>-1.3248128910573618</v>
      </c>
      <c r="J709">
        <f>(NBA_2026_Results3[[#This Row],[Home Margin]]-NBA_2026_Results3[[#This Row],[Home Forecast]])^2</f>
        <v>659.21523307921416</v>
      </c>
    </row>
    <row r="710" spans="4:10" x14ac:dyDescent="0.2">
      <c r="D710" t="s">
        <v>21</v>
      </c>
      <c r="E710" t="s">
        <v>9</v>
      </c>
      <c r="F710">
        <v>97</v>
      </c>
      <c r="G710">
        <v>112</v>
      </c>
      <c r="H710">
        <v>-15</v>
      </c>
      <c r="I710">
        <f>VLOOKUP(NBA_2026_Results3[[#This Row],[Home Team]], TeamRating, 2, FALSE) - VLOOKUP(NBA_2026_Results3[[#This Row],[Away Team]], TeamRating, 2, FALSE)+HomeEdge</f>
        <v>-0.8171634722245118</v>
      </c>
      <c r="J710">
        <f>(NBA_2026_Results3[[#This Row],[Home Margin]]-NBA_2026_Results3[[#This Row],[Home Forecast]])^2</f>
        <v>201.15285197360268</v>
      </c>
    </row>
    <row r="711" spans="4:10" x14ac:dyDescent="0.2">
      <c r="D711" t="s">
        <v>27</v>
      </c>
      <c r="E711" t="s">
        <v>30</v>
      </c>
      <c r="F711">
        <v>105</v>
      </c>
      <c r="G711">
        <v>118</v>
      </c>
      <c r="H711">
        <v>-13</v>
      </c>
      <c r="I711">
        <f>VLOOKUP(NBA_2026_Results3[[#This Row],[Home Team]], TeamRating, 2, FALSE) - VLOOKUP(NBA_2026_Results3[[#This Row],[Away Team]], TeamRating, 2, FALSE)+HomeEdge</f>
        <v>-5.7185627719467869</v>
      </c>
      <c r="J711">
        <f>(NBA_2026_Results3[[#This Row],[Home Margin]]-NBA_2026_Results3[[#This Row],[Home Forecast]])^2</f>
        <v>53.019328106079257</v>
      </c>
    </row>
    <row r="712" spans="4:10" x14ac:dyDescent="0.2">
      <c r="D712" t="s">
        <v>25</v>
      </c>
      <c r="E712" t="s">
        <v>8</v>
      </c>
      <c r="F712">
        <v>124</v>
      </c>
      <c r="G712">
        <v>140</v>
      </c>
      <c r="H712">
        <v>-16</v>
      </c>
      <c r="I712">
        <f>VLOOKUP(NBA_2026_Results3[[#This Row],[Home Team]], TeamRating, 2, FALSE) - VLOOKUP(NBA_2026_Results3[[#This Row],[Away Team]], TeamRating, 2, FALSE)+HomeEdge</f>
        <v>-8.8013379377817991</v>
      </c>
      <c r="J712">
        <f>(NBA_2026_Results3[[#This Row],[Home Margin]]-NBA_2026_Results3[[#This Row],[Home Forecast]])^2</f>
        <v>51.820735486019601</v>
      </c>
    </row>
    <row r="713" spans="4:10" x14ac:dyDescent="0.2">
      <c r="D713" t="s">
        <v>6</v>
      </c>
      <c r="E713" t="s">
        <v>28</v>
      </c>
      <c r="F713">
        <v>99</v>
      </c>
      <c r="G713">
        <v>111</v>
      </c>
      <c r="H713">
        <v>-12</v>
      </c>
      <c r="I713">
        <f>VLOOKUP(NBA_2026_Results3[[#This Row],[Home Team]], TeamRating, 2, FALSE) - VLOOKUP(NBA_2026_Results3[[#This Row],[Away Team]], TeamRating, 2, FALSE)+HomeEdge</f>
        <v>2.5882202894886808</v>
      </c>
      <c r="J713">
        <f>(NBA_2026_Results3[[#This Row],[Home Margin]]-NBA_2026_Results3[[#This Row],[Home Forecast]])^2</f>
        <v>212.81617121464924</v>
      </c>
    </row>
    <row r="714" spans="4:10" x14ac:dyDescent="0.2">
      <c r="D714" t="s">
        <v>16</v>
      </c>
      <c r="E714" t="s">
        <v>32</v>
      </c>
      <c r="F714">
        <v>113</v>
      </c>
      <c r="G714">
        <v>111</v>
      </c>
      <c r="H714">
        <v>2</v>
      </c>
      <c r="I714">
        <f>VLOOKUP(NBA_2026_Results3[[#This Row],[Home Team]], TeamRating, 2, FALSE) - VLOOKUP(NBA_2026_Results3[[#This Row],[Away Team]], TeamRating, 2, FALSE)+HomeEdge</f>
        <v>10.536284797604868</v>
      </c>
      <c r="J714">
        <f>(NBA_2026_Results3[[#This Row],[Home Margin]]-NBA_2026_Results3[[#This Row],[Home Forecast]])^2</f>
        <v>72.868158145819976</v>
      </c>
    </row>
    <row r="715" spans="4:10" x14ac:dyDescent="0.2">
      <c r="D715" t="s">
        <v>24</v>
      </c>
      <c r="E715" t="s">
        <v>23</v>
      </c>
      <c r="F715">
        <v>109</v>
      </c>
      <c r="G715">
        <v>99</v>
      </c>
      <c r="H715">
        <v>10</v>
      </c>
      <c r="I715">
        <f>VLOOKUP(NBA_2026_Results3[[#This Row],[Home Team]], TeamRating, 2, FALSE) - VLOOKUP(NBA_2026_Results3[[#This Row],[Away Team]], TeamRating, 2, FALSE)+HomeEdge</f>
        <v>-4.0570386917334202</v>
      </c>
      <c r="J715">
        <f>(NBA_2026_Results3[[#This Row],[Home Margin]]-NBA_2026_Results3[[#This Row],[Home Forecast]])^2</f>
        <v>197.60033678089044</v>
      </c>
    </row>
    <row r="716" spans="4:10" x14ac:dyDescent="0.2">
      <c r="D716" t="s">
        <v>17</v>
      </c>
      <c r="E716" t="s">
        <v>6</v>
      </c>
      <c r="F716">
        <v>86</v>
      </c>
      <c r="G716">
        <v>104</v>
      </c>
      <c r="H716">
        <v>-18</v>
      </c>
      <c r="I716">
        <f>VLOOKUP(NBA_2026_Results3[[#This Row],[Home Team]], TeamRating, 2, FALSE) - VLOOKUP(NBA_2026_Results3[[#This Row],[Away Team]], TeamRating, 2, FALSE)+HomeEdge</f>
        <v>-4.4568185736681301</v>
      </c>
      <c r="J716">
        <f>(NBA_2026_Results3[[#This Row],[Home Margin]]-NBA_2026_Results3[[#This Row],[Home Forecast]])^2</f>
        <v>183.41776314654055</v>
      </c>
    </row>
    <row r="717" spans="4:10" x14ac:dyDescent="0.2">
      <c r="D717" t="s">
        <v>19</v>
      </c>
      <c r="E717" t="s">
        <v>14</v>
      </c>
      <c r="F717">
        <v>113</v>
      </c>
      <c r="G717">
        <v>116</v>
      </c>
      <c r="H717">
        <v>-3</v>
      </c>
      <c r="I717">
        <f>VLOOKUP(NBA_2026_Results3[[#This Row],[Home Team]], TeamRating, 2, FALSE) - VLOOKUP(NBA_2026_Results3[[#This Row],[Away Team]], TeamRating, 2, FALSE)+HomeEdge</f>
        <v>-3.3037170966388336</v>
      </c>
      <c r="J717">
        <f>(NBA_2026_Results3[[#This Row],[Home Margin]]-NBA_2026_Results3[[#This Row],[Home Forecast]])^2</f>
        <v>9.2244074790722594E-2</v>
      </c>
    </row>
    <row r="718" spans="4:10" x14ac:dyDescent="0.2">
      <c r="D718" t="s">
        <v>27</v>
      </c>
      <c r="E718" t="s">
        <v>9</v>
      </c>
      <c r="F718">
        <v>121</v>
      </c>
      <c r="G718">
        <v>123</v>
      </c>
      <c r="H718">
        <v>-2</v>
      </c>
      <c r="I718">
        <f>VLOOKUP(NBA_2026_Results3[[#This Row],[Home Team]], TeamRating, 2, FALSE) - VLOOKUP(NBA_2026_Results3[[#This Row],[Away Team]], TeamRating, 2, FALSE)+HomeEdge</f>
        <v>-2.3839539164753001</v>
      </c>
      <c r="J718">
        <f>(NBA_2026_Results3[[#This Row],[Home Margin]]-NBA_2026_Results3[[#This Row],[Home Forecast]])^2</f>
        <v>0.14742060997672171</v>
      </c>
    </row>
    <row r="719" spans="4:10" x14ac:dyDescent="0.2">
      <c r="D719" t="s">
        <v>34</v>
      </c>
      <c r="E719" t="s">
        <v>10</v>
      </c>
      <c r="F719">
        <v>107</v>
      </c>
      <c r="G719">
        <v>103</v>
      </c>
      <c r="H719">
        <v>4</v>
      </c>
      <c r="I719">
        <f>VLOOKUP(NBA_2026_Results3[[#This Row],[Home Team]], TeamRating, 2, FALSE) - VLOOKUP(NBA_2026_Results3[[#This Row],[Away Team]], TeamRating, 2, FALSE)+HomeEdge</f>
        <v>11.671721341668722</v>
      </c>
      <c r="J719">
        <f>(NBA_2026_Results3[[#This Row],[Home Margin]]-NBA_2026_Results3[[#This Row],[Home Forecast]])^2</f>
        <v>58.855308344215331</v>
      </c>
    </row>
    <row r="720" spans="4:10" x14ac:dyDescent="0.2">
      <c r="D720" t="s">
        <v>31</v>
      </c>
      <c r="E720" t="s">
        <v>20</v>
      </c>
      <c r="F720">
        <v>114</v>
      </c>
      <c r="G720">
        <v>96</v>
      </c>
      <c r="H720">
        <v>18</v>
      </c>
      <c r="I720">
        <f>VLOOKUP(NBA_2026_Results3[[#This Row],[Home Team]], TeamRating, 2, FALSE) - VLOOKUP(NBA_2026_Results3[[#This Row],[Away Team]], TeamRating, 2, FALSE)+HomeEdge</f>
        <v>-0.67864859198109029</v>
      </c>
      <c r="J720">
        <f>(NBA_2026_Results3[[#This Row],[Home Margin]]-NBA_2026_Results3[[#This Row],[Home Forecast]])^2</f>
        <v>348.89191322271716</v>
      </c>
    </row>
    <row r="721" spans="4:10" x14ac:dyDescent="0.2">
      <c r="D721" t="s">
        <v>30</v>
      </c>
      <c r="E721" t="s">
        <v>5</v>
      </c>
      <c r="F721">
        <v>123</v>
      </c>
      <c r="G721">
        <v>111</v>
      </c>
      <c r="H721">
        <v>12</v>
      </c>
      <c r="I721">
        <f>VLOOKUP(NBA_2026_Results3[[#This Row],[Home Team]], TeamRating, 2, FALSE) - VLOOKUP(NBA_2026_Results3[[#This Row],[Away Team]], TeamRating, 2, FALSE)+HomeEdge</f>
        <v>-5.3067266057108293</v>
      </c>
      <c r="J721">
        <f>(NBA_2026_Results3[[#This Row],[Home Margin]]-NBA_2026_Results3[[#This Row],[Home Forecast]])^2</f>
        <v>299.52278580481908</v>
      </c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42EE7-38C8-F34C-A68F-D82920047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NBA_2026_Results</vt:lpstr>
      <vt:lpstr>NBA Solver Model</vt:lpstr>
      <vt:lpstr>HomeEdge</vt:lpstr>
      <vt:lpstr>Ratings</vt:lpstr>
      <vt:lpstr>TeamRating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2026-02-06T14:56:04Z</dcterms:created>
  <dcterms:modified xsi:type="dcterms:W3CDTF">2026-02-06T17:42:38Z</dcterms:modified>
</cp:coreProperties>
</file>