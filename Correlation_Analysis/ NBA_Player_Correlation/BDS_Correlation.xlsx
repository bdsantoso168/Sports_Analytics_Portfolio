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edictsantoso/Library/Mobile Documents/com~apple~CloudDocs/Desktop/Education /Undergraduate Universities/Suffolk University 2024 - 2026/Classes:Clubs:etc/Class Term/2026/Spring 2026/ISOM 232 - Sports Analytics in Action/Week 15/Correlation Analysis HW/"/>
    </mc:Choice>
  </mc:AlternateContent>
  <xr:revisionPtr revIDLastSave="0" documentId="13_ncr:1_{16255850-E03D-2E4C-92F6-145AC8764B9B}" xr6:coauthVersionLast="47" xr6:coauthVersionMax="47" xr10:uidLastSave="{00000000-0000-0000-0000-000000000000}"/>
  <bookViews>
    <workbookView xWindow="600" yWindow="640" windowWidth="27640" windowHeight="16220" activeTab="1" xr2:uid="{255E2E1B-DC2B-D346-A9DF-69616AFCB443}"/>
  </bookViews>
  <sheets>
    <sheet name="NBA_Correlation" sheetId="2" r:id="rId1"/>
    <sheet name="EPL_2026_Standings" sheetId="3" r:id="rId2"/>
  </sheets>
  <definedNames>
    <definedName name="ExternalData_1" localSheetId="1" hidden="1">EPL_2026_Standings!$A$1:$I$21</definedName>
    <definedName name="ExternalData_1" localSheetId="0" hidden="1">NBA_Correlation!$A$1:$Y$615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3" l="1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J2" i="3"/>
  <c r="K2" i="3" s="1"/>
  <c r="J3" i="3"/>
  <c r="K3" i="3" s="1"/>
  <c r="J4" i="3"/>
  <c r="K4" i="3" s="1"/>
  <c r="J5" i="3"/>
  <c r="K5" i="3" s="1"/>
  <c r="J6" i="3"/>
  <c r="K6" i="3" s="1"/>
  <c r="J7" i="3"/>
  <c r="K7" i="3" s="1"/>
  <c r="J8" i="3"/>
  <c r="K8" i="3" s="1"/>
  <c r="J9" i="3"/>
  <c r="K9" i="3" s="1"/>
  <c r="J10" i="3"/>
  <c r="K10" i="3" s="1"/>
  <c r="J11" i="3"/>
  <c r="K11" i="3" s="1"/>
  <c r="J12" i="3"/>
  <c r="K12" i="3" s="1"/>
  <c r="J13" i="3"/>
  <c r="K13" i="3" s="1"/>
  <c r="J14" i="3"/>
  <c r="K14" i="3" s="1"/>
  <c r="J15" i="3"/>
  <c r="K15" i="3" s="1"/>
  <c r="J16" i="3"/>
  <c r="K16" i="3" s="1"/>
  <c r="J17" i="3"/>
  <c r="K17" i="3" s="1"/>
  <c r="J18" i="3"/>
  <c r="K18" i="3" s="1"/>
  <c r="J19" i="3"/>
  <c r="K19" i="3" s="1"/>
  <c r="J20" i="3"/>
  <c r="K20" i="3" s="1"/>
  <c r="J21" i="3"/>
  <c r="K21" i="3" s="1"/>
  <c r="AD1" i="2"/>
  <c r="AD3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1018EC-B24D-AC49-B0DF-1B8269869ED3}" keepAlive="1" name="Query - EPL_2026_Standings" description="Connection to the 'EPL_2026_Standings' query in the workbook." type="5" refreshedVersion="8" background="1" saveData="1">
    <dbPr connection="Provider=Microsoft.Mashup.OleDb.1;Data Source=$Workbook$;Location=EPL_2026_Standings;Extended Properties=&quot;&quot;" command="SELECT * FROM [EPL_2026_Standings]"/>
  </connection>
  <connection id="2" xr16:uid="{A11E40AB-4BF0-2045-93A6-348431D2145D}" keepAlive="1" name="Query - NBA_2026_PerGame" description="Connection to the 'NBA_2026_PerGame' query in the workbook." type="5" refreshedVersion="8" background="1" saveData="1">
    <dbPr connection="Provider=Microsoft.Mashup.OleDb.1;Data Source=$Workbook$;Location=NBA_2026_PerGame;Extended Properties=&quot;&quot;" command="SELECT * FROM [NBA_2026_PerGame]"/>
  </connection>
</connections>
</file>

<file path=xl/sharedStrings.xml><?xml version="1.0" encoding="utf-8"?>
<sst xmlns="http://schemas.openxmlformats.org/spreadsheetml/2006/main" count="1931" uniqueCount="600">
  <si>
    <t>Player</t>
  </si>
  <si>
    <t>Pos</t>
  </si>
  <si>
    <t>Age</t>
  </si>
  <si>
    <t>Tm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</si>
  <si>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</si>
  <si>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</si>
  <si>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</si>
  <si>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</si>
  <si>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</si>
  <si>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</si>
  <si>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</si>
  <si>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</si>
  <si>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</si>
  <si>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</si>
  <si>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</si>
  <si>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</si>
  <si>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</si>
  <si>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</si>
  <si>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</si>
  <si>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</si>
  <si>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</si>
  <si>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</si>
  <si>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</si>
  <si>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</si>
  <si>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</si>
  <si>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Luka Don?i?</t>
  </si>
  <si>
    <t>PG</t>
  </si>
  <si>
    <t>LAL</t>
  </si>
  <si>
    <t>Shai Gilgeous-Alexander</t>
  </si>
  <si>
    <t>OKC</t>
  </si>
  <si>
    <t>Anthony Edwards</t>
  </si>
  <si>
    <t>SG</t>
  </si>
  <si>
    <t>MIN</t>
  </si>
  <si>
    <t>Jaylen Brown</t>
  </si>
  <si>
    <t>SF</t>
  </si>
  <si>
    <t>BOS</t>
  </si>
  <si>
    <t>Tyrese Maxey</t>
  </si>
  <si>
    <t>PHI</t>
  </si>
  <si>
    <t>Kawhi Leonard</t>
  </si>
  <si>
    <t>LAC</t>
  </si>
  <si>
    <t>Donovan Mitchell</t>
  </si>
  <si>
    <t>CLE</t>
  </si>
  <si>
    <t>Nikola Joki?</t>
  </si>
  <si>
    <t>C</t>
  </si>
  <si>
    <t>DEN</t>
  </si>
  <si>
    <t>Giannis Antetokounmpo</t>
  </si>
  <si>
    <t>MIL</t>
  </si>
  <si>
    <t>Joel Embiid</t>
  </si>
  <si>
    <t>Lauri Markkanen</t>
  </si>
  <si>
    <t>UTA</t>
  </si>
  <si>
    <t>Stephen Curry</t>
  </si>
  <si>
    <t>GSW</t>
  </si>
  <si>
    <t>Devin Booker</t>
  </si>
  <si>
    <t>PHO</t>
  </si>
  <si>
    <t>Jalen Brunson</t>
  </si>
  <si>
    <t>NYK</t>
  </si>
  <si>
    <t>Kevin Durant</t>
  </si>
  <si>
    <t>HOU</t>
  </si>
  <si>
    <t>Jamal Murray</t>
  </si>
  <si>
    <t>Victor Wembanyama</t>
  </si>
  <si>
    <t>SAS</t>
  </si>
  <si>
    <t>Deni Avdija</t>
  </si>
  <si>
    <t>POR</t>
  </si>
  <si>
    <t>Cade Cunningham</t>
  </si>
  <si>
    <t>DET</t>
  </si>
  <si>
    <t>Michael Porter Jr.</t>
  </si>
  <si>
    <t>BRK</t>
  </si>
  <si>
    <t>Pascal Siakam</t>
  </si>
  <si>
    <t>IND</t>
  </si>
  <si>
    <t>James Harden</t>
  </si>
  <si>
    <t>2TM</t>
  </si>
  <si>
    <t>Keyonte George</t>
  </si>
  <si>
    <t>Austin Reaves</t>
  </si>
  <si>
    <t>Jalen Johnson</t>
  </si>
  <si>
    <t>ATL</t>
  </si>
  <si>
    <t>Paolo Banchero</t>
  </si>
  <si>
    <t>ORL</t>
  </si>
  <si>
    <t>Jayson Tatum</t>
  </si>
  <si>
    <t>Norman Powell</t>
  </si>
  <si>
    <t>MIA</t>
  </si>
  <si>
    <t>Trey Murphy III</t>
  </si>
  <si>
    <t>NOP</t>
  </si>
  <si>
    <t>Brandon Ingram</t>
  </si>
  <si>
    <t>TOR</t>
  </si>
  <si>
    <t>Cooper Flagg</t>
  </si>
  <si>
    <t>DAL</t>
  </si>
  <si>
    <t>Julius Randle</t>
  </si>
  <si>
    <t>Shaedon Sharpe</t>
  </si>
  <si>
    <t>Tyler Herro</t>
  </si>
  <si>
    <t>LeBron James</t>
  </si>
  <si>
    <t>Zion Williamson</t>
  </si>
  <si>
    <t>Nickeil Alexander-Walker</t>
  </si>
  <si>
    <t>Franz Wagner</t>
  </si>
  <si>
    <t>Anthony Davis</t>
  </si>
  <si>
    <t>Alperen ?eng?n</t>
  </si>
  <si>
    <t>Desmond Bane</t>
  </si>
  <si>
    <t>Dillon Brooks</t>
  </si>
  <si>
    <t>Brandon Miller</t>
  </si>
  <si>
    <t>CHO</t>
  </si>
  <si>
    <t>LaMelo Ball</t>
  </si>
  <si>
    <t>Karl-Anthony Towns</t>
  </si>
  <si>
    <t>Bam Adebayo</t>
  </si>
  <si>
    <t>Jimmy Butler</t>
  </si>
  <si>
    <t>Ty Jerome</t>
  </si>
  <si>
    <t>MEM</t>
  </si>
  <si>
    <t>Jalen Duren</t>
  </si>
  <si>
    <t>Ja Morant</t>
  </si>
  <si>
    <t>Jaren Jackson Jr.</t>
  </si>
  <si>
    <t>Zach LaVine</t>
  </si>
  <si>
    <t>SAC</t>
  </si>
  <si>
    <t>RJ Barrett</t>
  </si>
  <si>
    <t>Darius Garland</t>
  </si>
  <si>
    <t>CJ McCollum</t>
  </si>
  <si>
    <t>WAS</t>
  </si>
  <si>
    <t>Jerami Grant</t>
  </si>
  <si>
    <t>Kon Knueppel</t>
  </si>
  <si>
    <t>De'Aaron Fox</t>
  </si>
  <si>
    <t>DeMar DeRozan</t>
  </si>
  <si>
    <t>Amen Thompson</t>
  </si>
  <si>
    <t>Evan Mobley</t>
  </si>
  <si>
    <t>Scottie Barnes</t>
  </si>
  <si>
    <t>Trae Young</t>
  </si>
  <si>
    <t>Jalen Green</t>
  </si>
  <si>
    <t>Saddiq Bey</t>
  </si>
  <si>
    <t>Bennedict Mathurin</t>
  </si>
  <si>
    <t>Paul George</t>
  </si>
  <si>
    <t>Kevin Porter Jr.</t>
  </si>
  <si>
    <t>Coby White</t>
  </si>
  <si>
    <t>CHI</t>
  </si>
  <si>
    <t>Ryan Rollins</t>
  </si>
  <si>
    <t>Miles Bridges</t>
  </si>
  <si>
    <t>Chet Holmgren</t>
  </si>
  <si>
    <t>Jalen Williams</t>
  </si>
  <si>
    <t>Josh Giddey</t>
  </si>
  <si>
    <t>Payton Pritchard</t>
  </si>
  <si>
    <t>Andrew Nembhard</t>
  </si>
  <si>
    <t>Kristaps Porzi??is</t>
  </si>
  <si>
    <t>Stephon Castle</t>
  </si>
  <si>
    <t>OG Anunoby</t>
  </si>
  <si>
    <t>Dejounte Murray</t>
  </si>
  <si>
    <t>Immanuel Quickley</t>
  </si>
  <si>
    <t>Grayson Allen</t>
  </si>
  <si>
    <t>Derrick White</t>
  </si>
  <si>
    <t>Matas Buzelis</t>
  </si>
  <si>
    <t>Alex Sarr</t>
  </si>
  <si>
    <t>Aaron Gordon</t>
  </si>
  <si>
    <t>Jrue Holiday</t>
  </si>
  <si>
    <t>VJ Edgecombe</t>
  </si>
  <si>
    <t>Domantas Sabonis</t>
  </si>
  <si>
    <t>Jabari Smith Jr.</t>
  </si>
  <si>
    <t>Andrew Wiggins</t>
  </si>
  <si>
    <t>Collin Sexton</t>
  </si>
  <si>
    <t>Jarrett Allen</t>
  </si>
  <si>
    <t>Jaime Jaquez Jr.</t>
  </si>
  <si>
    <t>Naji Marshall</t>
  </si>
  <si>
    <t>Onyeka Okongwu</t>
  </si>
  <si>
    <t>Russell Westbrook</t>
  </si>
  <si>
    <t>Nikola Vu?evi?</t>
  </si>
  <si>
    <t>Anthony Black</t>
  </si>
  <si>
    <t>Kennedy Chandler</t>
  </si>
  <si>
    <t>Brice Sensabaugh</t>
  </si>
  <si>
    <t>Ayo Dosunmu</t>
  </si>
  <si>
    <t>Kyshawn George</t>
  </si>
  <si>
    <t>Jaden McDaniels</t>
  </si>
  <si>
    <t>Mikal Bridges</t>
  </si>
  <si>
    <t>Peyton Watson</t>
  </si>
  <si>
    <t>Anfernee Simons</t>
  </si>
  <si>
    <t>Scoot Henderson</t>
  </si>
  <si>
    <t>Tre Jones</t>
  </si>
  <si>
    <t>Kelly Oubre Jr.</t>
  </si>
  <si>
    <t>P.J. Washington</t>
  </si>
  <si>
    <t>Ivica Zubac</t>
  </si>
  <si>
    <t>Santi Aldama</t>
  </si>
  <si>
    <t>Jeremiah Fears</t>
  </si>
  <si>
    <t>Keegan Murray</t>
  </si>
  <si>
    <t>Brandin Podziemski</t>
  </si>
  <si>
    <t>Ace Bailey</t>
  </si>
  <si>
    <t>Aaron Nesmith</t>
  </si>
  <si>
    <t>Devin Vassell</t>
  </si>
  <si>
    <t>De'Andre Hunter</t>
  </si>
  <si>
    <t>Bobby Portis</t>
  </si>
  <si>
    <t>Cedric Coward</t>
  </si>
  <si>
    <t>Zach Edey</t>
  </si>
  <si>
    <t>Ajay Mitchell</t>
  </si>
  <si>
    <t>Naz Reid</t>
  </si>
  <si>
    <t>Jalen Suggs</t>
  </si>
  <si>
    <t>Cam Thomas</t>
  </si>
  <si>
    <t>John Collins</t>
  </si>
  <si>
    <t>Tim Hardaway Jr.</t>
  </si>
  <si>
    <t>Cormac Ryan</t>
  </si>
  <si>
    <t>Reed Sheppard</t>
  </si>
  <si>
    <t>Toumani Camara</t>
  </si>
  <si>
    <t>Jordan Poole</t>
  </si>
  <si>
    <t>Quentin Grimes</t>
  </si>
  <si>
    <t>Tobias Harris</t>
  </si>
  <si>
    <t>Keldon Johnson</t>
  </si>
  <si>
    <t>Jaylon Tyson</t>
  </si>
  <si>
    <t>Kyle Kuzma</t>
  </si>
  <si>
    <t>Brandon Williams</t>
  </si>
  <si>
    <t>Sam Merrill</t>
  </si>
  <si>
    <t>Collin Gillespie</t>
  </si>
  <si>
    <t>GG Jackson II</t>
  </si>
  <si>
    <t>De'Anthony Melton</t>
  </si>
  <si>
    <t>Malik Monk</t>
  </si>
  <si>
    <t>Jaylen Wells</t>
  </si>
  <si>
    <t>Deandre Ayton</t>
  </si>
  <si>
    <t>Max Christie</t>
  </si>
  <si>
    <t>Noah Clowney</t>
  </si>
  <si>
    <t>Donte DiVincenzo</t>
  </si>
  <si>
    <t>Maxime Raynaud</t>
  </si>
  <si>
    <t>Jonathan Kuminga</t>
  </si>
  <si>
    <t>Cameron Johnson</t>
  </si>
  <si>
    <t>Tre Johnson</t>
  </si>
  <si>
    <t>Duncan Robinson</t>
  </si>
  <si>
    <t>Donovan Clingan</t>
  </si>
  <si>
    <t>Blake Hinson</t>
  </si>
  <si>
    <t>Moses Moody</t>
  </si>
  <si>
    <t>Christian Braun</t>
  </si>
  <si>
    <t>Josh Hart</t>
  </si>
  <si>
    <t>Wendell Carter Jr.</t>
  </si>
  <si>
    <t>Dyson Daniels</t>
  </si>
  <si>
    <t>Myles Turner</t>
  </si>
  <si>
    <t>Dylan Harper</t>
  </si>
  <si>
    <t>Miles McBride</t>
  </si>
  <si>
    <t>Nic Claxton</t>
  </si>
  <si>
    <t>Isaiah Collier</t>
  </si>
  <si>
    <t>Bilal Coulibaly</t>
  </si>
  <si>
    <t>Julian Reese</t>
  </si>
  <si>
    <t>Klay Thompson</t>
  </si>
  <si>
    <t>Mark Williams</t>
  </si>
  <si>
    <t>Jarace Walker</t>
  </si>
  <si>
    <t>Derik Queen</t>
  </si>
  <si>
    <t>Kyle Filipowski</t>
  </si>
  <si>
    <t>Pelle Larsson</t>
  </si>
  <si>
    <t>Scotty Pippen Jr.</t>
  </si>
  <si>
    <t>Rui Hachimura</t>
  </si>
  <si>
    <t>Max Strus</t>
  </si>
  <si>
    <t>Julian Champagnie</t>
  </si>
  <si>
    <t>Sandro Mamukelashvili</t>
  </si>
  <si>
    <t>Obi Toppin</t>
  </si>
  <si>
    <t>Isaiah Joe</t>
  </si>
  <si>
    <t>Cam Spencer</t>
  </si>
  <si>
    <t>Kel'el Ware</t>
  </si>
  <si>
    <t>Rudy Gobert</t>
  </si>
  <si>
    <t>Jusuf Nurki?</t>
  </si>
  <si>
    <t>Dennis Schr?der</t>
  </si>
  <si>
    <t>Tyler Burton</t>
  </si>
  <si>
    <t>Daeqwon Plowden</t>
  </si>
  <si>
    <t>Jakob Poeltl</t>
  </si>
  <si>
    <t>Jock Landale</t>
  </si>
  <si>
    <t>Bub Carrington</t>
  </si>
  <si>
    <t>Caleb Love</t>
  </si>
  <si>
    <t>Marvin Bagley III</t>
  </si>
  <si>
    <t>Will Riley</t>
  </si>
  <si>
    <t>Egor D?min</t>
  </si>
  <si>
    <t>Tari Eason</t>
  </si>
  <si>
    <t>A.J. Green</t>
  </si>
  <si>
    <t>Derrick Jones Jr.</t>
  </si>
  <si>
    <t>Khris Middleton</t>
  </si>
  <si>
    <t>Neemias Queta</t>
  </si>
  <si>
    <t>D'Angelo Russell</t>
  </si>
  <si>
    <t>Jalen Smith</t>
  </si>
  <si>
    <t>Ziaire Williams</t>
  </si>
  <si>
    <t>Kevin Huerter</t>
  </si>
  <si>
    <t>Olivier-Maxence Prosper</t>
  </si>
  <si>
    <t>Harrison Barnes</t>
  </si>
  <si>
    <t>Tristan Da Silva</t>
  </si>
  <si>
    <t>Jordan Miller</t>
  </si>
  <si>
    <t>Isaiah Stewart</t>
  </si>
  <si>
    <t>Ausar Thompson</t>
  </si>
  <si>
    <t>Precious Achiuwa</t>
  </si>
  <si>
    <t>Royce O'Neale</t>
  </si>
  <si>
    <t>Zach Collins</t>
  </si>
  <si>
    <t>Micah Potter</t>
  </si>
  <si>
    <t>Daniel Gafford</t>
  </si>
  <si>
    <t>Jay Huff</t>
  </si>
  <si>
    <t>Zaccharie Risacher</t>
  </si>
  <si>
    <t>Javon Small</t>
  </si>
  <si>
    <t>Aaron Wiggins</t>
  </si>
  <si>
    <t>Daniss Jenkins</t>
  </si>
  <si>
    <t>T.J. McConnell</t>
  </si>
  <si>
    <t>Svi Mykhailiuk</t>
  </si>
  <si>
    <t>Marcus Smart</t>
  </si>
  <si>
    <t>Davion Mitchell</t>
  </si>
  <si>
    <t>Isaac Okoro</t>
  </si>
  <si>
    <t>Landry Shamet</t>
  </si>
  <si>
    <t>Jaden Hardy</t>
  </si>
  <si>
    <t>Isaiah Hartenstein</t>
  </si>
  <si>
    <t>Sam Hauser</t>
  </si>
  <si>
    <t>Gui Santos</t>
  </si>
  <si>
    <t>Cam Whitmore</t>
  </si>
  <si>
    <t>Corey Kispert</t>
  </si>
  <si>
    <t>Taurean Prince</t>
  </si>
  <si>
    <t>Tristan Vukcevic</t>
  </si>
  <si>
    <t>Devin Carter</t>
  </si>
  <si>
    <t>Quenton Jackson</t>
  </si>
  <si>
    <t>Herbert Jones</t>
  </si>
  <si>
    <t>Nolan Traor?</t>
  </si>
  <si>
    <t>Danny Wolf</t>
  </si>
  <si>
    <t>Jordan Clarkson</t>
  </si>
  <si>
    <t>Jordan Goodwin</t>
  </si>
  <si>
    <t>Day'Ron Sharpe</t>
  </si>
  <si>
    <t>Cody Williams</t>
  </si>
  <si>
    <t>V?t Krej??</t>
  </si>
  <si>
    <t>Justin Champagnie</t>
  </si>
  <si>
    <t>Collin Murray-Boyles</t>
  </si>
  <si>
    <t>Jonas Valan?i?nas</t>
  </si>
  <si>
    <t>Cason Wallace</t>
  </si>
  <si>
    <t>Jaden Ivey</t>
  </si>
  <si>
    <t>Simone Fontecchio</t>
  </si>
  <si>
    <t>Bones Hyland</t>
  </si>
  <si>
    <t>Brook Lopez</t>
  </si>
  <si>
    <t>Luke Kennard</t>
  </si>
  <si>
    <t>Kentavious Caldwell-Pope</t>
  </si>
  <si>
    <t>Nique Clifford</t>
  </si>
  <si>
    <t>Luguentz Dort</t>
  </si>
  <si>
    <t>Draymond Green</t>
  </si>
  <si>
    <t>Jared McCain</t>
  </si>
  <si>
    <t>Ron Holland</t>
  </si>
  <si>
    <t>Al Horford</t>
  </si>
  <si>
    <t>Jake LaRavia</t>
  </si>
  <si>
    <t>Malachi Smith</t>
  </si>
  <si>
    <t>LJ Cryer</t>
  </si>
  <si>
    <t>Bryce McGowens</t>
  </si>
  <si>
    <t>Gary Trent Jr.</t>
  </si>
  <si>
    <t>DeJon Jarreau</t>
  </si>
  <si>
    <t>Moussa Diabat?</t>
  </si>
  <si>
    <t>Nate Williams</t>
  </si>
  <si>
    <t>Walter Clayton</t>
  </si>
  <si>
    <t>Bruce Brown</t>
  </si>
  <si>
    <t>Sharife Cooper</t>
  </si>
  <si>
    <t>Luka Garza</t>
  </si>
  <si>
    <t>Jalen Slawson</t>
  </si>
  <si>
    <t>Dominick Barlow</t>
  </si>
  <si>
    <t>Chaney Johnson</t>
  </si>
  <si>
    <t>Bez Mbeng</t>
  </si>
  <si>
    <t>Quinten Post</t>
  </si>
  <si>
    <t>Leonard Miller</t>
  </si>
  <si>
    <t>Leaky Black</t>
  </si>
  <si>
    <t>Gary Payton II</t>
  </si>
  <si>
    <t>Ousmane Dieng</t>
  </si>
  <si>
    <t>Vince Williams Jr.</t>
  </si>
  <si>
    <t>Jaxson Hayes</t>
  </si>
  <si>
    <t>Ryan Kalkbrenner</t>
  </si>
  <si>
    <t>Paul Reed</t>
  </si>
  <si>
    <t>Ja'Kobe Walter</t>
  </si>
  <si>
    <t>Josh Minott</t>
  </si>
  <si>
    <t>Taylor Hendricks</t>
  </si>
  <si>
    <t>Caris LeVert</t>
  </si>
  <si>
    <t>Cameron Payne</t>
  </si>
  <si>
    <t>Ben Saraf</t>
  </si>
  <si>
    <t>Jose Alvarado</t>
  </si>
  <si>
    <t>Kris Dunn</t>
  </si>
  <si>
    <t>Tyson Etienne</t>
  </si>
  <si>
    <t>Nikola Jovi?</t>
  </si>
  <si>
    <t>John Poulakidas</t>
  </si>
  <si>
    <t>Buddy Hield</t>
  </si>
  <si>
    <t>Terance Mann</t>
  </si>
  <si>
    <t>Kobe Sanders</t>
  </si>
  <si>
    <t>Pat Spencer</t>
  </si>
  <si>
    <t>Jaylin Williams</t>
  </si>
  <si>
    <t>MarJon Beauchamp</t>
  </si>
  <si>
    <t>Ben Sheppard</t>
  </si>
  <si>
    <t>Bogdan Bogdanovi?</t>
  </si>
  <si>
    <t>Javonte Green</t>
  </si>
  <si>
    <t>Oscar Tshiebwe</t>
  </si>
  <si>
    <t>Jamir Watkins</t>
  </si>
  <si>
    <t>Grant Williams</t>
  </si>
  <si>
    <t>Julian Strawther</t>
  </si>
  <si>
    <t>Moritz Wagner</t>
  </si>
  <si>
    <t>Patrick Williams</t>
  </si>
  <si>
    <t>Elijah Harkless</t>
  </si>
  <si>
    <t>Keon Ellis</t>
  </si>
  <si>
    <t>Isaiah Jackson</t>
  </si>
  <si>
    <t>Cole Anthony</t>
  </si>
  <si>
    <t>Kevin Love</t>
  </si>
  <si>
    <t>Jamal Shead</t>
  </si>
  <si>
    <t>Robert Williams</t>
  </si>
  <si>
    <t>Ethan Thompson</t>
  </si>
  <si>
    <t>Trendon Watford</t>
  </si>
  <si>
    <t>Jevon Carter</t>
  </si>
  <si>
    <t>Oso Ighodaro</t>
  </si>
  <si>
    <t>Luke Kornet</t>
  </si>
  <si>
    <t>Ryan Nembhard</t>
  </si>
  <si>
    <t>Drake Powell</t>
  </si>
  <si>
    <t>Will Richard</t>
  </si>
  <si>
    <t>Tyrese Martin</t>
  </si>
  <si>
    <t>Kenrich Williams</t>
  </si>
  <si>
    <t>Andre Drummond</t>
  </si>
  <si>
    <t>Jalen Wilson</t>
  </si>
  <si>
    <t>Kyle Anderson</t>
  </si>
  <si>
    <t>3TM</t>
  </si>
  <si>
    <t>Thomas Bryant</t>
  </si>
  <si>
    <t>Alex Caruso</t>
  </si>
  <si>
    <t>Kasparas Jaku?ionis</t>
  </si>
  <si>
    <t>Tidjane Sala?n</t>
  </si>
  <si>
    <t>Rob Dillingham</t>
  </si>
  <si>
    <t>Gradey Dick</t>
  </si>
  <si>
    <t>Jahmai Mashack</t>
  </si>
  <si>
    <t>Nick Smith Jr.</t>
  </si>
  <si>
    <t>Goga Bitadze</t>
  </si>
  <si>
    <t>Justin Edwards</t>
  </si>
  <si>
    <t>Nick Richards</t>
  </si>
  <si>
    <t>Steven Adams</t>
  </si>
  <si>
    <t>Kris Murray</t>
  </si>
  <si>
    <t>Matisse Thybulle</t>
  </si>
  <si>
    <t>Dean Wade</t>
  </si>
  <si>
    <t>Anthony Gill</t>
  </si>
  <si>
    <t>Karlo Matkovi?</t>
  </si>
  <si>
    <t>Yves Missi</t>
  </si>
  <si>
    <t>Mitchell Robinson</t>
  </si>
  <si>
    <t>Guerschon Yabusele</t>
  </si>
  <si>
    <t>Kobe Brown</t>
  </si>
  <si>
    <t>Ryan Dunn</t>
  </si>
  <si>
    <t>Tre Mann</t>
  </si>
  <si>
    <t>Doug McDermott</t>
  </si>
  <si>
    <t>Dru Smith</t>
  </si>
  <si>
    <t>Jamal Cain</t>
  </si>
  <si>
    <t>Jett Howard</t>
  </si>
  <si>
    <t>Spencer Jones</t>
  </si>
  <si>
    <t>Nae'Qwan Tomlin</t>
  </si>
  <si>
    <t>Mac McClung</t>
  </si>
  <si>
    <t>Dylan Cardwell</t>
  </si>
  <si>
    <t>Killian Hayes</t>
  </si>
  <si>
    <t>Aaron Holiday</t>
  </si>
  <si>
    <t>Pete Nance</t>
  </si>
  <si>
    <t>Branden Carlson</t>
  </si>
  <si>
    <t>Sion James</t>
  </si>
  <si>
    <t>Jordan Walsh</t>
  </si>
  <si>
    <t>Jamaree Bouyea</t>
  </si>
  <si>
    <t>Sidy Cissoko</t>
  </si>
  <si>
    <t>Drew Eubanks</t>
  </si>
  <si>
    <t>E.J. Liddell</t>
  </si>
  <si>
    <t>Garrison Mathews</t>
  </si>
  <si>
    <t>Marcus Sasser</t>
  </si>
  <si>
    <t>Baylor Scheierman</t>
  </si>
  <si>
    <t>Ochai Agbaji</t>
  </si>
  <si>
    <t>Johnny Furphy</t>
  </si>
  <si>
    <t>Jalen Pickett</t>
  </si>
  <si>
    <t>Tyrese Proctor</t>
  </si>
  <si>
    <t>Terrence Shannon Jr.</t>
  </si>
  <si>
    <t>Charles Bassey</t>
  </si>
  <si>
    <t>4TM</t>
  </si>
  <si>
    <t>Rayan Rupert</t>
  </si>
  <si>
    <t>Adem Bona</t>
  </si>
  <si>
    <t>Jordan Hawkins</t>
  </si>
  <si>
    <t>Asa Newell</t>
  </si>
  <si>
    <t>Blake Wesley</t>
  </si>
  <si>
    <t>Jericho Sims</t>
  </si>
  <si>
    <t>KJ Simpson</t>
  </si>
  <si>
    <t>Lonzo Ball</t>
  </si>
  <si>
    <t>Malaki Branham</t>
  </si>
  <si>
    <t>Jeremiah Robinson-Earl</t>
  </si>
  <si>
    <t>PJ Hall</t>
  </si>
  <si>
    <t>Mike Conley</t>
  </si>
  <si>
    <t>Josh Okogie</t>
  </si>
  <si>
    <t>Taelon Peter</t>
  </si>
  <si>
    <t>Craig Porter Jr.</t>
  </si>
  <si>
    <t>John Konchar</t>
  </si>
  <si>
    <t>Gabe Vincent</t>
  </si>
  <si>
    <t>Mouhamed Gueye</t>
  </si>
  <si>
    <t>DeAndre Jordan</t>
  </si>
  <si>
    <t>Tyler Kolek</t>
  </si>
  <si>
    <t>Liam McNeeley</t>
  </si>
  <si>
    <t>Jase Richardson</t>
  </si>
  <si>
    <t>Jarred Vanderbilt</t>
  </si>
  <si>
    <t>Josh Green</t>
  </si>
  <si>
    <t>Kam Jones</t>
  </si>
  <si>
    <t>Yanic Konan Niederh?user</t>
  </si>
  <si>
    <t>Jabari Walker</t>
  </si>
  <si>
    <t>Carter Bryant</t>
  </si>
  <si>
    <t>Moussa Cisse</t>
  </si>
  <si>
    <t>Rasheer Fleming</t>
  </si>
  <si>
    <t>RayJ Dennis</t>
  </si>
  <si>
    <t>Tony Bradley</t>
  </si>
  <si>
    <t>Jaylen Clark</t>
  </si>
  <si>
    <t>Keshad Johnson</t>
  </si>
  <si>
    <t>Dalton Knecht</t>
  </si>
  <si>
    <t>A.J. Lawson</t>
  </si>
  <si>
    <t>Micah Peavy</t>
  </si>
  <si>
    <t>Nicolas Batum</t>
  </si>
  <si>
    <t>Hugo Gonz?lez</t>
  </si>
  <si>
    <t>DaRon Holmes</t>
  </si>
  <si>
    <t>Caleb Martin</t>
  </si>
  <si>
    <t>Noah Penda</t>
  </si>
  <si>
    <t>Dalen Terry</t>
  </si>
  <si>
    <t>Myron Gardner</t>
  </si>
  <si>
    <t>Larry Nance Jr.</t>
  </si>
  <si>
    <t>Zeke Nnaji</t>
  </si>
  <si>
    <t>Tolu Smith</t>
  </si>
  <si>
    <t>Clint Capela</t>
  </si>
  <si>
    <t>Mohamed Diawara</t>
  </si>
  <si>
    <t>Trayce Jackson-Davis</t>
  </si>
  <si>
    <t>Jeremy Sochan</t>
  </si>
  <si>
    <t>Joan Beringer</t>
  </si>
  <si>
    <t>Ron Harper Jr.</t>
  </si>
  <si>
    <t>Drew Timme</t>
  </si>
  <si>
    <t>Keaton Wallace</t>
  </si>
  <si>
    <t>Dwight Powell</t>
  </si>
  <si>
    <t>Tyler Smith</t>
  </si>
  <si>
    <t>Jamison Battle</t>
  </si>
  <si>
    <t>Dorian Finney-Smith</t>
  </si>
  <si>
    <t>Kelly Olynyk</t>
  </si>
  <si>
    <t>Miles Kelly</t>
  </si>
  <si>
    <t>Malevy Leons</t>
  </si>
  <si>
    <t>AJ Johnson</t>
  </si>
  <si>
    <t>Amir Coffey</t>
  </si>
  <si>
    <t>Tyus Jones</t>
  </si>
  <si>
    <t>Kobe Bufkin</t>
  </si>
  <si>
    <t>David Jones Garc?a</t>
  </si>
  <si>
    <t>Chris Paul</t>
  </si>
  <si>
    <t>Duop Reath</t>
  </si>
  <si>
    <t>Cam Christie</t>
  </si>
  <si>
    <t>Yuki Kawamura</t>
  </si>
  <si>
    <t>Kevon Looney</t>
  </si>
  <si>
    <t>Christian Koloko</t>
  </si>
  <si>
    <t>Gary Harris</t>
  </si>
  <si>
    <t>Bronny James</t>
  </si>
  <si>
    <t>Khaman Maluach</t>
  </si>
  <si>
    <t>Antonio Reeves</t>
  </si>
  <si>
    <t>Julian Phillips</t>
  </si>
  <si>
    <t>Pat Connaughton</t>
  </si>
  <si>
    <t>Jonathan Isaac</t>
  </si>
  <si>
    <t>Jae'Sean Tate</t>
  </si>
  <si>
    <t>Chaz Lanier</t>
  </si>
  <si>
    <t>Lindy Waters III</t>
  </si>
  <si>
    <t>Koby Brea</t>
  </si>
  <si>
    <t>Yang Hansen</t>
  </si>
  <si>
    <t>Caleb Houstan</t>
  </si>
  <si>
    <t>Luke Travers</t>
  </si>
  <si>
    <t>JD Davison</t>
  </si>
  <si>
    <t>Andre Jackson Jr.</t>
  </si>
  <si>
    <t>Alijah Martin</t>
  </si>
  <si>
    <t>Lachlan Olbrich</t>
  </si>
  <si>
    <t>Hunter Tyson</t>
  </si>
  <si>
    <t>Chris Youngblood</t>
  </si>
  <si>
    <t>Jeff Green</t>
  </si>
  <si>
    <t>Ariel Hukporti</t>
  </si>
  <si>
    <t>Johnny Juzang</t>
  </si>
  <si>
    <t>Maxi Kleber</t>
  </si>
  <si>
    <t>Jordan McLaughlin</t>
  </si>
  <si>
    <t>Bobi Klintman</t>
  </si>
  <si>
    <t>Isaiah Livers</t>
  </si>
  <si>
    <t>Kevin McCullar Jr.</t>
  </si>
  <si>
    <t>Jahmir Young</t>
  </si>
  <si>
    <t>Brooks Barnhizer</t>
  </si>
  <si>
    <t>Adou Thiero</t>
  </si>
  <si>
    <t>Xavier Tillman Sr.</t>
  </si>
  <si>
    <t>Mason Plumlee</t>
  </si>
  <si>
    <t>Jonathan Mogbo</t>
  </si>
  <si>
    <t>Isaiah Crawford</t>
  </si>
  <si>
    <t>Pac?me Dadiet</t>
  </si>
  <si>
    <t>Nigel Hayes-Davis</t>
  </si>
  <si>
    <t>Kyle Lowry</t>
  </si>
  <si>
    <t>TyTy Washington Jr.</t>
  </si>
  <si>
    <t>Amari Williams</t>
  </si>
  <si>
    <t>Thanasis Antetokounmpo</t>
  </si>
  <si>
    <t>Javonte Cooke</t>
  </si>
  <si>
    <t>Joe Ingles</t>
  </si>
  <si>
    <t>Bismack Biyombo</t>
  </si>
  <si>
    <t>Johni Broome</t>
  </si>
  <si>
    <t>Trey Jemison</t>
  </si>
  <si>
    <t>Garrett Temple</t>
  </si>
  <si>
    <t>Max Shulga</t>
  </si>
  <si>
    <t>Correlation Between AST and TOV</t>
  </si>
  <si>
    <t>Correlation Between FGA and PTS</t>
  </si>
  <si>
    <t>Team</t>
  </si>
  <si>
    <t>W</t>
  </si>
  <si>
    <t>D</t>
  </si>
  <si>
    <t>L</t>
  </si>
  <si>
    <t>GF</t>
  </si>
  <si>
    <t>GA</t>
  </si>
  <si>
    <t>GD</t>
  </si>
  <si>
    <t>Pts</t>
  </si>
  <si>
    <t>Arsenal</t>
  </si>
  <si>
    <t>Manchester City</t>
  </si>
  <si>
    <t>Manchester United</t>
  </si>
  <si>
    <t>Aston Villa</t>
  </si>
  <si>
    <t>Liverpool</t>
  </si>
  <si>
    <t>Chelsea</t>
  </si>
  <si>
    <t>Brentford</t>
  </si>
  <si>
    <t>Everton</t>
  </si>
  <si>
    <t>Brighton &amp; Hove Albion</t>
  </si>
  <si>
    <t>Sunderland</t>
  </si>
  <si>
    <t>AFC Bournemouth</t>
  </si>
  <si>
    <t>Fulham</t>
  </si>
  <si>
    <t>Crystal Palace</t>
  </si>
  <si>
    <t>Newcastle United</t>
  </si>
  <si>
    <t>Leeds United</t>
  </si>
  <si>
    <t>Nottingham Forest</t>
  </si>
  <si>
    <t>West Ham United</t>
  </si>
  <si>
    <t>Tottenham Hotspur</t>
  </si>
  <si>
    <t>Burnley</t>
  </si>
  <si>
    <t>Wolverhampton Wanderers</t>
  </si>
  <si>
    <t>Scoring Ratio</t>
  </si>
  <si>
    <t>Pyth Win% - Method 1 (R method)</t>
  </si>
  <si>
    <t>Pyth Win% - Method 2 (GF/GA method)</t>
  </si>
  <si>
    <t>Actual Win (%)</t>
  </si>
  <si>
    <t>Error</t>
  </si>
  <si>
    <t>Total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</si>
</sst>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172" fontId="0" fillId="0" borderId="0" xfId="0" applyNumberFormat="1" applyFill="1" applyBorder="1" applyAlignment="1"/>
    <xf numFmtId="172" fontId="0" fillId="0" borderId="1" xfId="0" applyNumberFormat="1" applyFill="1" applyBorder="1" applyAlignment="1"/>
  </cellXfs>
  <cellStyles count="1">
    <cellStyle name="Normal" xfId="0" builtinId="0"/>
  </cellStyles>
  <dxfs count="4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baseline="0"/>
              <a:t>Free Throw Attempts vs Points Per Game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NBA_Correlation!$Y$1</c:f>
              <c:strCache>
                <c:ptCount val="1"/>
                <c:pt idx="0">
                  <c:v>PTS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961860092239778E-2"/>
                  <c:y val="-0.223121133295838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NBA_Correlation!$I$2:$I$615</c:f>
              <c:numCache>
                <c:formatCode>General</c:formatCode>
                <c:ptCount val="614"/>
                <c:pt idx="0">
                  <c:v>22.8</c:v>
                </c:pt>
                <c:pt idx="1">
                  <c:v>19.399999999999999</c:v>
                </c:pt>
                <c:pt idx="2">
                  <c:v>20.2</c:v>
                </c:pt>
                <c:pt idx="3">
                  <c:v>21.7</c:v>
                </c:pt>
                <c:pt idx="4">
                  <c:v>21.6</c:v>
                </c:pt>
                <c:pt idx="5">
                  <c:v>19.399999999999999</c:v>
                </c:pt>
                <c:pt idx="6">
                  <c:v>20</c:v>
                </c:pt>
                <c:pt idx="7">
                  <c:v>17.5</c:v>
                </c:pt>
                <c:pt idx="8">
                  <c:v>16.600000000000001</c:v>
                </c:pt>
                <c:pt idx="9">
                  <c:v>18.3</c:v>
                </c:pt>
                <c:pt idx="10">
                  <c:v>19.2</c:v>
                </c:pt>
                <c:pt idx="11">
                  <c:v>18.7</c:v>
                </c:pt>
                <c:pt idx="12">
                  <c:v>18.7</c:v>
                </c:pt>
                <c:pt idx="13">
                  <c:v>19.899999999999999</c:v>
                </c:pt>
                <c:pt idx="14">
                  <c:v>17.600000000000001</c:v>
                </c:pt>
                <c:pt idx="15">
                  <c:v>18.100000000000001</c:v>
                </c:pt>
                <c:pt idx="16">
                  <c:v>16.899999999999999</c:v>
                </c:pt>
                <c:pt idx="17">
                  <c:v>16.100000000000001</c:v>
                </c:pt>
                <c:pt idx="18">
                  <c:v>18.7</c:v>
                </c:pt>
                <c:pt idx="19">
                  <c:v>18.399999999999999</c:v>
                </c:pt>
                <c:pt idx="20">
                  <c:v>18.600000000000001</c:v>
                </c:pt>
                <c:pt idx="21">
                  <c:v>16</c:v>
                </c:pt>
                <c:pt idx="22">
                  <c:v>17.5</c:v>
                </c:pt>
                <c:pt idx="23">
                  <c:v>13.5</c:v>
                </c:pt>
                <c:pt idx="24">
                  <c:v>16.3</c:v>
                </c:pt>
                <c:pt idx="25">
                  <c:v>14.9</c:v>
                </c:pt>
                <c:pt idx="26">
                  <c:v>17.100000000000001</c:v>
                </c:pt>
                <c:pt idx="27">
                  <c:v>15.9</c:v>
                </c:pt>
                <c:pt idx="28">
                  <c:v>17.899999999999999</c:v>
                </c:pt>
                <c:pt idx="29">
                  <c:v>15.4</c:v>
                </c:pt>
                <c:pt idx="30">
                  <c:v>15.9</c:v>
                </c:pt>
                <c:pt idx="31">
                  <c:v>16.8</c:v>
                </c:pt>
                <c:pt idx="32">
                  <c:v>17.2</c:v>
                </c:pt>
                <c:pt idx="33">
                  <c:v>15.3</c:v>
                </c:pt>
                <c:pt idx="34">
                  <c:v>17.5</c:v>
                </c:pt>
                <c:pt idx="35">
                  <c:v>15.8</c:v>
                </c:pt>
                <c:pt idx="36">
                  <c:v>15.3</c:v>
                </c:pt>
                <c:pt idx="37">
                  <c:v>13</c:v>
                </c:pt>
                <c:pt idx="38">
                  <c:v>15.3</c:v>
                </c:pt>
                <c:pt idx="39">
                  <c:v>14.8</c:v>
                </c:pt>
                <c:pt idx="40">
                  <c:v>16.7</c:v>
                </c:pt>
                <c:pt idx="41">
                  <c:v>15.6</c:v>
                </c:pt>
                <c:pt idx="42">
                  <c:v>14.8</c:v>
                </c:pt>
                <c:pt idx="43">
                  <c:v>17.100000000000001</c:v>
                </c:pt>
                <c:pt idx="44">
                  <c:v>16.100000000000001</c:v>
                </c:pt>
                <c:pt idx="45">
                  <c:v>17.3</c:v>
                </c:pt>
                <c:pt idx="46">
                  <c:v>13.8</c:v>
                </c:pt>
                <c:pt idx="47">
                  <c:v>15.7</c:v>
                </c:pt>
                <c:pt idx="48">
                  <c:v>12.2</c:v>
                </c:pt>
                <c:pt idx="49">
                  <c:v>14.3</c:v>
                </c:pt>
                <c:pt idx="50">
                  <c:v>11.5</c:v>
                </c:pt>
                <c:pt idx="51">
                  <c:v>16.100000000000001</c:v>
                </c:pt>
                <c:pt idx="52">
                  <c:v>15</c:v>
                </c:pt>
                <c:pt idx="53">
                  <c:v>14.9</c:v>
                </c:pt>
                <c:pt idx="54">
                  <c:v>14</c:v>
                </c:pt>
                <c:pt idx="55">
                  <c:v>14.3</c:v>
                </c:pt>
                <c:pt idx="56">
                  <c:v>14.9</c:v>
                </c:pt>
                <c:pt idx="57">
                  <c:v>14.5</c:v>
                </c:pt>
                <c:pt idx="58">
                  <c:v>15.4</c:v>
                </c:pt>
                <c:pt idx="59">
                  <c:v>15.2</c:v>
                </c:pt>
                <c:pt idx="60">
                  <c:v>15.1</c:v>
                </c:pt>
                <c:pt idx="61">
                  <c:v>15.2</c:v>
                </c:pt>
                <c:pt idx="62">
                  <c:v>12.8</c:v>
                </c:pt>
                <c:pt idx="63">
                  <c:v>13.4</c:v>
                </c:pt>
                <c:pt idx="64">
                  <c:v>14.5</c:v>
                </c:pt>
                <c:pt idx="65">
                  <c:v>13.1</c:v>
                </c:pt>
                <c:pt idx="66">
                  <c:v>13.2</c:v>
                </c:pt>
                <c:pt idx="67">
                  <c:v>13.2</c:v>
                </c:pt>
                <c:pt idx="68">
                  <c:v>14.1</c:v>
                </c:pt>
                <c:pt idx="69">
                  <c:v>11.8</c:v>
                </c:pt>
                <c:pt idx="70">
                  <c:v>13.5</c:v>
                </c:pt>
                <c:pt idx="71">
                  <c:v>16</c:v>
                </c:pt>
                <c:pt idx="72">
                  <c:v>13.4</c:v>
                </c:pt>
                <c:pt idx="73">
                  <c:v>12.5</c:v>
                </c:pt>
                <c:pt idx="74">
                  <c:v>12.8</c:v>
                </c:pt>
                <c:pt idx="75">
                  <c:v>12.1</c:v>
                </c:pt>
                <c:pt idx="76">
                  <c:v>14.1</c:v>
                </c:pt>
                <c:pt idx="77">
                  <c:v>13.5</c:v>
                </c:pt>
                <c:pt idx="78">
                  <c:v>12.5</c:v>
                </c:pt>
                <c:pt idx="79">
                  <c:v>13.6</c:v>
                </c:pt>
                <c:pt idx="80">
                  <c:v>11</c:v>
                </c:pt>
                <c:pt idx="81">
                  <c:v>13.9</c:v>
                </c:pt>
                <c:pt idx="82">
                  <c:v>13.6</c:v>
                </c:pt>
                <c:pt idx="83">
                  <c:v>11.3</c:v>
                </c:pt>
                <c:pt idx="84">
                  <c:v>13.5</c:v>
                </c:pt>
                <c:pt idx="85">
                  <c:v>13.3</c:v>
                </c:pt>
                <c:pt idx="86">
                  <c:v>13.8</c:v>
                </c:pt>
                <c:pt idx="87">
                  <c:v>13.2</c:v>
                </c:pt>
                <c:pt idx="88">
                  <c:v>12.3</c:v>
                </c:pt>
                <c:pt idx="89">
                  <c:v>12.4</c:v>
                </c:pt>
                <c:pt idx="90">
                  <c:v>12.1</c:v>
                </c:pt>
                <c:pt idx="91">
                  <c:v>12</c:v>
                </c:pt>
                <c:pt idx="92">
                  <c:v>12</c:v>
                </c:pt>
                <c:pt idx="93">
                  <c:v>13</c:v>
                </c:pt>
                <c:pt idx="94">
                  <c:v>13</c:v>
                </c:pt>
                <c:pt idx="95">
                  <c:v>13.1</c:v>
                </c:pt>
                <c:pt idx="96">
                  <c:v>14.4</c:v>
                </c:pt>
                <c:pt idx="97">
                  <c:v>12.5</c:v>
                </c:pt>
                <c:pt idx="98">
                  <c:v>13.7</c:v>
                </c:pt>
                <c:pt idx="99">
                  <c:v>11.1</c:v>
                </c:pt>
                <c:pt idx="100">
                  <c:v>13.3</c:v>
                </c:pt>
                <c:pt idx="101">
                  <c:v>13.8</c:v>
                </c:pt>
                <c:pt idx="102">
                  <c:v>11.6</c:v>
                </c:pt>
                <c:pt idx="103">
                  <c:v>12.6</c:v>
                </c:pt>
                <c:pt idx="104">
                  <c:v>12.1</c:v>
                </c:pt>
                <c:pt idx="105">
                  <c:v>10.8</c:v>
                </c:pt>
                <c:pt idx="106">
                  <c:v>9.9</c:v>
                </c:pt>
                <c:pt idx="107">
                  <c:v>12.5</c:v>
                </c:pt>
                <c:pt idx="108">
                  <c:v>9.4</c:v>
                </c:pt>
                <c:pt idx="109">
                  <c:v>12.1</c:v>
                </c:pt>
                <c:pt idx="110">
                  <c:v>11.1</c:v>
                </c:pt>
                <c:pt idx="111">
                  <c:v>11.6</c:v>
                </c:pt>
                <c:pt idx="112">
                  <c:v>13.1</c:v>
                </c:pt>
                <c:pt idx="113">
                  <c:v>12.5</c:v>
                </c:pt>
                <c:pt idx="114">
                  <c:v>13.8</c:v>
                </c:pt>
                <c:pt idx="115">
                  <c:v>8.6999999999999993</c:v>
                </c:pt>
                <c:pt idx="116">
                  <c:v>12.1</c:v>
                </c:pt>
                <c:pt idx="117">
                  <c:v>12.5</c:v>
                </c:pt>
                <c:pt idx="118">
                  <c:v>11.4</c:v>
                </c:pt>
                <c:pt idx="119">
                  <c:v>10.8</c:v>
                </c:pt>
                <c:pt idx="120">
                  <c:v>10.8</c:v>
                </c:pt>
                <c:pt idx="121">
                  <c:v>10.9</c:v>
                </c:pt>
                <c:pt idx="122">
                  <c:v>12</c:v>
                </c:pt>
                <c:pt idx="123">
                  <c:v>11.1</c:v>
                </c:pt>
                <c:pt idx="124">
                  <c:v>11.9</c:v>
                </c:pt>
                <c:pt idx="125">
                  <c:v>10.8</c:v>
                </c:pt>
                <c:pt idx="126">
                  <c:v>11.8</c:v>
                </c:pt>
                <c:pt idx="127">
                  <c:v>11.6</c:v>
                </c:pt>
                <c:pt idx="128">
                  <c:v>11.4</c:v>
                </c:pt>
                <c:pt idx="129">
                  <c:v>9.5</c:v>
                </c:pt>
                <c:pt idx="130">
                  <c:v>10.9</c:v>
                </c:pt>
                <c:pt idx="131">
                  <c:v>11.8</c:v>
                </c:pt>
                <c:pt idx="132">
                  <c:v>10</c:v>
                </c:pt>
                <c:pt idx="133">
                  <c:v>10</c:v>
                </c:pt>
                <c:pt idx="134">
                  <c:v>11.1</c:v>
                </c:pt>
                <c:pt idx="135">
                  <c:v>12.1</c:v>
                </c:pt>
                <c:pt idx="136">
                  <c:v>13</c:v>
                </c:pt>
                <c:pt idx="137">
                  <c:v>10.6</c:v>
                </c:pt>
                <c:pt idx="138">
                  <c:v>12.3</c:v>
                </c:pt>
                <c:pt idx="139">
                  <c:v>11.4</c:v>
                </c:pt>
                <c:pt idx="140">
                  <c:v>11.2</c:v>
                </c:pt>
                <c:pt idx="141">
                  <c:v>11.1</c:v>
                </c:pt>
                <c:pt idx="142">
                  <c:v>11.2</c:v>
                </c:pt>
                <c:pt idx="143">
                  <c:v>11.2</c:v>
                </c:pt>
                <c:pt idx="144">
                  <c:v>10.5</c:v>
                </c:pt>
                <c:pt idx="145">
                  <c:v>8.9</c:v>
                </c:pt>
                <c:pt idx="146">
                  <c:v>10.4</c:v>
                </c:pt>
                <c:pt idx="147">
                  <c:v>11.3</c:v>
                </c:pt>
                <c:pt idx="148">
                  <c:v>11.3</c:v>
                </c:pt>
                <c:pt idx="149">
                  <c:v>11</c:v>
                </c:pt>
                <c:pt idx="150">
                  <c:v>12.8</c:v>
                </c:pt>
                <c:pt idx="151">
                  <c:v>8.5</c:v>
                </c:pt>
                <c:pt idx="152">
                  <c:v>9.5</c:v>
                </c:pt>
                <c:pt idx="153">
                  <c:v>9.6999999999999993</c:v>
                </c:pt>
                <c:pt idx="154">
                  <c:v>8.1999999999999993</c:v>
                </c:pt>
                <c:pt idx="155">
                  <c:v>11.5</c:v>
                </c:pt>
                <c:pt idx="156">
                  <c:v>10.8</c:v>
                </c:pt>
                <c:pt idx="157">
                  <c:v>11.4</c:v>
                </c:pt>
                <c:pt idx="158">
                  <c:v>10</c:v>
                </c:pt>
                <c:pt idx="159">
                  <c:v>10.4</c:v>
                </c:pt>
                <c:pt idx="160">
                  <c:v>9.6999999999999993</c:v>
                </c:pt>
                <c:pt idx="161">
                  <c:v>10.1</c:v>
                </c:pt>
                <c:pt idx="162">
                  <c:v>10</c:v>
                </c:pt>
                <c:pt idx="163">
                  <c:v>9.3000000000000007</c:v>
                </c:pt>
                <c:pt idx="164">
                  <c:v>9.3000000000000007</c:v>
                </c:pt>
                <c:pt idx="165">
                  <c:v>10.5</c:v>
                </c:pt>
                <c:pt idx="166">
                  <c:v>9.3000000000000007</c:v>
                </c:pt>
                <c:pt idx="167">
                  <c:v>10.9</c:v>
                </c:pt>
                <c:pt idx="168">
                  <c:v>10.199999999999999</c:v>
                </c:pt>
                <c:pt idx="169">
                  <c:v>10.1</c:v>
                </c:pt>
                <c:pt idx="170">
                  <c:v>8.3000000000000007</c:v>
                </c:pt>
                <c:pt idx="171">
                  <c:v>9.4</c:v>
                </c:pt>
                <c:pt idx="172">
                  <c:v>9.6</c:v>
                </c:pt>
                <c:pt idx="173">
                  <c:v>10.199999999999999</c:v>
                </c:pt>
                <c:pt idx="174">
                  <c:v>9.1</c:v>
                </c:pt>
                <c:pt idx="175">
                  <c:v>9.4</c:v>
                </c:pt>
                <c:pt idx="176">
                  <c:v>9.6999999999999993</c:v>
                </c:pt>
                <c:pt idx="177">
                  <c:v>9.1</c:v>
                </c:pt>
                <c:pt idx="178">
                  <c:v>8.8000000000000007</c:v>
                </c:pt>
                <c:pt idx="179">
                  <c:v>10.8</c:v>
                </c:pt>
                <c:pt idx="180">
                  <c:v>9.1</c:v>
                </c:pt>
                <c:pt idx="181">
                  <c:v>8.9</c:v>
                </c:pt>
                <c:pt idx="182">
                  <c:v>7.9</c:v>
                </c:pt>
                <c:pt idx="183">
                  <c:v>9.3000000000000007</c:v>
                </c:pt>
                <c:pt idx="184">
                  <c:v>8.8000000000000007</c:v>
                </c:pt>
                <c:pt idx="185">
                  <c:v>9</c:v>
                </c:pt>
                <c:pt idx="186">
                  <c:v>8.1999999999999993</c:v>
                </c:pt>
                <c:pt idx="187">
                  <c:v>10.199999999999999</c:v>
                </c:pt>
                <c:pt idx="188">
                  <c:v>9.1</c:v>
                </c:pt>
                <c:pt idx="189">
                  <c:v>9.5</c:v>
                </c:pt>
                <c:pt idx="190">
                  <c:v>9.6999999999999993</c:v>
                </c:pt>
                <c:pt idx="191">
                  <c:v>8.4</c:v>
                </c:pt>
                <c:pt idx="192">
                  <c:v>8.6999999999999993</c:v>
                </c:pt>
                <c:pt idx="193">
                  <c:v>9.6999999999999993</c:v>
                </c:pt>
                <c:pt idx="194">
                  <c:v>9.3000000000000007</c:v>
                </c:pt>
                <c:pt idx="195">
                  <c:v>10.6</c:v>
                </c:pt>
                <c:pt idx="196">
                  <c:v>7.3</c:v>
                </c:pt>
                <c:pt idx="197">
                  <c:v>9.6</c:v>
                </c:pt>
                <c:pt idx="198">
                  <c:v>9</c:v>
                </c:pt>
                <c:pt idx="199">
                  <c:v>8.5</c:v>
                </c:pt>
                <c:pt idx="200">
                  <c:v>8</c:v>
                </c:pt>
                <c:pt idx="201">
                  <c:v>9.6</c:v>
                </c:pt>
                <c:pt idx="202">
                  <c:v>8.6999999999999993</c:v>
                </c:pt>
                <c:pt idx="203">
                  <c:v>8.8000000000000007</c:v>
                </c:pt>
                <c:pt idx="204">
                  <c:v>8.4</c:v>
                </c:pt>
                <c:pt idx="205">
                  <c:v>7.9</c:v>
                </c:pt>
                <c:pt idx="206">
                  <c:v>8.1</c:v>
                </c:pt>
                <c:pt idx="207">
                  <c:v>7.6</c:v>
                </c:pt>
                <c:pt idx="208">
                  <c:v>7.7</c:v>
                </c:pt>
                <c:pt idx="209">
                  <c:v>8.4</c:v>
                </c:pt>
                <c:pt idx="210">
                  <c:v>6.5</c:v>
                </c:pt>
                <c:pt idx="211">
                  <c:v>8.6999999999999993</c:v>
                </c:pt>
                <c:pt idx="212">
                  <c:v>9</c:v>
                </c:pt>
                <c:pt idx="213">
                  <c:v>10.6</c:v>
                </c:pt>
                <c:pt idx="214">
                  <c:v>6.9</c:v>
                </c:pt>
                <c:pt idx="215">
                  <c:v>9.3000000000000007</c:v>
                </c:pt>
                <c:pt idx="216">
                  <c:v>8.8000000000000007</c:v>
                </c:pt>
                <c:pt idx="217">
                  <c:v>6.8</c:v>
                </c:pt>
                <c:pt idx="218">
                  <c:v>8.1</c:v>
                </c:pt>
                <c:pt idx="219">
                  <c:v>8.6</c:v>
                </c:pt>
                <c:pt idx="220">
                  <c:v>6.9</c:v>
                </c:pt>
                <c:pt idx="221">
                  <c:v>8.9</c:v>
                </c:pt>
                <c:pt idx="222">
                  <c:v>10.199999999999999</c:v>
                </c:pt>
                <c:pt idx="223">
                  <c:v>6.9</c:v>
                </c:pt>
                <c:pt idx="224">
                  <c:v>6.5</c:v>
                </c:pt>
                <c:pt idx="225">
                  <c:v>7.5</c:v>
                </c:pt>
                <c:pt idx="226">
                  <c:v>8.3000000000000007</c:v>
                </c:pt>
                <c:pt idx="227">
                  <c:v>8.6</c:v>
                </c:pt>
                <c:pt idx="228">
                  <c:v>9.5</c:v>
                </c:pt>
                <c:pt idx="229">
                  <c:v>7.8</c:v>
                </c:pt>
                <c:pt idx="230">
                  <c:v>7.7</c:v>
                </c:pt>
                <c:pt idx="231">
                  <c:v>8.6999999999999993</c:v>
                </c:pt>
                <c:pt idx="232">
                  <c:v>8.8000000000000007</c:v>
                </c:pt>
                <c:pt idx="233">
                  <c:v>8.5</c:v>
                </c:pt>
                <c:pt idx="234">
                  <c:v>6.6</c:v>
                </c:pt>
                <c:pt idx="235">
                  <c:v>8.9</c:v>
                </c:pt>
                <c:pt idx="236">
                  <c:v>7.6</c:v>
                </c:pt>
                <c:pt idx="237">
                  <c:v>7.7</c:v>
                </c:pt>
                <c:pt idx="238">
                  <c:v>8.6</c:v>
                </c:pt>
                <c:pt idx="239">
                  <c:v>9.1999999999999993</c:v>
                </c:pt>
                <c:pt idx="240">
                  <c:v>7.6</c:v>
                </c:pt>
                <c:pt idx="241">
                  <c:v>6.6</c:v>
                </c:pt>
                <c:pt idx="242">
                  <c:v>7.4</c:v>
                </c:pt>
                <c:pt idx="243">
                  <c:v>8.1</c:v>
                </c:pt>
                <c:pt idx="244">
                  <c:v>6.7</c:v>
                </c:pt>
                <c:pt idx="245">
                  <c:v>6.9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6.4</c:v>
                </c:pt>
                <c:pt idx="250">
                  <c:v>6.1</c:v>
                </c:pt>
                <c:pt idx="251">
                  <c:v>5.7</c:v>
                </c:pt>
                <c:pt idx="252">
                  <c:v>7.4</c:v>
                </c:pt>
                <c:pt idx="253">
                  <c:v>8</c:v>
                </c:pt>
                <c:pt idx="254">
                  <c:v>6.7</c:v>
                </c:pt>
                <c:pt idx="255">
                  <c:v>8.3000000000000007</c:v>
                </c:pt>
                <c:pt idx="256">
                  <c:v>7.9</c:v>
                </c:pt>
                <c:pt idx="257">
                  <c:v>8</c:v>
                </c:pt>
                <c:pt idx="258">
                  <c:v>7.2</c:v>
                </c:pt>
                <c:pt idx="259">
                  <c:v>7.7</c:v>
                </c:pt>
                <c:pt idx="260">
                  <c:v>7.6</c:v>
                </c:pt>
                <c:pt idx="261">
                  <c:v>7.3</c:v>
                </c:pt>
                <c:pt idx="262">
                  <c:v>7.1</c:v>
                </c:pt>
                <c:pt idx="263">
                  <c:v>7.6</c:v>
                </c:pt>
                <c:pt idx="264">
                  <c:v>5.7</c:v>
                </c:pt>
                <c:pt idx="265">
                  <c:v>10.4</c:v>
                </c:pt>
                <c:pt idx="266">
                  <c:v>6.3</c:v>
                </c:pt>
                <c:pt idx="267">
                  <c:v>7.7</c:v>
                </c:pt>
                <c:pt idx="268">
                  <c:v>6.8</c:v>
                </c:pt>
                <c:pt idx="269">
                  <c:v>8</c:v>
                </c:pt>
                <c:pt idx="270">
                  <c:v>6.7</c:v>
                </c:pt>
                <c:pt idx="271">
                  <c:v>6.3</c:v>
                </c:pt>
                <c:pt idx="272">
                  <c:v>6.9</c:v>
                </c:pt>
                <c:pt idx="273">
                  <c:v>7.1</c:v>
                </c:pt>
                <c:pt idx="274">
                  <c:v>6.5</c:v>
                </c:pt>
                <c:pt idx="275">
                  <c:v>7.5</c:v>
                </c:pt>
                <c:pt idx="276">
                  <c:v>6.5</c:v>
                </c:pt>
                <c:pt idx="277">
                  <c:v>8.5</c:v>
                </c:pt>
                <c:pt idx="278">
                  <c:v>8.6</c:v>
                </c:pt>
                <c:pt idx="279">
                  <c:v>7.7</c:v>
                </c:pt>
                <c:pt idx="280">
                  <c:v>7.3</c:v>
                </c:pt>
                <c:pt idx="281">
                  <c:v>7.9</c:v>
                </c:pt>
                <c:pt idx="282">
                  <c:v>5.7</c:v>
                </c:pt>
                <c:pt idx="283">
                  <c:v>7.5</c:v>
                </c:pt>
                <c:pt idx="284">
                  <c:v>6.7</c:v>
                </c:pt>
                <c:pt idx="285">
                  <c:v>6.7</c:v>
                </c:pt>
                <c:pt idx="286">
                  <c:v>6.6</c:v>
                </c:pt>
                <c:pt idx="287">
                  <c:v>6.6</c:v>
                </c:pt>
                <c:pt idx="288">
                  <c:v>6.1</c:v>
                </c:pt>
                <c:pt idx="289">
                  <c:v>5.8</c:v>
                </c:pt>
                <c:pt idx="290">
                  <c:v>7.6</c:v>
                </c:pt>
                <c:pt idx="291">
                  <c:v>6.9</c:v>
                </c:pt>
                <c:pt idx="292">
                  <c:v>6.7</c:v>
                </c:pt>
                <c:pt idx="293">
                  <c:v>6.7</c:v>
                </c:pt>
                <c:pt idx="294">
                  <c:v>6.6</c:v>
                </c:pt>
                <c:pt idx="295">
                  <c:v>7.2</c:v>
                </c:pt>
                <c:pt idx="296">
                  <c:v>5.7</c:v>
                </c:pt>
                <c:pt idx="297">
                  <c:v>5.2</c:v>
                </c:pt>
                <c:pt idx="298">
                  <c:v>6.5</c:v>
                </c:pt>
                <c:pt idx="299">
                  <c:v>7.2</c:v>
                </c:pt>
                <c:pt idx="300">
                  <c:v>7.9</c:v>
                </c:pt>
                <c:pt idx="301">
                  <c:v>7.6</c:v>
                </c:pt>
                <c:pt idx="302">
                  <c:v>7.2</c:v>
                </c:pt>
                <c:pt idx="303">
                  <c:v>7.1</c:v>
                </c:pt>
                <c:pt idx="304">
                  <c:v>6.2</c:v>
                </c:pt>
                <c:pt idx="305">
                  <c:v>8.1</c:v>
                </c:pt>
                <c:pt idx="306">
                  <c:v>7</c:v>
                </c:pt>
                <c:pt idx="307">
                  <c:v>7.3</c:v>
                </c:pt>
                <c:pt idx="308">
                  <c:v>6.4</c:v>
                </c:pt>
                <c:pt idx="309">
                  <c:v>6.4</c:v>
                </c:pt>
                <c:pt idx="310">
                  <c:v>6.5</c:v>
                </c:pt>
                <c:pt idx="311">
                  <c:v>5.6</c:v>
                </c:pt>
                <c:pt idx="312">
                  <c:v>7.3</c:v>
                </c:pt>
                <c:pt idx="313">
                  <c:v>7.5</c:v>
                </c:pt>
                <c:pt idx="314">
                  <c:v>5</c:v>
                </c:pt>
                <c:pt idx="315">
                  <c:v>6.2</c:v>
                </c:pt>
                <c:pt idx="316">
                  <c:v>6.7</c:v>
                </c:pt>
                <c:pt idx="317">
                  <c:v>5.7</c:v>
                </c:pt>
                <c:pt idx="318">
                  <c:v>8.5</c:v>
                </c:pt>
                <c:pt idx="319">
                  <c:v>6.3</c:v>
                </c:pt>
                <c:pt idx="320">
                  <c:v>5.9</c:v>
                </c:pt>
                <c:pt idx="321">
                  <c:v>5</c:v>
                </c:pt>
                <c:pt idx="322">
                  <c:v>6.3</c:v>
                </c:pt>
                <c:pt idx="323">
                  <c:v>5.7</c:v>
                </c:pt>
                <c:pt idx="324">
                  <c:v>5</c:v>
                </c:pt>
                <c:pt idx="325">
                  <c:v>6.4</c:v>
                </c:pt>
                <c:pt idx="326">
                  <c:v>6.6</c:v>
                </c:pt>
                <c:pt idx="327">
                  <c:v>5.6</c:v>
                </c:pt>
                <c:pt idx="328">
                  <c:v>1.7</c:v>
                </c:pt>
                <c:pt idx="329">
                  <c:v>8.3000000000000007</c:v>
                </c:pt>
                <c:pt idx="330">
                  <c:v>7.1</c:v>
                </c:pt>
                <c:pt idx="331">
                  <c:v>5.7</c:v>
                </c:pt>
                <c:pt idx="332">
                  <c:v>6.9</c:v>
                </c:pt>
                <c:pt idx="333">
                  <c:v>3.4</c:v>
                </c:pt>
                <c:pt idx="334">
                  <c:v>10.199999999999999</c:v>
                </c:pt>
                <c:pt idx="335">
                  <c:v>7.3</c:v>
                </c:pt>
                <c:pt idx="336">
                  <c:v>7.8</c:v>
                </c:pt>
                <c:pt idx="337">
                  <c:v>4</c:v>
                </c:pt>
                <c:pt idx="338">
                  <c:v>4.2</c:v>
                </c:pt>
                <c:pt idx="339">
                  <c:v>5.0999999999999996</c:v>
                </c:pt>
                <c:pt idx="340">
                  <c:v>5.6</c:v>
                </c:pt>
                <c:pt idx="341">
                  <c:v>5.0999999999999996</c:v>
                </c:pt>
                <c:pt idx="342">
                  <c:v>4.0999999999999996</c:v>
                </c:pt>
                <c:pt idx="343">
                  <c:v>7.3</c:v>
                </c:pt>
                <c:pt idx="344">
                  <c:v>6</c:v>
                </c:pt>
                <c:pt idx="345">
                  <c:v>3.9</c:v>
                </c:pt>
                <c:pt idx="346">
                  <c:v>8.6999999999999993</c:v>
                </c:pt>
                <c:pt idx="347">
                  <c:v>6.6</c:v>
                </c:pt>
                <c:pt idx="348">
                  <c:v>6.8</c:v>
                </c:pt>
                <c:pt idx="349">
                  <c:v>6.8</c:v>
                </c:pt>
                <c:pt idx="350">
                  <c:v>6.4</c:v>
                </c:pt>
                <c:pt idx="351">
                  <c:v>6.8</c:v>
                </c:pt>
                <c:pt idx="352">
                  <c:v>5.7</c:v>
                </c:pt>
                <c:pt idx="353">
                  <c:v>5.8</c:v>
                </c:pt>
                <c:pt idx="354">
                  <c:v>5.6</c:v>
                </c:pt>
                <c:pt idx="355">
                  <c:v>6.7</c:v>
                </c:pt>
                <c:pt idx="356">
                  <c:v>6.1</c:v>
                </c:pt>
                <c:pt idx="357">
                  <c:v>6.2</c:v>
                </c:pt>
                <c:pt idx="358">
                  <c:v>6.8</c:v>
                </c:pt>
                <c:pt idx="359">
                  <c:v>5.8</c:v>
                </c:pt>
                <c:pt idx="360">
                  <c:v>5.6</c:v>
                </c:pt>
                <c:pt idx="361">
                  <c:v>6.6</c:v>
                </c:pt>
                <c:pt idx="362">
                  <c:v>5.4</c:v>
                </c:pt>
                <c:pt idx="363">
                  <c:v>5.7</c:v>
                </c:pt>
                <c:pt idx="364">
                  <c:v>6</c:v>
                </c:pt>
                <c:pt idx="365">
                  <c:v>6.5</c:v>
                </c:pt>
                <c:pt idx="366">
                  <c:v>5.0999999999999996</c:v>
                </c:pt>
                <c:pt idx="367">
                  <c:v>4.9000000000000004</c:v>
                </c:pt>
                <c:pt idx="368">
                  <c:v>5.8</c:v>
                </c:pt>
                <c:pt idx="369">
                  <c:v>5.0999999999999996</c:v>
                </c:pt>
                <c:pt idx="370">
                  <c:v>5.4</c:v>
                </c:pt>
                <c:pt idx="371">
                  <c:v>5.4</c:v>
                </c:pt>
                <c:pt idx="372">
                  <c:v>6.5</c:v>
                </c:pt>
                <c:pt idx="373">
                  <c:v>6.2</c:v>
                </c:pt>
                <c:pt idx="374">
                  <c:v>5.3</c:v>
                </c:pt>
                <c:pt idx="375">
                  <c:v>4.9000000000000004</c:v>
                </c:pt>
                <c:pt idx="376">
                  <c:v>6</c:v>
                </c:pt>
                <c:pt idx="377">
                  <c:v>4.3</c:v>
                </c:pt>
                <c:pt idx="378">
                  <c:v>4.3</c:v>
                </c:pt>
                <c:pt idx="379">
                  <c:v>4.2</c:v>
                </c:pt>
                <c:pt idx="380">
                  <c:v>6.6</c:v>
                </c:pt>
                <c:pt idx="381">
                  <c:v>5.4</c:v>
                </c:pt>
                <c:pt idx="382">
                  <c:v>6.1</c:v>
                </c:pt>
                <c:pt idx="383">
                  <c:v>4.2</c:v>
                </c:pt>
                <c:pt idx="384">
                  <c:v>5.9</c:v>
                </c:pt>
                <c:pt idx="385">
                  <c:v>5.0999999999999996</c:v>
                </c:pt>
                <c:pt idx="386">
                  <c:v>5.8</c:v>
                </c:pt>
                <c:pt idx="387">
                  <c:v>4.5</c:v>
                </c:pt>
                <c:pt idx="388">
                  <c:v>6.9</c:v>
                </c:pt>
                <c:pt idx="389">
                  <c:v>4.5</c:v>
                </c:pt>
                <c:pt idx="390">
                  <c:v>4</c:v>
                </c:pt>
                <c:pt idx="391">
                  <c:v>6.4</c:v>
                </c:pt>
                <c:pt idx="392">
                  <c:v>5.6</c:v>
                </c:pt>
                <c:pt idx="393">
                  <c:v>5</c:v>
                </c:pt>
                <c:pt idx="394">
                  <c:v>6.2</c:v>
                </c:pt>
                <c:pt idx="395">
                  <c:v>6.9</c:v>
                </c:pt>
                <c:pt idx="396">
                  <c:v>5.2</c:v>
                </c:pt>
                <c:pt idx="397">
                  <c:v>5.3</c:v>
                </c:pt>
                <c:pt idx="398">
                  <c:v>5.0999999999999996</c:v>
                </c:pt>
                <c:pt idx="399">
                  <c:v>4.7</c:v>
                </c:pt>
                <c:pt idx="400">
                  <c:v>5.5</c:v>
                </c:pt>
                <c:pt idx="401">
                  <c:v>3.9</c:v>
                </c:pt>
                <c:pt idx="402">
                  <c:v>4.5</c:v>
                </c:pt>
                <c:pt idx="403">
                  <c:v>5.4</c:v>
                </c:pt>
                <c:pt idx="404">
                  <c:v>4.5</c:v>
                </c:pt>
                <c:pt idx="405">
                  <c:v>4.4000000000000004</c:v>
                </c:pt>
                <c:pt idx="406">
                  <c:v>6.2</c:v>
                </c:pt>
                <c:pt idx="407">
                  <c:v>4</c:v>
                </c:pt>
                <c:pt idx="408">
                  <c:v>8.6999999999999993</c:v>
                </c:pt>
                <c:pt idx="409">
                  <c:v>5.0999999999999996</c:v>
                </c:pt>
                <c:pt idx="410">
                  <c:v>6.1</c:v>
                </c:pt>
                <c:pt idx="411">
                  <c:v>5.2</c:v>
                </c:pt>
                <c:pt idx="412">
                  <c:v>3.5</c:v>
                </c:pt>
                <c:pt idx="413">
                  <c:v>4.9000000000000004</c:v>
                </c:pt>
                <c:pt idx="414">
                  <c:v>4.2</c:v>
                </c:pt>
                <c:pt idx="415">
                  <c:v>2.5</c:v>
                </c:pt>
                <c:pt idx="416">
                  <c:v>6.5</c:v>
                </c:pt>
                <c:pt idx="417">
                  <c:v>4.3</c:v>
                </c:pt>
                <c:pt idx="418">
                  <c:v>4.9000000000000004</c:v>
                </c:pt>
                <c:pt idx="419">
                  <c:v>4.5</c:v>
                </c:pt>
                <c:pt idx="420">
                  <c:v>4.7</c:v>
                </c:pt>
                <c:pt idx="421">
                  <c:v>3.9</c:v>
                </c:pt>
                <c:pt idx="422">
                  <c:v>3.8</c:v>
                </c:pt>
                <c:pt idx="423">
                  <c:v>4.5</c:v>
                </c:pt>
                <c:pt idx="424">
                  <c:v>3.4</c:v>
                </c:pt>
                <c:pt idx="425">
                  <c:v>4.7</c:v>
                </c:pt>
                <c:pt idx="426">
                  <c:v>2.6</c:v>
                </c:pt>
                <c:pt idx="427">
                  <c:v>7.9</c:v>
                </c:pt>
                <c:pt idx="428">
                  <c:v>4.3</c:v>
                </c:pt>
                <c:pt idx="429">
                  <c:v>2.5</c:v>
                </c:pt>
                <c:pt idx="430">
                  <c:v>6.7</c:v>
                </c:pt>
                <c:pt idx="431">
                  <c:v>5.0999999999999996</c:v>
                </c:pt>
                <c:pt idx="432">
                  <c:v>5.8</c:v>
                </c:pt>
                <c:pt idx="433">
                  <c:v>4.8</c:v>
                </c:pt>
                <c:pt idx="434">
                  <c:v>4.5999999999999996</c:v>
                </c:pt>
                <c:pt idx="435">
                  <c:v>3.9</c:v>
                </c:pt>
                <c:pt idx="436">
                  <c:v>4.5999999999999996</c:v>
                </c:pt>
                <c:pt idx="437">
                  <c:v>4.0999999999999996</c:v>
                </c:pt>
                <c:pt idx="438">
                  <c:v>4.7</c:v>
                </c:pt>
                <c:pt idx="439">
                  <c:v>5.2</c:v>
                </c:pt>
                <c:pt idx="440">
                  <c:v>4</c:v>
                </c:pt>
                <c:pt idx="441">
                  <c:v>5.9</c:v>
                </c:pt>
                <c:pt idx="442">
                  <c:v>4.4000000000000004</c:v>
                </c:pt>
                <c:pt idx="443">
                  <c:v>4.0999999999999996</c:v>
                </c:pt>
                <c:pt idx="444">
                  <c:v>4</c:v>
                </c:pt>
                <c:pt idx="445">
                  <c:v>4.5</c:v>
                </c:pt>
                <c:pt idx="446">
                  <c:v>3.9</c:v>
                </c:pt>
                <c:pt idx="447">
                  <c:v>4.7</c:v>
                </c:pt>
                <c:pt idx="448">
                  <c:v>4.5</c:v>
                </c:pt>
                <c:pt idx="449">
                  <c:v>3.7</c:v>
                </c:pt>
                <c:pt idx="450">
                  <c:v>4</c:v>
                </c:pt>
                <c:pt idx="451">
                  <c:v>3.5</c:v>
                </c:pt>
                <c:pt idx="452">
                  <c:v>4.7</c:v>
                </c:pt>
                <c:pt idx="453">
                  <c:v>4.0999999999999996</c:v>
                </c:pt>
                <c:pt idx="454">
                  <c:v>4.5</c:v>
                </c:pt>
                <c:pt idx="455">
                  <c:v>4</c:v>
                </c:pt>
                <c:pt idx="456">
                  <c:v>5.5</c:v>
                </c:pt>
                <c:pt idx="457">
                  <c:v>4.3</c:v>
                </c:pt>
                <c:pt idx="458">
                  <c:v>4.5</c:v>
                </c:pt>
                <c:pt idx="459">
                  <c:v>4.3</c:v>
                </c:pt>
                <c:pt idx="460">
                  <c:v>3.6</c:v>
                </c:pt>
                <c:pt idx="461">
                  <c:v>3.4</c:v>
                </c:pt>
                <c:pt idx="462">
                  <c:v>4.7</c:v>
                </c:pt>
                <c:pt idx="463">
                  <c:v>3.1</c:v>
                </c:pt>
                <c:pt idx="464">
                  <c:v>10.1</c:v>
                </c:pt>
                <c:pt idx="465">
                  <c:v>3.1</c:v>
                </c:pt>
                <c:pt idx="466">
                  <c:v>4.8</c:v>
                </c:pt>
                <c:pt idx="467">
                  <c:v>3.6</c:v>
                </c:pt>
                <c:pt idx="468">
                  <c:v>4.0999999999999996</c:v>
                </c:pt>
                <c:pt idx="469">
                  <c:v>2.7</c:v>
                </c:pt>
                <c:pt idx="470">
                  <c:v>5</c:v>
                </c:pt>
                <c:pt idx="471">
                  <c:v>6.4</c:v>
                </c:pt>
                <c:pt idx="472">
                  <c:v>5</c:v>
                </c:pt>
                <c:pt idx="473">
                  <c:v>3.3</c:v>
                </c:pt>
                <c:pt idx="474">
                  <c:v>4.5</c:v>
                </c:pt>
                <c:pt idx="475">
                  <c:v>4.9000000000000004</c:v>
                </c:pt>
                <c:pt idx="476">
                  <c:v>3.1</c:v>
                </c:pt>
                <c:pt idx="477">
                  <c:v>4.2</c:v>
                </c:pt>
                <c:pt idx="478">
                  <c:v>4</c:v>
                </c:pt>
                <c:pt idx="479">
                  <c:v>3.7</c:v>
                </c:pt>
                <c:pt idx="480">
                  <c:v>4.0999999999999996</c:v>
                </c:pt>
                <c:pt idx="481">
                  <c:v>4</c:v>
                </c:pt>
                <c:pt idx="482">
                  <c:v>3.5</c:v>
                </c:pt>
                <c:pt idx="483">
                  <c:v>2.4</c:v>
                </c:pt>
                <c:pt idx="484">
                  <c:v>4.9000000000000004</c:v>
                </c:pt>
                <c:pt idx="485">
                  <c:v>4.0999999999999996</c:v>
                </c:pt>
                <c:pt idx="486">
                  <c:v>4.5</c:v>
                </c:pt>
                <c:pt idx="487">
                  <c:v>3.6</c:v>
                </c:pt>
                <c:pt idx="488">
                  <c:v>3.8</c:v>
                </c:pt>
                <c:pt idx="489">
                  <c:v>2.7</c:v>
                </c:pt>
                <c:pt idx="490">
                  <c:v>4</c:v>
                </c:pt>
                <c:pt idx="491">
                  <c:v>3.1</c:v>
                </c:pt>
                <c:pt idx="492">
                  <c:v>3.5</c:v>
                </c:pt>
                <c:pt idx="493">
                  <c:v>3.7</c:v>
                </c:pt>
                <c:pt idx="494">
                  <c:v>3.1</c:v>
                </c:pt>
                <c:pt idx="495">
                  <c:v>4.5</c:v>
                </c:pt>
                <c:pt idx="496">
                  <c:v>2.4</c:v>
                </c:pt>
                <c:pt idx="497">
                  <c:v>3.3</c:v>
                </c:pt>
                <c:pt idx="498">
                  <c:v>3.6</c:v>
                </c:pt>
                <c:pt idx="499">
                  <c:v>2.7</c:v>
                </c:pt>
                <c:pt idx="500">
                  <c:v>3.7</c:v>
                </c:pt>
                <c:pt idx="501">
                  <c:v>4.5999999999999996</c:v>
                </c:pt>
                <c:pt idx="502">
                  <c:v>5.5</c:v>
                </c:pt>
                <c:pt idx="503">
                  <c:v>2.8</c:v>
                </c:pt>
                <c:pt idx="504">
                  <c:v>2.8</c:v>
                </c:pt>
                <c:pt idx="505">
                  <c:v>3.3</c:v>
                </c:pt>
                <c:pt idx="506">
                  <c:v>3.1</c:v>
                </c:pt>
                <c:pt idx="507">
                  <c:v>3.4</c:v>
                </c:pt>
                <c:pt idx="508">
                  <c:v>3.1</c:v>
                </c:pt>
                <c:pt idx="509">
                  <c:v>4.4000000000000004</c:v>
                </c:pt>
                <c:pt idx="510">
                  <c:v>3.2</c:v>
                </c:pt>
                <c:pt idx="511">
                  <c:v>3.3</c:v>
                </c:pt>
                <c:pt idx="512">
                  <c:v>2.5</c:v>
                </c:pt>
                <c:pt idx="513">
                  <c:v>3.3</c:v>
                </c:pt>
                <c:pt idx="514">
                  <c:v>3.4</c:v>
                </c:pt>
                <c:pt idx="515">
                  <c:v>3.3</c:v>
                </c:pt>
                <c:pt idx="516">
                  <c:v>3</c:v>
                </c:pt>
                <c:pt idx="517">
                  <c:v>4</c:v>
                </c:pt>
                <c:pt idx="518">
                  <c:v>2.8</c:v>
                </c:pt>
                <c:pt idx="519">
                  <c:v>3.5</c:v>
                </c:pt>
                <c:pt idx="520">
                  <c:v>2.8</c:v>
                </c:pt>
                <c:pt idx="521">
                  <c:v>2.4</c:v>
                </c:pt>
                <c:pt idx="522">
                  <c:v>2.9</c:v>
                </c:pt>
                <c:pt idx="523">
                  <c:v>3</c:v>
                </c:pt>
                <c:pt idx="524">
                  <c:v>2.2999999999999998</c:v>
                </c:pt>
                <c:pt idx="525">
                  <c:v>2.8</c:v>
                </c:pt>
                <c:pt idx="526">
                  <c:v>1.2</c:v>
                </c:pt>
                <c:pt idx="527">
                  <c:v>2.8</c:v>
                </c:pt>
                <c:pt idx="528">
                  <c:v>3.5</c:v>
                </c:pt>
                <c:pt idx="529">
                  <c:v>1.4</c:v>
                </c:pt>
                <c:pt idx="530">
                  <c:v>2.2000000000000002</c:v>
                </c:pt>
                <c:pt idx="531">
                  <c:v>3.2</c:v>
                </c:pt>
                <c:pt idx="532">
                  <c:v>2.5</c:v>
                </c:pt>
                <c:pt idx="533">
                  <c:v>3</c:v>
                </c:pt>
                <c:pt idx="534">
                  <c:v>1.6</c:v>
                </c:pt>
                <c:pt idx="535">
                  <c:v>3.5</c:v>
                </c:pt>
                <c:pt idx="536">
                  <c:v>2.4</c:v>
                </c:pt>
                <c:pt idx="537">
                  <c:v>3.4</c:v>
                </c:pt>
                <c:pt idx="538">
                  <c:v>2.2999999999999998</c:v>
                </c:pt>
                <c:pt idx="539">
                  <c:v>3.1</c:v>
                </c:pt>
                <c:pt idx="540">
                  <c:v>2.8</c:v>
                </c:pt>
                <c:pt idx="541">
                  <c:v>3.5</c:v>
                </c:pt>
                <c:pt idx="542">
                  <c:v>3.3</c:v>
                </c:pt>
                <c:pt idx="543">
                  <c:v>3.7</c:v>
                </c:pt>
                <c:pt idx="544">
                  <c:v>2.2000000000000002</c:v>
                </c:pt>
                <c:pt idx="545">
                  <c:v>1.8</c:v>
                </c:pt>
                <c:pt idx="546">
                  <c:v>2.9</c:v>
                </c:pt>
                <c:pt idx="547">
                  <c:v>3.2</c:v>
                </c:pt>
                <c:pt idx="548">
                  <c:v>3.3</c:v>
                </c:pt>
                <c:pt idx="549">
                  <c:v>1.9</c:v>
                </c:pt>
                <c:pt idx="550">
                  <c:v>3.1</c:v>
                </c:pt>
                <c:pt idx="551">
                  <c:v>2.2999999999999998</c:v>
                </c:pt>
                <c:pt idx="552">
                  <c:v>3.5</c:v>
                </c:pt>
                <c:pt idx="553">
                  <c:v>2.2999999999999998</c:v>
                </c:pt>
                <c:pt idx="554">
                  <c:v>2.5</c:v>
                </c:pt>
                <c:pt idx="555">
                  <c:v>2.4</c:v>
                </c:pt>
                <c:pt idx="556">
                  <c:v>2.9</c:v>
                </c:pt>
                <c:pt idx="557">
                  <c:v>2.7</c:v>
                </c:pt>
                <c:pt idx="558">
                  <c:v>3.2</c:v>
                </c:pt>
                <c:pt idx="559">
                  <c:v>2.6</c:v>
                </c:pt>
                <c:pt idx="560">
                  <c:v>2.2000000000000002</c:v>
                </c:pt>
                <c:pt idx="561">
                  <c:v>2.6</c:v>
                </c:pt>
                <c:pt idx="562">
                  <c:v>2</c:v>
                </c:pt>
                <c:pt idx="563">
                  <c:v>2</c:v>
                </c:pt>
                <c:pt idx="564">
                  <c:v>2.2999999999999998</c:v>
                </c:pt>
                <c:pt idx="565">
                  <c:v>2.5</c:v>
                </c:pt>
                <c:pt idx="566">
                  <c:v>1.8</c:v>
                </c:pt>
                <c:pt idx="567">
                  <c:v>2</c:v>
                </c:pt>
                <c:pt idx="568">
                  <c:v>2.1</c:v>
                </c:pt>
                <c:pt idx="569">
                  <c:v>2.2000000000000002</c:v>
                </c:pt>
                <c:pt idx="570">
                  <c:v>2.7</c:v>
                </c:pt>
                <c:pt idx="571">
                  <c:v>2.2000000000000002</c:v>
                </c:pt>
                <c:pt idx="572">
                  <c:v>2.2999999999999998</c:v>
                </c:pt>
                <c:pt idx="573">
                  <c:v>2.4</c:v>
                </c:pt>
                <c:pt idx="574">
                  <c:v>1.4</c:v>
                </c:pt>
                <c:pt idx="575">
                  <c:v>3</c:v>
                </c:pt>
                <c:pt idx="576">
                  <c:v>2</c:v>
                </c:pt>
                <c:pt idx="577">
                  <c:v>2.2999999999999998</c:v>
                </c:pt>
                <c:pt idx="578">
                  <c:v>2.2000000000000002</c:v>
                </c:pt>
                <c:pt idx="579">
                  <c:v>1.9</c:v>
                </c:pt>
                <c:pt idx="580">
                  <c:v>2.5</c:v>
                </c:pt>
                <c:pt idx="581">
                  <c:v>1.9</c:v>
                </c:pt>
                <c:pt idx="582">
                  <c:v>1.9</c:v>
                </c:pt>
                <c:pt idx="583">
                  <c:v>2.1</c:v>
                </c:pt>
                <c:pt idx="584">
                  <c:v>1.4</c:v>
                </c:pt>
                <c:pt idx="585">
                  <c:v>1.8</c:v>
                </c:pt>
                <c:pt idx="586">
                  <c:v>1.7</c:v>
                </c:pt>
                <c:pt idx="587">
                  <c:v>1.8</c:v>
                </c:pt>
                <c:pt idx="588">
                  <c:v>2.2999999999999998</c:v>
                </c:pt>
                <c:pt idx="589">
                  <c:v>1.8</c:v>
                </c:pt>
                <c:pt idx="590">
                  <c:v>1.8</c:v>
                </c:pt>
                <c:pt idx="591">
                  <c:v>1.8</c:v>
                </c:pt>
                <c:pt idx="592">
                  <c:v>1.6</c:v>
                </c:pt>
                <c:pt idx="593">
                  <c:v>1.1000000000000001</c:v>
                </c:pt>
                <c:pt idx="594">
                  <c:v>1.5</c:v>
                </c:pt>
                <c:pt idx="595">
                  <c:v>2.2000000000000002</c:v>
                </c:pt>
                <c:pt idx="596">
                  <c:v>0.9</c:v>
                </c:pt>
                <c:pt idx="597">
                  <c:v>0.7</c:v>
                </c:pt>
                <c:pt idx="598">
                  <c:v>0.9</c:v>
                </c:pt>
                <c:pt idx="599">
                  <c:v>1.1000000000000001</c:v>
                </c:pt>
                <c:pt idx="600">
                  <c:v>1.4</c:v>
                </c:pt>
                <c:pt idx="601">
                  <c:v>1.3</c:v>
                </c:pt>
                <c:pt idx="602">
                  <c:v>1.7</c:v>
                </c:pt>
                <c:pt idx="603">
                  <c:v>1.5</c:v>
                </c:pt>
                <c:pt idx="604">
                  <c:v>1.2</c:v>
                </c:pt>
                <c:pt idx="605">
                  <c:v>0.9</c:v>
                </c:pt>
                <c:pt idx="606">
                  <c:v>0.8</c:v>
                </c:pt>
                <c:pt idx="607">
                  <c:v>2.2000000000000002</c:v>
                </c:pt>
                <c:pt idx="608">
                  <c:v>0.7</c:v>
                </c:pt>
                <c:pt idx="609">
                  <c:v>0.6</c:v>
                </c:pt>
                <c:pt idx="610">
                  <c:v>2.2000000000000002</c:v>
                </c:pt>
                <c:pt idx="611">
                  <c:v>0.6</c:v>
                </c:pt>
                <c:pt idx="612">
                  <c:v>0.7</c:v>
                </c:pt>
                <c:pt idx="613">
                  <c:v>0.4</c:v>
                </c:pt>
              </c:numCache>
            </c:numRef>
          </c:xVal>
          <c:yVal>
            <c:numRef>
              <c:f>NBA_Correlation!$Y$2:$Y$615</c:f>
              <c:numCache>
                <c:formatCode>General</c:formatCode>
                <c:ptCount val="614"/>
                <c:pt idx="0">
                  <c:v>33.5</c:v>
                </c:pt>
                <c:pt idx="1">
                  <c:v>31.1</c:v>
                </c:pt>
                <c:pt idx="2">
                  <c:v>28.8</c:v>
                </c:pt>
                <c:pt idx="3">
                  <c:v>28.7</c:v>
                </c:pt>
                <c:pt idx="4">
                  <c:v>28.4</c:v>
                </c:pt>
                <c:pt idx="5">
                  <c:v>27.9</c:v>
                </c:pt>
                <c:pt idx="6">
                  <c:v>27.9</c:v>
                </c:pt>
                <c:pt idx="7">
                  <c:v>27.8</c:v>
                </c:pt>
                <c:pt idx="8">
                  <c:v>27.6</c:v>
                </c:pt>
                <c:pt idx="9">
                  <c:v>26.9</c:v>
                </c:pt>
                <c:pt idx="10">
                  <c:v>26.7</c:v>
                </c:pt>
                <c:pt idx="11">
                  <c:v>26.6</c:v>
                </c:pt>
                <c:pt idx="12">
                  <c:v>26.1</c:v>
                </c:pt>
                <c:pt idx="13">
                  <c:v>26</c:v>
                </c:pt>
                <c:pt idx="14">
                  <c:v>26</c:v>
                </c:pt>
                <c:pt idx="15">
                  <c:v>25.4</c:v>
                </c:pt>
                <c:pt idx="16">
                  <c:v>25</c:v>
                </c:pt>
                <c:pt idx="17">
                  <c:v>24.2</c:v>
                </c:pt>
                <c:pt idx="18">
                  <c:v>24.2</c:v>
                </c:pt>
                <c:pt idx="19">
                  <c:v>24.2</c:v>
                </c:pt>
                <c:pt idx="20">
                  <c:v>24</c:v>
                </c:pt>
                <c:pt idx="21">
                  <c:v>23.6</c:v>
                </c:pt>
                <c:pt idx="22">
                  <c:v>25.4</c:v>
                </c:pt>
                <c:pt idx="23">
                  <c:v>20.5</c:v>
                </c:pt>
                <c:pt idx="24">
                  <c:v>23.6</c:v>
                </c:pt>
                <c:pt idx="25">
                  <c:v>23.3</c:v>
                </c:pt>
                <c:pt idx="26">
                  <c:v>22.5</c:v>
                </c:pt>
                <c:pt idx="27">
                  <c:v>22.2</c:v>
                </c:pt>
                <c:pt idx="28">
                  <c:v>21.8</c:v>
                </c:pt>
                <c:pt idx="29">
                  <c:v>21.7</c:v>
                </c:pt>
                <c:pt idx="30">
                  <c:v>21.5</c:v>
                </c:pt>
                <c:pt idx="31">
                  <c:v>21.4</c:v>
                </c:pt>
                <c:pt idx="32">
                  <c:v>21.2</c:v>
                </c:pt>
                <c:pt idx="33">
                  <c:v>21.1</c:v>
                </c:pt>
                <c:pt idx="34">
                  <c:v>21.1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20.8</c:v>
                </c:pt>
                <c:pt idx="39">
                  <c:v>20.6</c:v>
                </c:pt>
                <c:pt idx="40">
                  <c:v>20.399999999999999</c:v>
                </c:pt>
                <c:pt idx="41">
                  <c:v>20.399999999999999</c:v>
                </c:pt>
                <c:pt idx="42">
                  <c:v>20.2</c:v>
                </c:pt>
                <c:pt idx="43">
                  <c:v>20.2</c:v>
                </c:pt>
                <c:pt idx="44">
                  <c:v>20.2</c:v>
                </c:pt>
                <c:pt idx="45">
                  <c:v>20.100000000000001</c:v>
                </c:pt>
                <c:pt idx="46">
                  <c:v>20.100000000000001</c:v>
                </c:pt>
                <c:pt idx="47">
                  <c:v>20</c:v>
                </c:pt>
                <c:pt idx="48">
                  <c:v>20</c:v>
                </c:pt>
                <c:pt idx="49">
                  <c:v>19.7</c:v>
                </c:pt>
                <c:pt idx="50">
                  <c:v>19.5</c:v>
                </c:pt>
                <c:pt idx="51">
                  <c:v>19.5</c:v>
                </c:pt>
                <c:pt idx="52">
                  <c:v>19.399999999999999</c:v>
                </c:pt>
                <c:pt idx="53">
                  <c:v>19.2</c:v>
                </c:pt>
                <c:pt idx="54">
                  <c:v>19.2</c:v>
                </c:pt>
                <c:pt idx="55">
                  <c:v>19.100000000000001</c:v>
                </c:pt>
                <c:pt idx="56">
                  <c:v>18.899999999999999</c:v>
                </c:pt>
                <c:pt idx="57">
                  <c:v>18</c:v>
                </c:pt>
                <c:pt idx="58">
                  <c:v>20.2</c:v>
                </c:pt>
                <c:pt idx="59">
                  <c:v>18.7</c:v>
                </c:pt>
                <c:pt idx="60">
                  <c:v>18.8</c:v>
                </c:pt>
                <c:pt idx="61">
                  <c:v>18.7</c:v>
                </c:pt>
                <c:pt idx="62">
                  <c:v>18.600000000000001</c:v>
                </c:pt>
                <c:pt idx="63">
                  <c:v>18.600000000000001</c:v>
                </c:pt>
                <c:pt idx="64">
                  <c:v>18.5</c:v>
                </c:pt>
                <c:pt idx="65">
                  <c:v>18.399999999999999</c:v>
                </c:pt>
                <c:pt idx="66">
                  <c:v>18.3</c:v>
                </c:pt>
                <c:pt idx="67">
                  <c:v>18.2</c:v>
                </c:pt>
                <c:pt idx="68">
                  <c:v>18.100000000000001</c:v>
                </c:pt>
                <c:pt idx="69">
                  <c:v>17.899999999999999</c:v>
                </c:pt>
                <c:pt idx="70">
                  <c:v>19.3</c:v>
                </c:pt>
                <c:pt idx="71">
                  <c:v>17.8</c:v>
                </c:pt>
                <c:pt idx="72">
                  <c:v>17.7</c:v>
                </c:pt>
                <c:pt idx="73">
                  <c:v>17.5</c:v>
                </c:pt>
                <c:pt idx="74">
                  <c:v>17.8</c:v>
                </c:pt>
                <c:pt idx="75">
                  <c:v>17.3</c:v>
                </c:pt>
                <c:pt idx="76">
                  <c:v>17.5</c:v>
                </c:pt>
                <c:pt idx="77">
                  <c:v>17.399999999999999</c:v>
                </c:pt>
                <c:pt idx="78">
                  <c:v>17.3</c:v>
                </c:pt>
                <c:pt idx="79">
                  <c:v>18.600000000000001</c:v>
                </c:pt>
                <c:pt idx="80">
                  <c:v>15.5</c:v>
                </c:pt>
                <c:pt idx="81">
                  <c:v>17.3</c:v>
                </c:pt>
                <c:pt idx="82">
                  <c:v>17.2</c:v>
                </c:pt>
                <c:pt idx="83">
                  <c:v>17.100000000000001</c:v>
                </c:pt>
                <c:pt idx="84">
                  <c:v>17.100000000000001</c:v>
                </c:pt>
                <c:pt idx="85">
                  <c:v>17</c:v>
                </c:pt>
                <c:pt idx="86">
                  <c:v>17</c:v>
                </c:pt>
                <c:pt idx="87">
                  <c:v>16.899999999999999</c:v>
                </c:pt>
                <c:pt idx="88">
                  <c:v>16.8</c:v>
                </c:pt>
                <c:pt idx="89">
                  <c:v>17.100000000000001</c:v>
                </c:pt>
                <c:pt idx="90">
                  <c:v>16.399999999999999</c:v>
                </c:pt>
                <c:pt idx="91">
                  <c:v>16.8</c:v>
                </c:pt>
                <c:pt idx="92">
                  <c:v>16.7</c:v>
                </c:pt>
                <c:pt idx="93">
                  <c:v>16.7</c:v>
                </c:pt>
                <c:pt idx="94">
                  <c:v>16.600000000000001</c:v>
                </c:pt>
                <c:pt idx="95">
                  <c:v>16.5</c:v>
                </c:pt>
                <c:pt idx="96">
                  <c:v>16.5</c:v>
                </c:pt>
                <c:pt idx="97">
                  <c:v>16.3</c:v>
                </c:pt>
                <c:pt idx="98">
                  <c:v>16.3</c:v>
                </c:pt>
                <c:pt idx="99">
                  <c:v>16.2</c:v>
                </c:pt>
                <c:pt idx="100">
                  <c:v>16.2</c:v>
                </c:pt>
                <c:pt idx="101">
                  <c:v>16.100000000000001</c:v>
                </c:pt>
                <c:pt idx="102">
                  <c:v>15.8</c:v>
                </c:pt>
                <c:pt idx="103">
                  <c:v>15.8</c:v>
                </c:pt>
                <c:pt idx="104">
                  <c:v>15.5</c:v>
                </c:pt>
                <c:pt idx="105">
                  <c:v>15.4</c:v>
                </c:pt>
                <c:pt idx="106">
                  <c:v>14.2</c:v>
                </c:pt>
                <c:pt idx="107">
                  <c:v>17.399999999999999</c:v>
                </c:pt>
                <c:pt idx="108">
                  <c:v>15.4</c:v>
                </c:pt>
                <c:pt idx="109">
                  <c:v>15.2</c:v>
                </c:pt>
                <c:pt idx="110">
                  <c:v>15.2</c:v>
                </c:pt>
                <c:pt idx="111">
                  <c:v>15.2</c:v>
                </c:pt>
                <c:pt idx="112">
                  <c:v>15.2</c:v>
                </c:pt>
                <c:pt idx="113">
                  <c:v>15.1</c:v>
                </c:pt>
                <c:pt idx="114">
                  <c:v>16.899999999999999</c:v>
                </c:pt>
                <c:pt idx="115">
                  <c:v>9.6999999999999993</c:v>
                </c:pt>
                <c:pt idx="116">
                  <c:v>15</c:v>
                </c:pt>
                <c:pt idx="117">
                  <c:v>15</c:v>
                </c:pt>
                <c:pt idx="118">
                  <c:v>14.9</c:v>
                </c:pt>
                <c:pt idx="119">
                  <c:v>14.8</c:v>
                </c:pt>
                <c:pt idx="120">
                  <c:v>15</c:v>
                </c:pt>
                <c:pt idx="121">
                  <c:v>14.4</c:v>
                </c:pt>
                <c:pt idx="122">
                  <c:v>14.8</c:v>
                </c:pt>
                <c:pt idx="123">
                  <c:v>14.8</c:v>
                </c:pt>
                <c:pt idx="124">
                  <c:v>14.6</c:v>
                </c:pt>
                <c:pt idx="125">
                  <c:v>14.6</c:v>
                </c:pt>
                <c:pt idx="126">
                  <c:v>14.3</c:v>
                </c:pt>
                <c:pt idx="127">
                  <c:v>14.2</c:v>
                </c:pt>
                <c:pt idx="128">
                  <c:v>14.2</c:v>
                </c:pt>
                <c:pt idx="129">
                  <c:v>14.2</c:v>
                </c:pt>
                <c:pt idx="130">
                  <c:v>14.2</c:v>
                </c:pt>
                <c:pt idx="131">
                  <c:v>14.2</c:v>
                </c:pt>
                <c:pt idx="132">
                  <c:v>14.1</c:v>
                </c:pt>
                <c:pt idx="133">
                  <c:v>14.4</c:v>
                </c:pt>
                <c:pt idx="134">
                  <c:v>14</c:v>
                </c:pt>
                <c:pt idx="135">
                  <c:v>14</c:v>
                </c:pt>
                <c:pt idx="136">
                  <c:v>14</c:v>
                </c:pt>
                <c:pt idx="137">
                  <c:v>13.9</c:v>
                </c:pt>
                <c:pt idx="138">
                  <c:v>13.8</c:v>
                </c:pt>
                <c:pt idx="139">
                  <c:v>13.8</c:v>
                </c:pt>
                <c:pt idx="140">
                  <c:v>13.8</c:v>
                </c:pt>
                <c:pt idx="141">
                  <c:v>13.7</c:v>
                </c:pt>
                <c:pt idx="142">
                  <c:v>14</c:v>
                </c:pt>
                <c:pt idx="143">
                  <c:v>13.7</c:v>
                </c:pt>
                <c:pt idx="144">
                  <c:v>13.6</c:v>
                </c:pt>
                <c:pt idx="145">
                  <c:v>13.6</c:v>
                </c:pt>
                <c:pt idx="146">
                  <c:v>13.6</c:v>
                </c:pt>
                <c:pt idx="147">
                  <c:v>13.6</c:v>
                </c:pt>
                <c:pt idx="148">
                  <c:v>13.6</c:v>
                </c:pt>
                <c:pt idx="149">
                  <c:v>13.5</c:v>
                </c:pt>
                <c:pt idx="150">
                  <c:v>15.6</c:v>
                </c:pt>
                <c:pt idx="151">
                  <c:v>10.7</c:v>
                </c:pt>
                <c:pt idx="152">
                  <c:v>13.5</c:v>
                </c:pt>
                <c:pt idx="153">
                  <c:v>13.5</c:v>
                </c:pt>
                <c:pt idx="154">
                  <c:v>13.5</c:v>
                </c:pt>
                <c:pt idx="155">
                  <c:v>13.5</c:v>
                </c:pt>
                <c:pt idx="156">
                  <c:v>13.4</c:v>
                </c:pt>
                <c:pt idx="157">
                  <c:v>13.4</c:v>
                </c:pt>
                <c:pt idx="158">
                  <c:v>13.3</c:v>
                </c:pt>
                <c:pt idx="159">
                  <c:v>13.1</c:v>
                </c:pt>
                <c:pt idx="160">
                  <c:v>13.1</c:v>
                </c:pt>
                <c:pt idx="161">
                  <c:v>13.1</c:v>
                </c:pt>
                <c:pt idx="162">
                  <c:v>13</c:v>
                </c:pt>
                <c:pt idx="163">
                  <c:v>13</c:v>
                </c:pt>
                <c:pt idx="164">
                  <c:v>12.8</c:v>
                </c:pt>
                <c:pt idx="165">
                  <c:v>12.7</c:v>
                </c:pt>
                <c:pt idx="166">
                  <c:v>12.5</c:v>
                </c:pt>
                <c:pt idx="167">
                  <c:v>12.5</c:v>
                </c:pt>
                <c:pt idx="168">
                  <c:v>12.5</c:v>
                </c:pt>
                <c:pt idx="169">
                  <c:v>12.5</c:v>
                </c:pt>
                <c:pt idx="170">
                  <c:v>12.3</c:v>
                </c:pt>
                <c:pt idx="171">
                  <c:v>12.3</c:v>
                </c:pt>
                <c:pt idx="172">
                  <c:v>12.3</c:v>
                </c:pt>
                <c:pt idx="173">
                  <c:v>12.3</c:v>
                </c:pt>
                <c:pt idx="174">
                  <c:v>12.3</c:v>
                </c:pt>
                <c:pt idx="175">
                  <c:v>12.2</c:v>
                </c:pt>
                <c:pt idx="176">
                  <c:v>12.1</c:v>
                </c:pt>
                <c:pt idx="177">
                  <c:v>12.3</c:v>
                </c:pt>
                <c:pt idx="178">
                  <c:v>12.2</c:v>
                </c:pt>
                <c:pt idx="179">
                  <c:v>12.2</c:v>
                </c:pt>
                <c:pt idx="180">
                  <c:v>12.2</c:v>
                </c:pt>
                <c:pt idx="181">
                  <c:v>12.1</c:v>
                </c:pt>
                <c:pt idx="182">
                  <c:v>12.1</c:v>
                </c:pt>
                <c:pt idx="183">
                  <c:v>12.1</c:v>
                </c:pt>
                <c:pt idx="184">
                  <c:v>12</c:v>
                </c:pt>
                <c:pt idx="185">
                  <c:v>12</c:v>
                </c:pt>
                <c:pt idx="186">
                  <c:v>11.9</c:v>
                </c:pt>
                <c:pt idx="187">
                  <c:v>11.9</c:v>
                </c:pt>
                <c:pt idx="188">
                  <c:v>11.9</c:v>
                </c:pt>
                <c:pt idx="189">
                  <c:v>11.8</c:v>
                </c:pt>
                <c:pt idx="190">
                  <c:v>11.8</c:v>
                </c:pt>
                <c:pt idx="191">
                  <c:v>11.7</c:v>
                </c:pt>
                <c:pt idx="192">
                  <c:v>11.7</c:v>
                </c:pt>
                <c:pt idx="193">
                  <c:v>11.7</c:v>
                </c:pt>
                <c:pt idx="194">
                  <c:v>11.7</c:v>
                </c:pt>
                <c:pt idx="195">
                  <c:v>11.7</c:v>
                </c:pt>
                <c:pt idx="196">
                  <c:v>11.7</c:v>
                </c:pt>
                <c:pt idx="197">
                  <c:v>11.6</c:v>
                </c:pt>
                <c:pt idx="198">
                  <c:v>11.5</c:v>
                </c:pt>
                <c:pt idx="199">
                  <c:v>11.4</c:v>
                </c:pt>
                <c:pt idx="200">
                  <c:v>11.4</c:v>
                </c:pt>
                <c:pt idx="201">
                  <c:v>11.4</c:v>
                </c:pt>
                <c:pt idx="202">
                  <c:v>11.3</c:v>
                </c:pt>
                <c:pt idx="203">
                  <c:v>11.3</c:v>
                </c:pt>
                <c:pt idx="204">
                  <c:v>11.2</c:v>
                </c:pt>
                <c:pt idx="205">
                  <c:v>11.2</c:v>
                </c:pt>
                <c:pt idx="206">
                  <c:v>11.2</c:v>
                </c:pt>
                <c:pt idx="207">
                  <c:v>11.1</c:v>
                </c:pt>
                <c:pt idx="208">
                  <c:v>11.1</c:v>
                </c:pt>
                <c:pt idx="209">
                  <c:v>11</c:v>
                </c:pt>
                <c:pt idx="210">
                  <c:v>10.9</c:v>
                </c:pt>
                <c:pt idx="211">
                  <c:v>10.9</c:v>
                </c:pt>
                <c:pt idx="212">
                  <c:v>10.8</c:v>
                </c:pt>
                <c:pt idx="213">
                  <c:v>12.8</c:v>
                </c:pt>
                <c:pt idx="214">
                  <c:v>8.1999999999999993</c:v>
                </c:pt>
                <c:pt idx="215">
                  <c:v>10.8</c:v>
                </c:pt>
                <c:pt idx="216">
                  <c:v>10.8</c:v>
                </c:pt>
                <c:pt idx="217">
                  <c:v>10.7</c:v>
                </c:pt>
                <c:pt idx="218">
                  <c:v>10.6</c:v>
                </c:pt>
                <c:pt idx="219">
                  <c:v>11.3</c:v>
                </c:pt>
                <c:pt idx="220">
                  <c:v>9.1</c:v>
                </c:pt>
                <c:pt idx="221">
                  <c:v>10.6</c:v>
                </c:pt>
                <c:pt idx="222">
                  <c:v>10.6</c:v>
                </c:pt>
                <c:pt idx="223">
                  <c:v>10.5</c:v>
                </c:pt>
                <c:pt idx="224">
                  <c:v>10.1</c:v>
                </c:pt>
                <c:pt idx="225">
                  <c:v>11</c:v>
                </c:pt>
                <c:pt idx="226">
                  <c:v>10.4</c:v>
                </c:pt>
                <c:pt idx="227">
                  <c:v>10.3</c:v>
                </c:pt>
                <c:pt idx="228">
                  <c:v>10.3</c:v>
                </c:pt>
                <c:pt idx="229">
                  <c:v>10.3</c:v>
                </c:pt>
                <c:pt idx="230">
                  <c:v>10.3</c:v>
                </c:pt>
                <c:pt idx="231">
                  <c:v>10.199999999999999</c:v>
                </c:pt>
                <c:pt idx="232">
                  <c:v>10.3</c:v>
                </c:pt>
                <c:pt idx="233">
                  <c:v>10</c:v>
                </c:pt>
                <c:pt idx="234">
                  <c:v>10.199999999999999</c:v>
                </c:pt>
                <c:pt idx="235">
                  <c:v>10.199999999999999</c:v>
                </c:pt>
                <c:pt idx="236">
                  <c:v>10.199999999999999</c:v>
                </c:pt>
                <c:pt idx="237">
                  <c:v>10.199999999999999</c:v>
                </c:pt>
                <c:pt idx="238">
                  <c:v>10</c:v>
                </c:pt>
                <c:pt idx="239">
                  <c:v>10.9</c:v>
                </c:pt>
                <c:pt idx="240">
                  <c:v>8.3000000000000007</c:v>
                </c:pt>
                <c:pt idx="241">
                  <c:v>10</c:v>
                </c:pt>
                <c:pt idx="242">
                  <c:v>9.9</c:v>
                </c:pt>
                <c:pt idx="243">
                  <c:v>9.9</c:v>
                </c:pt>
                <c:pt idx="244">
                  <c:v>9.9</c:v>
                </c:pt>
                <c:pt idx="245">
                  <c:v>9.9</c:v>
                </c:pt>
                <c:pt idx="246">
                  <c:v>9.9</c:v>
                </c:pt>
                <c:pt idx="247">
                  <c:v>9.8000000000000007</c:v>
                </c:pt>
                <c:pt idx="248">
                  <c:v>9.8000000000000007</c:v>
                </c:pt>
                <c:pt idx="249">
                  <c:v>9.6999999999999993</c:v>
                </c:pt>
                <c:pt idx="250">
                  <c:v>9.6</c:v>
                </c:pt>
                <c:pt idx="251">
                  <c:v>9.5</c:v>
                </c:pt>
                <c:pt idx="252">
                  <c:v>9.5</c:v>
                </c:pt>
                <c:pt idx="253">
                  <c:v>9.5</c:v>
                </c:pt>
                <c:pt idx="254">
                  <c:v>9.5</c:v>
                </c:pt>
                <c:pt idx="255">
                  <c:v>9.5</c:v>
                </c:pt>
                <c:pt idx="256">
                  <c:v>9.4</c:v>
                </c:pt>
                <c:pt idx="257">
                  <c:v>9.4</c:v>
                </c:pt>
                <c:pt idx="258">
                  <c:v>9.4</c:v>
                </c:pt>
                <c:pt idx="259">
                  <c:v>9.4</c:v>
                </c:pt>
                <c:pt idx="260">
                  <c:v>9.3000000000000007</c:v>
                </c:pt>
                <c:pt idx="261">
                  <c:v>9.3000000000000007</c:v>
                </c:pt>
                <c:pt idx="262">
                  <c:v>9.3000000000000007</c:v>
                </c:pt>
                <c:pt idx="263">
                  <c:v>9.1999999999999993</c:v>
                </c:pt>
                <c:pt idx="264">
                  <c:v>6.9</c:v>
                </c:pt>
                <c:pt idx="265">
                  <c:v>12.9</c:v>
                </c:pt>
                <c:pt idx="266">
                  <c:v>9.1999999999999993</c:v>
                </c:pt>
                <c:pt idx="267">
                  <c:v>9.1999999999999993</c:v>
                </c:pt>
                <c:pt idx="268">
                  <c:v>9.1999999999999993</c:v>
                </c:pt>
                <c:pt idx="269">
                  <c:v>9.1999999999999993</c:v>
                </c:pt>
                <c:pt idx="270">
                  <c:v>9</c:v>
                </c:pt>
                <c:pt idx="271">
                  <c:v>9.1999999999999993</c:v>
                </c:pt>
                <c:pt idx="272">
                  <c:v>8.9</c:v>
                </c:pt>
                <c:pt idx="273">
                  <c:v>9</c:v>
                </c:pt>
                <c:pt idx="274">
                  <c:v>9</c:v>
                </c:pt>
                <c:pt idx="275">
                  <c:v>8.9</c:v>
                </c:pt>
                <c:pt idx="276">
                  <c:v>8.9</c:v>
                </c:pt>
                <c:pt idx="277">
                  <c:v>8.9</c:v>
                </c:pt>
                <c:pt idx="278">
                  <c:v>8.9</c:v>
                </c:pt>
                <c:pt idx="279">
                  <c:v>8.9</c:v>
                </c:pt>
                <c:pt idx="280">
                  <c:v>8.6999999999999993</c:v>
                </c:pt>
                <c:pt idx="281">
                  <c:v>8.6999999999999993</c:v>
                </c:pt>
                <c:pt idx="282">
                  <c:v>8.6999999999999993</c:v>
                </c:pt>
                <c:pt idx="283">
                  <c:v>8.6999999999999993</c:v>
                </c:pt>
                <c:pt idx="284">
                  <c:v>8.6</c:v>
                </c:pt>
                <c:pt idx="285">
                  <c:v>9</c:v>
                </c:pt>
                <c:pt idx="286">
                  <c:v>7.4</c:v>
                </c:pt>
                <c:pt idx="287">
                  <c:v>8.6</c:v>
                </c:pt>
                <c:pt idx="288">
                  <c:v>8.6</c:v>
                </c:pt>
                <c:pt idx="289">
                  <c:v>8.6</c:v>
                </c:pt>
                <c:pt idx="290">
                  <c:v>8.6</c:v>
                </c:pt>
                <c:pt idx="291">
                  <c:v>8.5</c:v>
                </c:pt>
                <c:pt idx="292">
                  <c:v>8.1999999999999993</c:v>
                </c:pt>
                <c:pt idx="293">
                  <c:v>8.5</c:v>
                </c:pt>
                <c:pt idx="294">
                  <c:v>8.5</c:v>
                </c:pt>
                <c:pt idx="295">
                  <c:v>8.5</c:v>
                </c:pt>
                <c:pt idx="296">
                  <c:v>8.4</c:v>
                </c:pt>
                <c:pt idx="297">
                  <c:v>7.9</c:v>
                </c:pt>
                <c:pt idx="298">
                  <c:v>9.1999999999999993</c:v>
                </c:pt>
                <c:pt idx="299">
                  <c:v>8.4</c:v>
                </c:pt>
                <c:pt idx="300">
                  <c:v>8.4</c:v>
                </c:pt>
                <c:pt idx="301">
                  <c:v>8.4</c:v>
                </c:pt>
                <c:pt idx="302">
                  <c:v>8.4</c:v>
                </c:pt>
                <c:pt idx="303">
                  <c:v>8.3000000000000007</c:v>
                </c:pt>
                <c:pt idx="304">
                  <c:v>6.6</c:v>
                </c:pt>
                <c:pt idx="305">
                  <c:v>10.5</c:v>
                </c:pt>
                <c:pt idx="306">
                  <c:v>8.3000000000000007</c:v>
                </c:pt>
                <c:pt idx="307">
                  <c:v>8.3000000000000007</c:v>
                </c:pt>
                <c:pt idx="308">
                  <c:v>8.3000000000000007</c:v>
                </c:pt>
                <c:pt idx="309">
                  <c:v>8.3000000000000007</c:v>
                </c:pt>
                <c:pt idx="310">
                  <c:v>8.1999999999999993</c:v>
                </c:pt>
                <c:pt idx="311">
                  <c:v>8.1</c:v>
                </c:pt>
                <c:pt idx="312">
                  <c:v>8.1</c:v>
                </c:pt>
                <c:pt idx="313">
                  <c:v>8</c:v>
                </c:pt>
                <c:pt idx="314">
                  <c:v>7.9</c:v>
                </c:pt>
                <c:pt idx="315">
                  <c:v>7.9</c:v>
                </c:pt>
                <c:pt idx="316">
                  <c:v>7.8</c:v>
                </c:pt>
                <c:pt idx="317">
                  <c:v>6.8</c:v>
                </c:pt>
                <c:pt idx="318">
                  <c:v>9.6999999999999993</c:v>
                </c:pt>
                <c:pt idx="319">
                  <c:v>7.8</c:v>
                </c:pt>
                <c:pt idx="320">
                  <c:v>7.8</c:v>
                </c:pt>
                <c:pt idx="321">
                  <c:v>7.8</c:v>
                </c:pt>
                <c:pt idx="322">
                  <c:v>7.8</c:v>
                </c:pt>
                <c:pt idx="323">
                  <c:v>7.7</c:v>
                </c:pt>
                <c:pt idx="324">
                  <c:v>7.7</c:v>
                </c:pt>
                <c:pt idx="325">
                  <c:v>7.7</c:v>
                </c:pt>
                <c:pt idx="326">
                  <c:v>7.7</c:v>
                </c:pt>
                <c:pt idx="327">
                  <c:v>7.6</c:v>
                </c:pt>
                <c:pt idx="328">
                  <c:v>2.2999999999999998</c:v>
                </c:pt>
                <c:pt idx="329">
                  <c:v>11.5</c:v>
                </c:pt>
                <c:pt idx="330">
                  <c:v>7.6</c:v>
                </c:pt>
                <c:pt idx="331">
                  <c:v>7.6</c:v>
                </c:pt>
                <c:pt idx="332">
                  <c:v>7.5</c:v>
                </c:pt>
                <c:pt idx="333">
                  <c:v>3.7</c:v>
                </c:pt>
                <c:pt idx="334">
                  <c:v>11</c:v>
                </c:pt>
                <c:pt idx="335">
                  <c:v>7.5</c:v>
                </c:pt>
                <c:pt idx="336">
                  <c:v>8</c:v>
                </c:pt>
                <c:pt idx="337">
                  <c:v>7.5</c:v>
                </c:pt>
                <c:pt idx="338">
                  <c:v>7.5</c:v>
                </c:pt>
                <c:pt idx="339">
                  <c:v>7.5</c:v>
                </c:pt>
                <c:pt idx="340">
                  <c:v>7.5</c:v>
                </c:pt>
                <c:pt idx="341">
                  <c:v>7.4</c:v>
                </c:pt>
                <c:pt idx="342">
                  <c:v>5.8</c:v>
                </c:pt>
                <c:pt idx="343">
                  <c:v>10.8</c:v>
                </c:pt>
                <c:pt idx="344">
                  <c:v>7.4</c:v>
                </c:pt>
                <c:pt idx="345">
                  <c:v>4.9000000000000004</c:v>
                </c:pt>
                <c:pt idx="346">
                  <c:v>10.6</c:v>
                </c:pt>
                <c:pt idx="347">
                  <c:v>7.4</c:v>
                </c:pt>
                <c:pt idx="348">
                  <c:v>7.4</c:v>
                </c:pt>
                <c:pt idx="349">
                  <c:v>7.4</c:v>
                </c:pt>
                <c:pt idx="350">
                  <c:v>7.3</c:v>
                </c:pt>
                <c:pt idx="351">
                  <c:v>7.9</c:v>
                </c:pt>
                <c:pt idx="352">
                  <c:v>6.3</c:v>
                </c:pt>
                <c:pt idx="353">
                  <c:v>7.3</c:v>
                </c:pt>
                <c:pt idx="354">
                  <c:v>7.3</c:v>
                </c:pt>
                <c:pt idx="355">
                  <c:v>7.3</c:v>
                </c:pt>
                <c:pt idx="356">
                  <c:v>7.3</c:v>
                </c:pt>
                <c:pt idx="357">
                  <c:v>7.2</c:v>
                </c:pt>
                <c:pt idx="358">
                  <c:v>8</c:v>
                </c:pt>
                <c:pt idx="359">
                  <c:v>7.2</c:v>
                </c:pt>
                <c:pt idx="360">
                  <c:v>7.2</c:v>
                </c:pt>
                <c:pt idx="361">
                  <c:v>7.2</c:v>
                </c:pt>
                <c:pt idx="362">
                  <c:v>7.2</c:v>
                </c:pt>
                <c:pt idx="363">
                  <c:v>7.1</c:v>
                </c:pt>
                <c:pt idx="364">
                  <c:v>7.1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6.9</c:v>
                </c:pt>
                <c:pt idx="371">
                  <c:v>6.9</c:v>
                </c:pt>
                <c:pt idx="372">
                  <c:v>6.9</c:v>
                </c:pt>
                <c:pt idx="373">
                  <c:v>6.8</c:v>
                </c:pt>
                <c:pt idx="374">
                  <c:v>6.7</c:v>
                </c:pt>
                <c:pt idx="375">
                  <c:v>5.6</c:v>
                </c:pt>
                <c:pt idx="376">
                  <c:v>8.3000000000000007</c:v>
                </c:pt>
                <c:pt idx="377">
                  <c:v>6.7</c:v>
                </c:pt>
                <c:pt idx="378">
                  <c:v>6.4</c:v>
                </c:pt>
                <c:pt idx="379">
                  <c:v>7.5</c:v>
                </c:pt>
                <c:pt idx="380">
                  <c:v>6.7</c:v>
                </c:pt>
                <c:pt idx="381">
                  <c:v>6.7</c:v>
                </c:pt>
                <c:pt idx="382">
                  <c:v>6.7</c:v>
                </c:pt>
                <c:pt idx="383">
                  <c:v>6.7</c:v>
                </c:pt>
                <c:pt idx="384">
                  <c:v>6.6</c:v>
                </c:pt>
                <c:pt idx="385">
                  <c:v>6.6</c:v>
                </c:pt>
                <c:pt idx="386">
                  <c:v>6.5</c:v>
                </c:pt>
                <c:pt idx="387">
                  <c:v>5.4</c:v>
                </c:pt>
                <c:pt idx="388">
                  <c:v>7.3</c:v>
                </c:pt>
                <c:pt idx="389">
                  <c:v>6.5</c:v>
                </c:pt>
                <c:pt idx="390">
                  <c:v>6.5</c:v>
                </c:pt>
                <c:pt idx="391">
                  <c:v>6.5</c:v>
                </c:pt>
                <c:pt idx="392">
                  <c:v>6.5</c:v>
                </c:pt>
                <c:pt idx="393">
                  <c:v>6.5</c:v>
                </c:pt>
                <c:pt idx="394">
                  <c:v>6.4</c:v>
                </c:pt>
                <c:pt idx="395">
                  <c:v>7.3</c:v>
                </c:pt>
                <c:pt idx="396">
                  <c:v>6.4</c:v>
                </c:pt>
                <c:pt idx="397">
                  <c:v>6.3</c:v>
                </c:pt>
                <c:pt idx="398">
                  <c:v>6.3</c:v>
                </c:pt>
                <c:pt idx="399">
                  <c:v>6.2</c:v>
                </c:pt>
                <c:pt idx="400">
                  <c:v>7.1</c:v>
                </c:pt>
                <c:pt idx="401">
                  <c:v>4.5999999999999996</c:v>
                </c:pt>
                <c:pt idx="402">
                  <c:v>6.2</c:v>
                </c:pt>
                <c:pt idx="403">
                  <c:v>6.2</c:v>
                </c:pt>
                <c:pt idx="404">
                  <c:v>6.2</c:v>
                </c:pt>
                <c:pt idx="405">
                  <c:v>6.2</c:v>
                </c:pt>
                <c:pt idx="406">
                  <c:v>6</c:v>
                </c:pt>
                <c:pt idx="407">
                  <c:v>3.5</c:v>
                </c:pt>
                <c:pt idx="408">
                  <c:v>9.1</c:v>
                </c:pt>
                <c:pt idx="409">
                  <c:v>6</c:v>
                </c:pt>
                <c:pt idx="410">
                  <c:v>6</c:v>
                </c:pt>
                <c:pt idx="411">
                  <c:v>6</c:v>
                </c:pt>
                <c:pt idx="412">
                  <c:v>5.9</c:v>
                </c:pt>
                <c:pt idx="413">
                  <c:v>5.9</c:v>
                </c:pt>
                <c:pt idx="414">
                  <c:v>5.8</c:v>
                </c:pt>
                <c:pt idx="415">
                  <c:v>3.2</c:v>
                </c:pt>
                <c:pt idx="416">
                  <c:v>9.4</c:v>
                </c:pt>
                <c:pt idx="417">
                  <c:v>5.8</c:v>
                </c:pt>
                <c:pt idx="418">
                  <c:v>5.8</c:v>
                </c:pt>
                <c:pt idx="419">
                  <c:v>5.8</c:v>
                </c:pt>
                <c:pt idx="420">
                  <c:v>5.8</c:v>
                </c:pt>
                <c:pt idx="421">
                  <c:v>5.7</c:v>
                </c:pt>
                <c:pt idx="422">
                  <c:v>5.7</c:v>
                </c:pt>
                <c:pt idx="423">
                  <c:v>5.7</c:v>
                </c:pt>
                <c:pt idx="424">
                  <c:v>5.7</c:v>
                </c:pt>
                <c:pt idx="425">
                  <c:v>5.6</c:v>
                </c:pt>
                <c:pt idx="426">
                  <c:v>2.7</c:v>
                </c:pt>
                <c:pt idx="427">
                  <c:v>10</c:v>
                </c:pt>
                <c:pt idx="428">
                  <c:v>5.6</c:v>
                </c:pt>
                <c:pt idx="429">
                  <c:v>2.9</c:v>
                </c:pt>
                <c:pt idx="430">
                  <c:v>9</c:v>
                </c:pt>
                <c:pt idx="431">
                  <c:v>5.6</c:v>
                </c:pt>
                <c:pt idx="432">
                  <c:v>5.6</c:v>
                </c:pt>
                <c:pt idx="433">
                  <c:v>5.6</c:v>
                </c:pt>
                <c:pt idx="434">
                  <c:v>5.6</c:v>
                </c:pt>
                <c:pt idx="435">
                  <c:v>5.5</c:v>
                </c:pt>
                <c:pt idx="436">
                  <c:v>5.5</c:v>
                </c:pt>
                <c:pt idx="437">
                  <c:v>5.5</c:v>
                </c:pt>
                <c:pt idx="438">
                  <c:v>5.5</c:v>
                </c:pt>
                <c:pt idx="439">
                  <c:v>5.4</c:v>
                </c:pt>
                <c:pt idx="440">
                  <c:v>5.4</c:v>
                </c:pt>
                <c:pt idx="441">
                  <c:v>5.4</c:v>
                </c:pt>
                <c:pt idx="442">
                  <c:v>5.4</c:v>
                </c:pt>
                <c:pt idx="443">
                  <c:v>5.4</c:v>
                </c:pt>
                <c:pt idx="444">
                  <c:v>5.3</c:v>
                </c:pt>
                <c:pt idx="445">
                  <c:v>5.3</c:v>
                </c:pt>
                <c:pt idx="446">
                  <c:v>5.3</c:v>
                </c:pt>
                <c:pt idx="447">
                  <c:v>5.2</c:v>
                </c:pt>
                <c:pt idx="448">
                  <c:v>5.2</c:v>
                </c:pt>
                <c:pt idx="449">
                  <c:v>5.2</c:v>
                </c:pt>
                <c:pt idx="450">
                  <c:v>5.2</c:v>
                </c:pt>
                <c:pt idx="451">
                  <c:v>5.2</c:v>
                </c:pt>
                <c:pt idx="452">
                  <c:v>5.2</c:v>
                </c:pt>
                <c:pt idx="453">
                  <c:v>5.2</c:v>
                </c:pt>
                <c:pt idx="454">
                  <c:v>5.0999999999999996</c:v>
                </c:pt>
                <c:pt idx="455">
                  <c:v>4.3</c:v>
                </c:pt>
                <c:pt idx="456">
                  <c:v>6.7</c:v>
                </c:pt>
                <c:pt idx="457">
                  <c:v>5.0999999999999996</c:v>
                </c:pt>
                <c:pt idx="458">
                  <c:v>5.0999999999999996</c:v>
                </c:pt>
                <c:pt idx="459">
                  <c:v>5.0999999999999996</c:v>
                </c:pt>
                <c:pt idx="460">
                  <c:v>5.0999999999999996</c:v>
                </c:pt>
                <c:pt idx="461">
                  <c:v>5</c:v>
                </c:pt>
                <c:pt idx="462">
                  <c:v>4.9000000000000004</c:v>
                </c:pt>
                <c:pt idx="463">
                  <c:v>2.9</c:v>
                </c:pt>
                <c:pt idx="464">
                  <c:v>11.6</c:v>
                </c:pt>
                <c:pt idx="465">
                  <c:v>4.9000000000000004</c:v>
                </c:pt>
                <c:pt idx="466">
                  <c:v>4.9000000000000004</c:v>
                </c:pt>
                <c:pt idx="467">
                  <c:v>4.9000000000000004</c:v>
                </c:pt>
                <c:pt idx="468">
                  <c:v>4.9000000000000004</c:v>
                </c:pt>
                <c:pt idx="469">
                  <c:v>4.8</c:v>
                </c:pt>
                <c:pt idx="470">
                  <c:v>4.5999999999999996</c:v>
                </c:pt>
                <c:pt idx="471">
                  <c:v>6</c:v>
                </c:pt>
                <c:pt idx="472">
                  <c:v>4.5999999999999996</c:v>
                </c:pt>
                <c:pt idx="473">
                  <c:v>4.5999999999999996</c:v>
                </c:pt>
                <c:pt idx="474">
                  <c:v>4.5999999999999996</c:v>
                </c:pt>
                <c:pt idx="475">
                  <c:v>4.5999999999999996</c:v>
                </c:pt>
                <c:pt idx="476">
                  <c:v>4.5</c:v>
                </c:pt>
                <c:pt idx="477">
                  <c:v>6.1</c:v>
                </c:pt>
                <c:pt idx="478">
                  <c:v>4.5</c:v>
                </c:pt>
                <c:pt idx="479">
                  <c:v>4.5</c:v>
                </c:pt>
                <c:pt idx="480">
                  <c:v>4.5</c:v>
                </c:pt>
                <c:pt idx="481">
                  <c:v>4.5</c:v>
                </c:pt>
                <c:pt idx="482">
                  <c:v>4.4000000000000004</c:v>
                </c:pt>
                <c:pt idx="483">
                  <c:v>3.2</c:v>
                </c:pt>
                <c:pt idx="484">
                  <c:v>6</c:v>
                </c:pt>
                <c:pt idx="485">
                  <c:v>4.4000000000000004</c:v>
                </c:pt>
                <c:pt idx="486">
                  <c:v>4.8</c:v>
                </c:pt>
                <c:pt idx="487">
                  <c:v>3.9</c:v>
                </c:pt>
                <c:pt idx="488">
                  <c:v>4.4000000000000004</c:v>
                </c:pt>
                <c:pt idx="489">
                  <c:v>4.4000000000000004</c:v>
                </c:pt>
                <c:pt idx="490">
                  <c:v>4.4000000000000004</c:v>
                </c:pt>
                <c:pt idx="491">
                  <c:v>4.4000000000000004</c:v>
                </c:pt>
                <c:pt idx="492">
                  <c:v>4.4000000000000004</c:v>
                </c:pt>
                <c:pt idx="493">
                  <c:v>4.4000000000000004</c:v>
                </c:pt>
                <c:pt idx="494">
                  <c:v>4.3</c:v>
                </c:pt>
                <c:pt idx="495">
                  <c:v>4.3</c:v>
                </c:pt>
                <c:pt idx="496">
                  <c:v>4.3</c:v>
                </c:pt>
                <c:pt idx="497">
                  <c:v>4.3</c:v>
                </c:pt>
                <c:pt idx="498">
                  <c:v>4.0999999999999996</c:v>
                </c:pt>
                <c:pt idx="499">
                  <c:v>4.0999999999999996</c:v>
                </c:pt>
                <c:pt idx="500">
                  <c:v>4.0999999999999996</c:v>
                </c:pt>
                <c:pt idx="501">
                  <c:v>4</c:v>
                </c:pt>
                <c:pt idx="502">
                  <c:v>4.9000000000000004</c:v>
                </c:pt>
                <c:pt idx="503">
                  <c:v>4</c:v>
                </c:pt>
                <c:pt idx="504">
                  <c:v>4</c:v>
                </c:pt>
                <c:pt idx="505">
                  <c:v>4</c:v>
                </c:pt>
                <c:pt idx="506">
                  <c:v>4</c:v>
                </c:pt>
                <c:pt idx="507">
                  <c:v>4</c:v>
                </c:pt>
                <c:pt idx="508">
                  <c:v>4</c:v>
                </c:pt>
                <c:pt idx="509">
                  <c:v>4</c:v>
                </c:pt>
                <c:pt idx="510">
                  <c:v>3.9</c:v>
                </c:pt>
                <c:pt idx="511">
                  <c:v>3.9</c:v>
                </c:pt>
                <c:pt idx="512">
                  <c:v>3.9</c:v>
                </c:pt>
                <c:pt idx="513">
                  <c:v>3.9</c:v>
                </c:pt>
                <c:pt idx="514">
                  <c:v>3.8</c:v>
                </c:pt>
                <c:pt idx="515">
                  <c:v>3.7</c:v>
                </c:pt>
                <c:pt idx="516">
                  <c:v>3.5</c:v>
                </c:pt>
                <c:pt idx="517">
                  <c:v>4.3</c:v>
                </c:pt>
                <c:pt idx="518">
                  <c:v>3.7</c:v>
                </c:pt>
                <c:pt idx="519">
                  <c:v>3.6</c:v>
                </c:pt>
                <c:pt idx="520">
                  <c:v>3.6</c:v>
                </c:pt>
                <c:pt idx="521">
                  <c:v>3.6</c:v>
                </c:pt>
                <c:pt idx="522">
                  <c:v>3.5</c:v>
                </c:pt>
                <c:pt idx="523">
                  <c:v>3.5</c:v>
                </c:pt>
                <c:pt idx="524">
                  <c:v>3.4</c:v>
                </c:pt>
                <c:pt idx="525">
                  <c:v>4.2</c:v>
                </c:pt>
                <c:pt idx="526">
                  <c:v>1.7</c:v>
                </c:pt>
                <c:pt idx="527">
                  <c:v>3.4</c:v>
                </c:pt>
                <c:pt idx="528">
                  <c:v>4.0999999999999996</c:v>
                </c:pt>
                <c:pt idx="529">
                  <c:v>2.1</c:v>
                </c:pt>
                <c:pt idx="530">
                  <c:v>3.4</c:v>
                </c:pt>
                <c:pt idx="531">
                  <c:v>3.4</c:v>
                </c:pt>
                <c:pt idx="532">
                  <c:v>3.4</c:v>
                </c:pt>
                <c:pt idx="533">
                  <c:v>3.4</c:v>
                </c:pt>
                <c:pt idx="534">
                  <c:v>3.3</c:v>
                </c:pt>
                <c:pt idx="535">
                  <c:v>3.3</c:v>
                </c:pt>
                <c:pt idx="536">
                  <c:v>3.2</c:v>
                </c:pt>
                <c:pt idx="537">
                  <c:v>3.2</c:v>
                </c:pt>
                <c:pt idx="538">
                  <c:v>3.2</c:v>
                </c:pt>
                <c:pt idx="539">
                  <c:v>3.1</c:v>
                </c:pt>
                <c:pt idx="540">
                  <c:v>3.1</c:v>
                </c:pt>
                <c:pt idx="541">
                  <c:v>3</c:v>
                </c:pt>
                <c:pt idx="542">
                  <c:v>2.8</c:v>
                </c:pt>
                <c:pt idx="543">
                  <c:v>3.2</c:v>
                </c:pt>
                <c:pt idx="544">
                  <c:v>2.9</c:v>
                </c:pt>
                <c:pt idx="545">
                  <c:v>2.4</c:v>
                </c:pt>
                <c:pt idx="546">
                  <c:v>4</c:v>
                </c:pt>
                <c:pt idx="547">
                  <c:v>2.9</c:v>
                </c:pt>
                <c:pt idx="548">
                  <c:v>3</c:v>
                </c:pt>
                <c:pt idx="549">
                  <c:v>1.9</c:v>
                </c:pt>
                <c:pt idx="550">
                  <c:v>2.9</c:v>
                </c:pt>
                <c:pt idx="551">
                  <c:v>2.9</c:v>
                </c:pt>
                <c:pt idx="552">
                  <c:v>2.9</c:v>
                </c:pt>
                <c:pt idx="553">
                  <c:v>2.9</c:v>
                </c:pt>
                <c:pt idx="554">
                  <c:v>2.8</c:v>
                </c:pt>
                <c:pt idx="555">
                  <c:v>2.8</c:v>
                </c:pt>
                <c:pt idx="556">
                  <c:v>2.8</c:v>
                </c:pt>
                <c:pt idx="557">
                  <c:v>2.7</c:v>
                </c:pt>
                <c:pt idx="558">
                  <c:v>2.6</c:v>
                </c:pt>
                <c:pt idx="559">
                  <c:v>3.1</c:v>
                </c:pt>
                <c:pt idx="560">
                  <c:v>2.7</c:v>
                </c:pt>
                <c:pt idx="561">
                  <c:v>2.7</c:v>
                </c:pt>
                <c:pt idx="562">
                  <c:v>2.7</c:v>
                </c:pt>
                <c:pt idx="563">
                  <c:v>2.7</c:v>
                </c:pt>
                <c:pt idx="564">
                  <c:v>2.6</c:v>
                </c:pt>
                <c:pt idx="565">
                  <c:v>2.8</c:v>
                </c:pt>
                <c:pt idx="566">
                  <c:v>2.1</c:v>
                </c:pt>
                <c:pt idx="567">
                  <c:v>2.6</c:v>
                </c:pt>
                <c:pt idx="568">
                  <c:v>2.6</c:v>
                </c:pt>
                <c:pt idx="569">
                  <c:v>2.6</c:v>
                </c:pt>
                <c:pt idx="570">
                  <c:v>2.4</c:v>
                </c:pt>
                <c:pt idx="571">
                  <c:v>2.4</c:v>
                </c:pt>
                <c:pt idx="572">
                  <c:v>2.2999999999999998</c:v>
                </c:pt>
                <c:pt idx="573">
                  <c:v>2.2999999999999998</c:v>
                </c:pt>
                <c:pt idx="574">
                  <c:v>2.2999999999999998</c:v>
                </c:pt>
                <c:pt idx="575">
                  <c:v>2.2999999999999998</c:v>
                </c:pt>
                <c:pt idx="576">
                  <c:v>2.2000000000000002</c:v>
                </c:pt>
                <c:pt idx="577">
                  <c:v>2.2000000000000002</c:v>
                </c:pt>
                <c:pt idx="578">
                  <c:v>2.2000000000000002</c:v>
                </c:pt>
                <c:pt idx="579">
                  <c:v>2.2000000000000002</c:v>
                </c:pt>
                <c:pt idx="580">
                  <c:v>2.2000000000000002</c:v>
                </c:pt>
                <c:pt idx="581">
                  <c:v>2.1</c:v>
                </c:pt>
                <c:pt idx="582">
                  <c:v>2</c:v>
                </c:pt>
                <c:pt idx="583">
                  <c:v>2.1</c:v>
                </c:pt>
                <c:pt idx="584">
                  <c:v>2.1</c:v>
                </c:pt>
                <c:pt idx="585">
                  <c:v>2</c:v>
                </c:pt>
                <c:pt idx="586">
                  <c:v>2</c:v>
                </c:pt>
                <c:pt idx="587">
                  <c:v>2</c:v>
                </c:pt>
                <c:pt idx="588">
                  <c:v>1.8</c:v>
                </c:pt>
                <c:pt idx="589">
                  <c:v>1.8</c:v>
                </c:pt>
                <c:pt idx="590">
                  <c:v>1.8</c:v>
                </c:pt>
                <c:pt idx="591">
                  <c:v>1.7</c:v>
                </c:pt>
                <c:pt idx="592">
                  <c:v>1.6</c:v>
                </c:pt>
                <c:pt idx="593">
                  <c:v>1.6</c:v>
                </c:pt>
                <c:pt idx="594">
                  <c:v>1.5</c:v>
                </c:pt>
                <c:pt idx="595">
                  <c:v>2.2000000000000002</c:v>
                </c:pt>
                <c:pt idx="596">
                  <c:v>0.8</c:v>
                </c:pt>
                <c:pt idx="597">
                  <c:v>1.5</c:v>
                </c:pt>
                <c:pt idx="598">
                  <c:v>1.9</c:v>
                </c:pt>
                <c:pt idx="599">
                  <c:v>1.5</c:v>
                </c:pt>
                <c:pt idx="600">
                  <c:v>1.3</c:v>
                </c:pt>
                <c:pt idx="601">
                  <c:v>1.3</c:v>
                </c:pt>
                <c:pt idx="602">
                  <c:v>1.3</c:v>
                </c:pt>
                <c:pt idx="603">
                  <c:v>1.3</c:v>
                </c:pt>
                <c:pt idx="604">
                  <c:v>1.3</c:v>
                </c:pt>
                <c:pt idx="605">
                  <c:v>1.3</c:v>
                </c:pt>
                <c:pt idx="606">
                  <c:v>1.2</c:v>
                </c:pt>
                <c:pt idx="607">
                  <c:v>1.2</c:v>
                </c:pt>
                <c:pt idx="608">
                  <c:v>1</c:v>
                </c:pt>
                <c:pt idx="609">
                  <c:v>0.9</c:v>
                </c:pt>
                <c:pt idx="610">
                  <c:v>0.9</c:v>
                </c:pt>
                <c:pt idx="611">
                  <c:v>0.8</c:v>
                </c:pt>
                <c:pt idx="612">
                  <c:v>0.7</c:v>
                </c:pt>
                <c:pt idx="613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9E-C444-9395-7325BC63E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0672319"/>
        <c:axId val="2108653631"/>
      </c:scatterChart>
      <c:valAx>
        <c:axId val="191067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Frree Throw Attempts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653631"/>
        <c:crosses val="autoZero"/>
        <c:crossBetween val="midCat"/>
      </c:valAx>
      <c:valAx>
        <c:axId val="2108653631"/>
        <c:scaling>
          <c:orientation val="minMax"/>
          <c:max val="3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Points</a:t>
                </a:r>
                <a:r>
                  <a:rPr lang="en-US" sz="1400" baseline="0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672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baseline="0"/>
              <a:t>Assists vs Turnovers Per Game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NBA_Correlation!$W$1</c:f>
              <c:strCache>
                <c:ptCount val="1"/>
                <c:pt idx="0">
                  <c:v>TOV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0949156749451853E-2"/>
                  <c:y val="-0.138051559660811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NBA_Correlation!$T$2:$T$615</c:f>
              <c:numCache>
                <c:formatCode>General</c:formatCode>
                <c:ptCount val="614"/>
                <c:pt idx="0">
                  <c:v>8.3000000000000007</c:v>
                </c:pt>
                <c:pt idx="1">
                  <c:v>6.6</c:v>
                </c:pt>
                <c:pt idx="2">
                  <c:v>3.7</c:v>
                </c:pt>
                <c:pt idx="3">
                  <c:v>5.0999999999999996</c:v>
                </c:pt>
                <c:pt idx="4">
                  <c:v>6.7</c:v>
                </c:pt>
                <c:pt idx="5">
                  <c:v>3.6</c:v>
                </c:pt>
                <c:pt idx="6">
                  <c:v>5.7</c:v>
                </c:pt>
                <c:pt idx="7">
                  <c:v>10.9</c:v>
                </c:pt>
                <c:pt idx="8">
                  <c:v>5.4</c:v>
                </c:pt>
                <c:pt idx="9">
                  <c:v>3.9</c:v>
                </c:pt>
                <c:pt idx="10">
                  <c:v>2.1</c:v>
                </c:pt>
                <c:pt idx="11">
                  <c:v>4.8</c:v>
                </c:pt>
                <c:pt idx="12">
                  <c:v>6</c:v>
                </c:pt>
                <c:pt idx="13">
                  <c:v>6.8</c:v>
                </c:pt>
                <c:pt idx="14">
                  <c:v>4.8</c:v>
                </c:pt>
                <c:pt idx="15">
                  <c:v>7.1</c:v>
                </c:pt>
                <c:pt idx="16">
                  <c:v>3.1</c:v>
                </c:pt>
                <c:pt idx="17">
                  <c:v>6.6</c:v>
                </c:pt>
                <c:pt idx="18">
                  <c:v>9.8000000000000007</c:v>
                </c:pt>
                <c:pt idx="19">
                  <c:v>3</c:v>
                </c:pt>
                <c:pt idx="20">
                  <c:v>3.8</c:v>
                </c:pt>
                <c:pt idx="21">
                  <c:v>8</c:v>
                </c:pt>
                <c:pt idx="22">
                  <c:v>8.1</c:v>
                </c:pt>
                <c:pt idx="23">
                  <c:v>7.7</c:v>
                </c:pt>
                <c:pt idx="24">
                  <c:v>6.1</c:v>
                </c:pt>
                <c:pt idx="25">
                  <c:v>5.5</c:v>
                </c:pt>
                <c:pt idx="26">
                  <c:v>7.9</c:v>
                </c:pt>
                <c:pt idx="27">
                  <c:v>5.0999999999999996</c:v>
                </c:pt>
                <c:pt idx="28">
                  <c:v>5.3</c:v>
                </c:pt>
                <c:pt idx="29">
                  <c:v>2.5</c:v>
                </c:pt>
                <c:pt idx="30">
                  <c:v>3.8</c:v>
                </c:pt>
                <c:pt idx="31">
                  <c:v>3.7</c:v>
                </c:pt>
                <c:pt idx="32">
                  <c:v>4.5999999999999996</c:v>
                </c:pt>
                <c:pt idx="33">
                  <c:v>5</c:v>
                </c:pt>
                <c:pt idx="34">
                  <c:v>2.6</c:v>
                </c:pt>
                <c:pt idx="35">
                  <c:v>4</c:v>
                </c:pt>
                <c:pt idx="36">
                  <c:v>7.2</c:v>
                </c:pt>
                <c:pt idx="37">
                  <c:v>3.2</c:v>
                </c:pt>
                <c:pt idx="38">
                  <c:v>3.7</c:v>
                </c:pt>
                <c:pt idx="39">
                  <c:v>3.4</c:v>
                </c:pt>
                <c:pt idx="40">
                  <c:v>2.8</c:v>
                </c:pt>
                <c:pt idx="41">
                  <c:v>6.2</c:v>
                </c:pt>
                <c:pt idx="42">
                  <c:v>4.2</c:v>
                </c:pt>
                <c:pt idx="43">
                  <c:v>1.8</c:v>
                </c:pt>
                <c:pt idx="44">
                  <c:v>3.4</c:v>
                </c:pt>
                <c:pt idx="45">
                  <c:v>7.2</c:v>
                </c:pt>
                <c:pt idx="46">
                  <c:v>3</c:v>
                </c:pt>
                <c:pt idx="47">
                  <c:v>3.2</c:v>
                </c:pt>
                <c:pt idx="48">
                  <c:v>4.9000000000000004</c:v>
                </c:pt>
                <c:pt idx="49">
                  <c:v>5.7</c:v>
                </c:pt>
                <c:pt idx="50">
                  <c:v>2</c:v>
                </c:pt>
                <c:pt idx="51">
                  <c:v>8.1</c:v>
                </c:pt>
                <c:pt idx="52">
                  <c:v>2</c:v>
                </c:pt>
                <c:pt idx="53">
                  <c:v>1.9</c:v>
                </c:pt>
                <c:pt idx="54">
                  <c:v>2.2999999999999998</c:v>
                </c:pt>
                <c:pt idx="55">
                  <c:v>3.3</c:v>
                </c:pt>
                <c:pt idx="56">
                  <c:v>6.7</c:v>
                </c:pt>
                <c:pt idx="57">
                  <c:v>6.9</c:v>
                </c:pt>
                <c:pt idx="58">
                  <c:v>6.4</c:v>
                </c:pt>
                <c:pt idx="59">
                  <c:v>3.9</c:v>
                </c:pt>
                <c:pt idx="60">
                  <c:v>3.6</c:v>
                </c:pt>
                <c:pt idx="61">
                  <c:v>4.0999999999999996</c:v>
                </c:pt>
                <c:pt idx="62">
                  <c:v>2.1</c:v>
                </c:pt>
                <c:pt idx="63">
                  <c:v>3.4</c:v>
                </c:pt>
                <c:pt idx="64">
                  <c:v>6.2</c:v>
                </c:pt>
                <c:pt idx="65">
                  <c:v>4.0999999999999996</c:v>
                </c:pt>
                <c:pt idx="66">
                  <c:v>5.3</c:v>
                </c:pt>
                <c:pt idx="67">
                  <c:v>3.6</c:v>
                </c:pt>
                <c:pt idx="68">
                  <c:v>5.8</c:v>
                </c:pt>
                <c:pt idx="69">
                  <c:v>8</c:v>
                </c:pt>
                <c:pt idx="70">
                  <c:v>8.9</c:v>
                </c:pt>
                <c:pt idx="71">
                  <c:v>2.8</c:v>
                </c:pt>
                <c:pt idx="72">
                  <c:v>2.5</c:v>
                </c:pt>
                <c:pt idx="73">
                  <c:v>2.2999999999999998</c:v>
                </c:pt>
                <c:pt idx="74">
                  <c:v>2.2999999999999998</c:v>
                </c:pt>
                <c:pt idx="75">
                  <c:v>2.2999999999999998</c:v>
                </c:pt>
                <c:pt idx="76">
                  <c:v>3.6</c:v>
                </c:pt>
                <c:pt idx="77">
                  <c:v>7.4</c:v>
                </c:pt>
                <c:pt idx="78">
                  <c:v>4</c:v>
                </c:pt>
                <c:pt idx="79">
                  <c:v>4.7</c:v>
                </c:pt>
                <c:pt idx="80">
                  <c:v>3.1</c:v>
                </c:pt>
                <c:pt idx="81">
                  <c:v>5.6</c:v>
                </c:pt>
                <c:pt idx="82">
                  <c:v>3.2</c:v>
                </c:pt>
                <c:pt idx="83">
                  <c:v>1.7</c:v>
                </c:pt>
                <c:pt idx="84">
                  <c:v>5.5</c:v>
                </c:pt>
                <c:pt idx="85">
                  <c:v>9.1</c:v>
                </c:pt>
                <c:pt idx="86">
                  <c:v>5.2</c:v>
                </c:pt>
                <c:pt idx="87">
                  <c:v>7.7</c:v>
                </c:pt>
                <c:pt idx="88">
                  <c:v>2.6</c:v>
                </c:pt>
                <c:pt idx="89">
                  <c:v>2.7</c:v>
                </c:pt>
                <c:pt idx="90">
                  <c:v>2.4</c:v>
                </c:pt>
                <c:pt idx="91">
                  <c:v>7.4</c:v>
                </c:pt>
                <c:pt idx="92">
                  <c:v>2.2000000000000002</c:v>
                </c:pt>
                <c:pt idx="93">
                  <c:v>6.4</c:v>
                </c:pt>
                <c:pt idx="94">
                  <c:v>5.9</c:v>
                </c:pt>
                <c:pt idx="95">
                  <c:v>3.8</c:v>
                </c:pt>
                <c:pt idx="96">
                  <c:v>5.4</c:v>
                </c:pt>
                <c:pt idx="97">
                  <c:v>2.1</c:v>
                </c:pt>
                <c:pt idx="98">
                  <c:v>2.7</c:v>
                </c:pt>
                <c:pt idx="99">
                  <c:v>2.7</c:v>
                </c:pt>
                <c:pt idx="100">
                  <c:v>6.1</c:v>
                </c:pt>
                <c:pt idx="101">
                  <c:v>4.0999999999999996</c:v>
                </c:pt>
                <c:pt idx="102">
                  <c:v>4.0999999999999996</c:v>
                </c:pt>
                <c:pt idx="103">
                  <c:v>1.9</c:v>
                </c:pt>
                <c:pt idx="104">
                  <c:v>2.7</c:v>
                </c:pt>
                <c:pt idx="105">
                  <c:v>3.3</c:v>
                </c:pt>
                <c:pt idx="106">
                  <c:v>3.7</c:v>
                </c:pt>
                <c:pt idx="107">
                  <c:v>2.6</c:v>
                </c:pt>
                <c:pt idx="108">
                  <c:v>1.8</c:v>
                </c:pt>
                <c:pt idx="109">
                  <c:v>4.7</c:v>
                </c:pt>
                <c:pt idx="110">
                  <c:v>3.3</c:v>
                </c:pt>
                <c:pt idx="111">
                  <c:v>3.1</c:v>
                </c:pt>
                <c:pt idx="112">
                  <c:v>6.7</c:v>
                </c:pt>
                <c:pt idx="113">
                  <c:v>3.3</c:v>
                </c:pt>
                <c:pt idx="114">
                  <c:v>3.8</c:v>
                </c:pt>
                <c:pt idx="115">
                  <c:v>2</c:v>
                </c:pt>
                <c:pt idx="116">
                  <c:v>3.7</c:v>
                </c:pt>
                <c:pt idx="117">
                  <c:v>6.7</c:v>
                </c:pt>
                <c:pt idx="118">
                  <c:v>1.9</c:v>
                </c:pt>
                <c:pt idx="119">
                  <c:v>3.6</c:v>
                </c:pt>
                <c:pt idx="120">
                  <c:v>3.6</c:v>
                </c:pt>
                <c:pt idx="121">
                  <c:v>3.5</c:v>
                </c:pt>
                <c:pt idx="122">
                  <c:v>4.5</c:v>
                </c:pt>
                <c:pt idx="123">
                  <c:v>2.7</c:v>
                </c:pt>
                <c:pt idx="124">
                  <c:v>3.8</c:v>
                </c:pt>
                <c:pt idx="125">
                  <c:v>2.1</c:v>
                </c:pt>
                <c:pt idx="126">
                  <c:v>2.4</c:v>
                </c:pt>
                <c:pt idx="127">
                  <c:v>2.4</c:v>
                </c:pt>
                <c:pt idx="128">
                  <c:v>3.7</c:v>
                </c:pt>
                <c:pt idx="129">
                  <c:v>5.4</c:v>
                </c:pt>
                <c:pt idx="130">
                  <c:v>1.6</c:v>
                </c:pt>
                <c:pt idx="131">
                  <c:v>1.8</c:v>
                </c:pt>
                <c:pt idx="132">
                  <c:v>2.2000000000000002</c:v>
                </c:pt>
                <c:pt idx="133">
                  <c:v>2.2000000000000002</c:v>
                </c:pt>
                <c:pt idx="134">
                  <c:v>2.9</c:v>
                </c:pt>
                <c:pt idx="135">
                  <c:v>3.4</c:v>
                </c:pt>
                <c:pt idx="136">
                  <c:v>1.7</c:v>
                </c:pt>
                <c:pt idx="137">
                  <c:v>3.7</c:v>
                </c:pt>
                <c:pt idx="138">
                  <c:v>1.8</c:v>
                </c:pt>
                <c:pt idx="139">
                  <c:v>1.9</c:v>
                </c:pt>
                <c:pt idx="140">
                  <c:v>2.5</c:v>
                </c:pt>
                <c:pt idx="141">
                  <c:v>2</c:v>
                </c:pt>
                <c:pt idx="142">
                  <c:v>2.1</c:v>
                </c:pt>
                <c:pt idx="143">
                  <c:v>1.6</c:v>
                </c:pt>
                <c:pt idx="144">
                  <c:v>2.8</c:v>
                </c:pt>
                <c:pt idx="145">
                  <c:v>1.1000000000000001</c:v>
                </c:pt>
                <c:pt idx="146">
                  <c:v>3.6</c:v>
                </c:pt>
                <c:pt idx="147">
                  <c:v>2.2000000000000002</c:v>
                </c:pt>
                <c:pt idx="148">
                  <c:v>5.5</c:v>
                </c:pt>
                <c:pt idx="149">
                  <c:v>2.6</c:v>
                </c:pt>
                <c:pt idx="150">
                  <c:v>3.1</c:v>
                </c:pt>
                <c:pt idx="151">
                  <c:v>1.9</c:v>
                </c:pt>
                <c:pt idx="152">
                  <c:v>1</c:v>
                </c:pt>
                <c:pt idx="153">
                  <c:v>1.4</c:v>
                </c:pt>
                <c:pt idx="154">
                  <c:v>1.5</c:v>
                </c:pt>
                <c:pt idx="155">
                  <c:v>3.4</c:v>
                </c:pt>
                <c:pt idx="156">
                  <c:v>2.5</c:v>
                </c:pt>
                <c:pt idx="157">
                  <c:v>3.1</c:v>
                </c:pt>
                <c:pt idx="158">
                  <c:v>3.2</c:v>
                </c:pt>
                <c:pt idx="159">
                  <c:v>2.5</c:v>
                </c:pt>
                <c:pt idx="160">
                  <c:v>1.4</c:v>
                </c:pt>
                <c:pt idx="161">
                  <c:v>2.2000000000000002</c:v>
                </c:pt>
                <c:pt idx="162">
                  <c:v>2.7</c:v>
                </c:pt>
                <c:pt idx="163">
                  <c:v>3.9</c:v>
                </c:pt>
                <c:pt idx="164">
                  <c:v>2.4</c:v>
                </c:pt>
                <c:pt idx="165">
                  <c:v>4.5999999999999996</c:v>
                </c:pt>
                <c:pt idx="166">
                  <c:v>1.5</c:v>
                </c:pt>
                <c:pt idx="167">
                  <c:v>2.6</c:v>
                </c:pt>
                <c:pt idx="168">
                  <c:v>3</c:v>
                </c:pt>
                <c:pt idx="169">
                  <c:v>1.6</c:v>
                </c:pt>
                <c:pt idx="170">
                  <c:v>0.8</c:v>
                </c:pt>
                <c:pt idx="171">
                  <c:v>2</c:v>
                </c:pt>
                <c:pt idx="172">
                  <c:v>1.6</c:v>
                </c:pt>
                <c:pt idx="173">
                  <c:v>3.8</c:v>
                </c:pt>
                <c:pt idx="174">
                  <c:v>1.3</c:v>
                </c:pt>
                <c:pt idx="175">
                  <c:v>2.2999999999999998</c:v>
                </c:pt>
                <c:pt idx="176">
                  <c:v>2.5</c:v>
                </c:pt>
                <c:pt idx="177">
                  <c:v>2.1</c:v>
                </c:pt>
                <c:pt idx="178">
                  <c:v>2.4</c:v>
                </c:pt>
                <c:pt idx="179">
                  <c:v>2</c:v>
                </c:pt>
                <c:pt idx="180">
                  <c:v>2.1</c:v>
                </c:pt>
                <c:pt idx="181">
                  <c:v>2.1</c:v>
                </c:pt>
                <c:pt idx="182">
                  <c:v>1.1000000000000001</c:v>
                </c:pt>
                <c:pt idx="183">
                  <c:v>1.6</c:v>
                </c:pt>
                <c:pt idx="184">
                  <c:v>2.7</c:v>
                </c:pt>
                <c:pt idx="185">
                  <c:v>4.8</c:v>
                </c:pt>
                <c:pt idx="186">
                  <c:v>2</c:v>
                </c:pt>
                <c:pt idx="187">
                  <c:v>5.9</c:v>
                </c:pt>
                <c:pt idx="188">
                  <c:v>1.5</c:v>
                </c:pt>
                <c:pt idx="189">
                  <c:v>3.9</c:v>
                </c:pt>
                <c:pt idx="190">
                  <c:v>2.6</c:v>
                </c:pt>
                <c:pt idx="191">
                  <c:v>3.7</c:v>
                </c:pt>
                <c:pt idx="192">
                  <c:v>7.2</c:v>
                </c:pt>
                <c:pt idx="193">
                  <c:v>2.6</c:v>
                </c:pt>
                <c:pt idx="194">
                  <c:v>2</c:v>
                </c:pt>
                <c:pt idx="195">
                  <c:v>1.4</c:v>
                </c:pt>
                <c:pt idx="196">
                  <c:v>1</c:v>
                </c:pt>
                <c:pt idx="197">
                  <c:v>2.5</c:v>
                </c:pt>
                <c:pt idx="198">
                  <c:v>3.7</c:v>
                </c:pt>
                <c:pt idx="199">
                  <c:v>2.6</c:v>
                </c:pt>
                <c:pt idx="200">
                  <c:v>3.4</c:v>
                </c:pt>
                <c:pt idx="201">
                  <c:v>4.7</c:v>
                </c:pt>
                <c:pt idx="202">
                  <c:v>0.9</c:v>
                </c:pt>
                <c:pt idx="203">
                  <c:v>2</c:v>
                </c:pt>
                <c:pt idx="204">
                  <c:v>1.6</c:v>
                </c:pt>
                <c:pt idx="205">
                  <c:v>1.9</c:v>
                </c:pt>
                <c:pt idx="206">
                  <c:v>2.2999999999999998</c:v>
                </c:pt>
                <c:pt idx="207">
                  <c:v>1.3</c:v>
                </c:pt>
                <c:pt idx="208">
                  <c:v>5.6</c:v>
                </c:pt>
                <c:pt idx="209">
                  <c:v>0.7</c:v>
                </c:pt>
                <c:pt idx="210">
                  <c:v>1.7</c:v>
                </c:pt>
                <c:pt idx="211">
                  <c:v>4.8</c:v>
                </c:pt>
                <c:pt idx="212">
                  <c:v>4.9000000000000004</c:v>
                </c:pt>
                <c:pt idx="213">
                  <c:v>5.3</c:v>
                </c:pt>
                <c:pt idx="214">
                  <c:v>4.3</c:v>
                </c:pt>
                <c:pt idx="215">
                  <c:v>1</c:v>
                </c:pt>
                <c:pt idx="216">
                  <c:v>1.3</c:v>
                </c:pt>
                <c:pt idx="217">
                  <c:v>2</c:v>
                </c:pt>
                <c:pt idx="218">
                  <c:v>1.7</c:v>
                </c:pt>
                <c:pt idx="219">
                  <c:v>1.7</c:v>
                </c:pt>
                <c:pt idx="220">
                  <c:v>1.7</c:v>
                </c:pt>
                <c:pt idx="221">
                  <c:v>4.5999999999999996</c:v>
                </c:pt>
                <c:pt idx="222">
                  <c:v>2.6</c:v>
                </c:pt>
                <c:pt idx="223">
                  <c:v>1.4</c:v>
                </c:pt>
                <c:pt idx="224">
                  <c:v>1.5</c:v>
                </c:pt>
                <c:pt idx="225">
                  <c:v>1.3</c:v>
                </c:pt>
                <c:pt idx="226">
                  <c:v>1.9</c:v>
                </c:pt>
                <c:pt idx="227">
                  <c:v>3.3</c:v>
                </c:pt>
                <c:pt idx="228">
                  <c:v>1.5</c:v>
                </c:pt>
                <c:pt idx="229">
                  <c:v>2</c:v>
                </c:pt>
                <c:pt idx="230">
                  <c:v>1.4</c:v>
                </c:pt>
                <c:pt idx="231">
                  <c:v>2.8</c:v>
                </c:pt>
                <c:pt idx="232">
                  <c:v>3.3</c:v>
                </c:pt>
                <c:pt idx="233">
                  <c:v>2.2999999999999998</c:v>
                </c:pt>
                <c:pt idx="234">
                  <c:v>1.7</c:v>
                </c:pt>
                <c:pt idx="235">
                  <c:v>4</c:v>
                </c:pt>
                <c:pt idx="236">
                  <c:v>1.2</c:v>
                </c:pt>
                <c:pt idx="237">
                  <c:v>1.1000000000000001</c:v>
                </c:pt>
                <c:pt idx="238">
                  <c:v>2.6</c:v>
                </c:pt>
                <c:pt idx="239">
                  <c:v>2.6</c:v>
                </c:pt>
                <c:pt idx="240">
                  <c:v>2.5</c:v>
                </c:pt>
                <c:pt idx="241">
                  <c:v>1</c:v>
                </c:pt>
                <c:pt idx="242">
                  <c:v>1.9</c:v>
                </c:pt>
                <c:pt idx="243">
                  <c:v>1.6</c:v>
                </c:pt>
                <c:pt idx="244">
                  <c:v>2.2000000000000002</c:v>
                </c:pt>
                <c:pt idx="245">
                  <c:v>1.2</c:v>
                </c:pt>
                <c:pt idx="246">
                  <c:v>3.1</c:v>
                </c:pt>
                <c:pt idx="247">
                  <c:v>1.3</c:v>
                </c:pt>
                <c:pt idx="248">
                  <c:v>2.7</c:v>
                </c:pt>
                <c:pt idx="249">
                  <c:v>1.5</c:v>
                </c:pt>
                <c:pt idx="250">
                  <c:v>1.5</c:v>
                </c:pt>
                <c:pt idx="251">
                  <c:v>1.1000000000000001</c:v>
                </c:pt>
                <c:pt idx="252">
                  <c:v>1.5</c:v>
                </c:pt>
                <c:pt idx="253">
                  <c:v>1.1000000000000001</c:v>
                </c:pt>
                <c:pt idx="254">
                  <c:v>3.8</c:v>
                </c:pt>
                <c:pt idx="255">
                  <c:v>1.6</c:v>
                </c:pt>
                <c:pt idx="256">
                  <c:v>3.9</c:v>
                </c:pt>
                <c:pt idx="257">
                  <c:v>5.0999999999999996</c:v>
                </c:pt>
                <c:pt idx="258">
                  <c:v>1.9</c:v>
                </c:pt>
                <c:pt idx="259">
                  <c:v>2.9</c:v>
                </c:pt>
                <c:pt idx="260">
                  <c:v>6.6</c:v>
                </c:pt>
                <c:pt idx="261">
                  <c:v>1.6</c:v>
                </c:pt>
                <c:pt idx="262">
                  <c:v>1.4</c:v>
                </c:pt>
                <c:pt idx="263">
                  <c:v>1</c:v>
                </c:pt>
                <c:pt idx="264">
                  <c:v>0.9</c:v>
                </c:pt>
                <c:pt idx="265">
                  <c:v>1.2</c:v>
                </c:pt>
                <c:pt idx="266">
                  <c:v>3.5</c:v>
                </c:pt>
                <c:pt idx="267">
                  <c:v>1.5</c:v>
                </c:pt>
                <c:pt idx="268">
                  <c:v>2.2999999999999998</c:v>
                </c:pt>
                <c:pt idx="269">
                  <c:v>0.7</c:v>
                </c:pt>
                <c:pt idx="270">
                  <c:v>1.6</c:v>
                </c:pt>
                <c:pt idx="271">
                  <c:v>1.7</c:v>
                </c:pt>
                <c:pt idx="272">
                  <c:v>1.5</c:v>
                </c:pt>
                <c:pt idx="273">
                  <c:v>1.8</c:v>
                </c:pt>
                <c:pt idx="274">
                  <c:v>1.1000000000000001</c:v>
                </c:pt>
                <c:pt idx="275">
                  <c:v>2.5</c:v>
                </c:pt>
                <c:pt idx="276">
                  <c:v>2.8</c:v>
                </c:pt>
                <c:pt idx="277">
                  <c:v>2.8</c:v>
                </c:pt>
                <c:pt idx="278">
                  <c:v>3.8</c:v>
                </c:pt>
                <c:pt idx="279">
                  <c:v>2.2000000000000002</c:v>
                </c:pt>
                <c:pt idx="280">
                  <c:v>1.4</c:v>
                </c:pt>
                <c:pt idx="281">
                  <c:v>2.2000000000000002</c:v>
                </c:pt>
                <c:pt idx="282">
                  <c:v>2.2999999999999998</c:v>
                </c:pt>
                <c:pt idx="283">
                  <c:v>2</c:v>
                </c:pt>
                <c:pt idx="284">
                  <c:v>1.6</c:v>
                </c:pt>
                <c:pt idx="285">
                  <c:v>1.5</c:v>
                </c:pt>
                <c:pt idx="286">
                  <c:v>1.8</c:v>
                </c:pt>
                <c:pt idx="287">
                  <c:v>1.2</c:v>
                </c:pt>
                <c:pt idx="288">
                  <c:v>1.9</c:v>
                </c:pt>
                <c:pt idx="289">
                  <c:v>1.2</c:v>
                </c:pt>
                <c:pt idx="290">
                  <c:v>2.6</c:v>
                </c:pt>
                <c:pt idx="291">
                  <c:v>1.8</c:v>
                </c:pt>
                <c:pt idx="292">
                  <c:v>1.6</c:v>
                </c:pt>
                <c:pt idx="293">
                  <c:v>1.4</c:v>
                </c:pt>
                <c:pt idx="294">
                  <c:v>2.6</c:v>
                </c:pt>
                <c:pt idx="295">
                  <c:v>1.3</c:v>
                </c:pt>
                <c:pt idx="296">
                  <c:v>2.2000000000000002</c:v>
                </c:pt>
                <c:pt idx="297">
                  <c:v>2.1</c:v>
                </c:pt>
                <c:pt idx="298">
                  <c:v>2.5</c:v>
                </c:pt>
                <c:pt idx="299">
                  <c:v>2.7</c:v>
                </c:pt>
                <c:pt idx="300">
                  <c:v>2.4</c:v>
                </c:pt>
                <c:pt idx="301">
                  <c:v>1.2</c:v>
                </c:pt>
                <c:pt idx="302">
                  <c:v>5.5</c:v>
                </c:pt>
                <c:pt idx="303">
                  <c:v>1.3</c:v>
                </c:pt>
                <c:pt idx="304">
                  <c:v>1.7</c:v>
                </c:pt>
                <c:pt idx="305">
                  <c:v>0.9</c:v>
                </c:pt>
                <c:pt idx="306">
                  <c:v>1.2</c:v>
                </c:pt>
                <c:pt idx="307">
                  <c:v>2.6</c:v>
                </c:pt>
                <c:pt idx="308">
                  <c:v>1.8</c:v>
                </c:pt>
                <c:pt idx="309">
                  <c:v>3.1</c:v>
                </c:pt>
                <c:pt idx="310">
                  <c:v>1</c:v>
                </c:pt>
                <c:pt idx="311">
                  <c:v>1.5</c:v>
                </c:pt>
                <c:pt idx="312">
                  <c:v>1.2</c:v>
                </c:pt>
                <c:pt idx="313">
                  <c:v>3.3</c:v>
                </c:pt>
                <c:pt idx="314">
                  <c:v>1.9</c:v>
                </c:pt>
                <c:pt idx="315">
                  <c:v>1</c:v>
                </c:pt>
                <c:pt idx="316">
                  <c:v>4</c:v>
                </c:pt>
                <c:pt idx="317">
                  <c:v>3.2</c:v>
                </c:pt>
                <c:pt idx="318">
                  <c:v>5.7</c:v>
                </c:pt>
                <c:pt idx="319">
                  <c:v>2.1</c:v>
                </c:pt>
                <c:pt idx="320">
                  <c:v>3</c:v>
                </c:pt>
                <c:pt idx="321">
                  <c:v>1</c:v>
                </c:pt>
                <c:pt idx="322">
                  <c:v>2.7</c:v>
                </c:pt>
                <c:pt idx="323">
                  <c:v>1.2</c:v>
                </c:pt>
                <c:pt idx="324">
                  <c:v>2.1</c:v>
                </c:pt>
                <c:pt idx="325">
                  <c:v>3.8</c:v>
                </c:pt>
                <c:pt idx="326">
                  <c:v>1.4</c:v>
                </c:pt>
                <c:pt idx="327">
                  <c:v>0.8</c:v>
                </c:pt>
                <c:pt idx="328">
                  <c:v>0.3</c:v>
                </c:pt>
                <c:pt idx="329">
                  <c:v>1.3</c:v>
                </c:pt>
                <c:pt idx="330">
                  <c:v>1.5</c:v>
                </c:pt>
                <c:pt idx="331">
                  <c:v>1.7</c:v>
                </c:pt>
                <c:pt idx="332">
                  <c:v>2.2999999999999998</c:v>
                </c:pt>
                <c:pt idx="333">
                  <c:v>1</c:v>
                </c:pt>
                <c:pt idx="334">
                  <c:v>3.4</c:v>
                </c:pt>
                <c:pt idx="335">
                  <c:v>4.2</c:v>
                </c:pt>
                <c:pt idx="336">
                  <c:v>4.4000000000000004</c:v>
                </c:pt>
                <c:pt idx="337">
                  <c:v>0.9</c:v>
                </c:pt>
                <c:pt idx="338">
                  <c:v>0.8</c:v>
                </c:pt>
                <c:pt idx="339">
                  <c:v>1.2</c:v>
                </c:pt>
                <c:pt idx="340">
                  <c:v>1.2</c:v>
                </c:pt>
                <c:pt idx="341">
                  <c:v>0.9</c:v>
                </c:pt>
                <c:pt idx="342">
                  <c:v>1</c:v>
                </c:pt>
                <c:pt idx="343">
                  <c:v>0.8</c:v>
                </c:pt>
                <c:pt idx="344">
                  <c:v>0.9</c:v>
                </c:pt>
                <c:pt idx="345">
                  <c:v>0.7</c:v>
                </c:pt>
                <c:pt idx="346">
                  <c:v>1.2</c:v>
                </c:pt>
                <c:pt idx="347">
                  <c:v>2.7</c:v>
                </c:pt>
                <c:pt idx="348">
                  <c:v>2.6</c:v>
                </c:pt>
                <c:pt idx="349">
                  <c:v>3.3</c:v>
                </c:pt>
                <c:pt idx="350">
                  <c:v>3.3</c:v>
                </c:pt>
                <c:pt idx="351">
                  <c:v>3.1</c:v>
                </c:pt>
                <c:pt idx="352">
                  <c:v>3.7</c:v>
                </c:pt>
                <c:pt idx="353">
                  <c:v>3.6</c:v>
                </c:pt>
                <c:pt idx="354">
                  <c:v>1.6</c:v>
                </c:pt>
                <c:pt idx="355">
                  <c:v>2.2000000000000002</c:v>
                </c:pt>
                <c:pt idx="356">
                  <c:v>0.6</c:v>
                </c:pt>
                <c:pt idx="357">
                  <c:v>1.4</c:v>
                </c:pt>
                <c:pt idx="358">
                  <c:v>1.5</c:v>
                </c:pt>
                <c:pt idx="359">
                  <c:v>3</c:v>
                </c:pt>
                <c:pt idx="360">
                  <c:v>1.6</c:v>
                </c:pt>
                <c:pt idx="361">
                  <c:v>3.5</c:v>
                </c:pt>
                <c:pt idx="362">
                  <c:v>2.4</c:v>
                </c:pt>
                <c:pt idx="363">
                  <c:v>1.2</c:v>
                </c:pt>
                <c:pt idx="364">
                  <c:v>1.8</c:v>
                </c:pt>
                <c:pt idx="365">
                  <c:v>2.2999999999999998</c:v>
                </c:pt>
                <c:pt idx="366">
                  <c:v>0.7</c:v>
                </c:pt>
                <c:pt idx="367">
                  <c:v>1.1000000000000001</c:v>
                </c:pt>
                <c:pt idx="368">
                  <c:v>1.3</c:v>
                </c:pt>
                <c:pt idx="369">
                  <c:v>1.5</c:v>
                </c:pt>
                <c:pt idx="370">
                  <c:v>1</c:v>
                </c:pt>
                <c:pt idx="371">
                  <c:v>0.8</c:v>
                </c:pt>
                <c:pt idx="372">
                  <c:v>1.4</c:v>
                </c:pt>
                <c:pt idx="373">
                  <c:v>2.9</c:v>
                </c:pt>
                <c:pt idx="374">
                  <c:v>1</c:v>
                </c:pt>
                <c:pt idx="375">
                  <c:v>0.6</c:v>
                </c:pt>
                <c:pt idx="376">
                  <c:v>1.6</c:v>
                </c:pt>
                <c:pt idx="377">
                  <c:v>0.9</c:v>
                </c:pt>
                <c:pt idx="378">
                  <c:v>0.8</c:v>
                </c:pt>
                <c:pt idx="379">
                  <c:v>1.2</c:v>
                </c:pt>
                <c:pt idx="380">
                  <c:v>3.5</c:v>
                </c:pt>
                <c:pt idx="381">
                  <c:v>1.8</c:v>
                </c:pt>
                <c:pt idx="382">
                  <c:v>5.4</c:v>
                </c:pt>
                <c:pt idx="383">
                  <c:v>1</c:v>
                </c:pt>
                <c:pt idx="384">
                  <c:v>1.6</c:v>
                </c:pt>
                <c:pt idx="385">
                  <c:v>2.5</c:v>
                </c:pt>
                <c:pt idx="386">
                  <c:v>1.7</c:v>
                </c:pt>
                <c:pt idx="387">
                  <c:v>0.8</c:v>
                </c:pt>
                <c:pt idx="388">
                  <c:v>2.2999999999999998</c:v>
                </c:pt>
                <c:pt idx="389">
                  <c:v>2.2000000000000002</c:v>
                </c:pt>
                <c:pt idx="390">
                  <c:v>1.9</c:v>
                </c:pt>
                <c:pt idx="391">
                  <c:v>5</c:v>
                </c:pt>
                <c:pt idx="392">
                  <c:v>1.5</c:v>
                </c:pt>
                <c:pt idx="393">
                  <c:v>1.4</c:v>
                </c:pt>
                <c:pt idx="394">
                  <c:v>1.7</c:v>
                </c:pt>
                <c:pt idx="395">
                  <c:v>1.9</c:v>
                </c:pt>
                <c:pt idx="396">
                  <c:v>1.3</c:v>
                </c:pt>
                <c:pt idx="397">
                  <c:v>1.2</c:v>
                </c:pt>
                <c:pt idx="398">
                  <c:v>0.9</c:v>
                </c:pt>
                <c:pt idx="399">
                  <c:v>2.9</c:v>
                </c:pt>
                <c:pt idx="400">
                  <c:v>3.1</c:v>
                </c:pt>
                <c:pt idx="401">
                  <c:v>3.3</c:v>
                </c:pt>
                <c:pt idx="402">
                  <c:v>0.6</c:v>
                </c:pt>
                <c:pt idx="403">
                  <c:v>2</c:v>
                </c:pt>
                <c:pt idx="404">
                  <c:v>2.5</c:v>
                </c:pt>
                <c:pt idx="405">
                  <c:v>0.8</c:v>
                </c:pt>
                <c:pt idx="406">
                  <c:v>2.2000000000000002</c:v>
                </c:pt>
                <c:pt idx="407">
                  <c:v>1.7</c:v>
                </c:pt>
                <c:pt idx="408">
                  <c:v>2.8</c:v>
                </c:pt>
                <c:pt idx="409">
                  <c:v>0.7</c:v>
                </c:pt>
                <c:pt idx="410">
                  <c:v>1.9</c:v>
                </c:pt>
                <c:pt idx="411">
                  <c:v>1</c:v>
                </c:pt>
                <c:pt idx="412">
                  <c:v>1.3</c:v>
                </c:pt>
                <c:pt idx="413">
                  <c:v>1.2</c:v>
                </c:pt>
                <c:pt idx="414">
                  <c:v>0.3</c:v>
                </c:pt>
                <c:pt idx="415">
                  <c:v>0.3</c:v>
                </c:pt>
                <c:pt idx="416">
                  <c:v>0.4</c:v>
                </c:pt>
                <c:pt idx="417">
                  <c:v>1.5</c:v>
                </c:pt>
                <c:pt idx="418">
                  <c:v>1.4</c:v>
                </c:pt>
                <c:pt idx="419">
                  <c:v>0.9</c:v>
                </c:pt>
                <c:pt idx="420">
                  <c:v>1.5</c:v>
                </c:pt>
                <c:pt idx="421">
                  <c:v>1.3</c:v>
                </c:pt>
                <c:pt idx="422">
                  <c:v>0.8</c:v>
                </c:pt>
                <c:pt idx="423">
                  <c:v>1.3</c:v>
                </c:pt>
                <c:pt idx="424">
                  <c:v>0.9</c:v>
                </c:pt>
                <c:pt idx="425">
                  <c:v>0.9</c:v>
                </c:pt>
                <c:pt idx="426">
                  <c:v>0.4</c:v>
                </c:pt>
                <c:pt idx="427">
                  <c:v>1.7</c:v>
                </c:pt>
                <c:pt idx="428">
                  <c:v>1.3</c:v>
                </c:pt>
                <c:pt idx="429">
                  <c:v>0.8</c:v>
                </c:pt>
                <c:pt idx="430">
                  <c:v>2</c:v>
                </c:pt>
                <c:pt idx="431">
                  <c:v>1.4</c:v>
                </c:pt>
                <c:pt idx="432">
                  <c:v>1.7</c:v>
                </c:pt>
                <c:pt idx="433">
                  <c:v>0.8</c:v>
                </c:pt>
                <c:pt idx="434">
                  <c:v>2.6</c:v>
                </c:pt>
                <c:pt idx="435">
                  <c:v>0.7</c:v>
                </c:pt>
                <c:pt idx="436">
                  <c:v>0.8</c:v>
                </c:pt>
                <c:pt idx="437">
                  <c:v>0.8</c:v>
                </c:pt>
                <c:pt idx="438">
                  <c:v>0.8</c:v>
                </c:pt>
                <c:pt idx="439">
                  <c:v>1</c:v>
                </c:pt>
                <c:pt idx="440">
                  <c:v>1.4</c:v>
                </c:pt>
                <c:pt idx="441">
                  <c:v>3.5</c:v>
                </c:pt>
                <c:pt idx="442">
                  <c:v>1</c:v>
                </c:pt>
                <c:pt idx="443">
                  <c:v>1</c:v>
                </c:pt>
                <c:pt idx="444">
                  <c:v>0.7</c:v>
                </c:pt>
                <c:pt idx="445">
                  <c:v>2</c:v>
                </c:pt>
                <c:pt idx="446">
                  <c:v>0.8</c:v>
                </c:pt>
                <c:pt idx="447">
                  <c:v>1.6</c:v>
                </c:pt>
                <c:pt idx="448">
                  <c:v>1.5</c:v>
                </c:pt>
                <c:pt idx="449">
                  <c:v>0.5</c:v>
                </c:pt>
                <c:pt idx="450">
                  <c:v>0.9</c:v>
                </c:pt>
                <c:pt idx="451">
                  <c:v>0.7</c:v>
                </c:pt>
                <c:pt idx="452">
                  <c:v>2</c:v>
                </c:pt>
                <c:pt idx="453">
                  <c:v>1.4</c:v>
                </c:pt>
                <c:pt idx="454">
                  <c:v>0.8</c:v>
                </c:pt>
                <c:pt idx="455">
                  <c:v>0.7</c:v>
                </c:pt>
                <c:pt idx="456">
                  <c:v>0.9</c:v>
                </c:pt>
                <c:pt idx="457">
                  <c:v>1.2</c:v>
                </c:pt>
                <c:pt idx="458">
                  <c:v>2.2000000000000002</c:v>
                </c:pt>
                <c:pt idx="459">
                  <c:v>1.3</c:v>
                </c:pt>
                <c:pt idx="460">
                  <c:v>0.8</c:v>
                </c:pt>
                <c:pt idx="461">
                  <c:v>0.4</c:v>
                </c:pt>
                <c:pt idx="462">
                  <c:v>1</c:v>
                </c:pt>
                <c:pt idx="463">
                  <c:v>0.7</c:v>
                </c:pt>
                <c:pt idx="464">
                  <c:v>1.9</c:v>
                </c:pt>
                <c:pt idx="465">
                  <c:v>0.5</c:v>
                </c:pt>
                <c:pt idx="466">
                  <c:v>0.8</c:v>
                </c:pt>
                <c:pt idx="467">
                  <c:v>0.6</c:v>
                </c:pt>
                <c:pt idx="468">
                  <c:v>2.1</c:v>
                </c:pt>
                <c:pt idx="469">
                  <c:v>1.5</c:v>
                </c:pt>
                <c:pt idx="470">
                  <c:v>2.2000000000000002</c:v>
                </c:pt>
                <c:pt idx="471">
                  <c:v>2.5</c:v>
                </c:pt>
                <c:pt idx="472">
                  <c:v>3.9</c:v>
                </c:pt>
                <c:pt idx="473">
                  <c:v>0.8</c:v>
                </c:pt>
                <c:pt idx="474">
                  <c:v>0.7</c:v>
                </c:pt>
                <c:pt idx="475">
                  <c:v>0.7</c:v>
                </c:pt>
                <c:pt idx="476">
                  <c:v>0.5</c:v>
                </c:pt>
                <c:pt idx="477">
                  <c:v>0.7</c:v>
                </c:pt>
                <c:pt idx="478">
                  <c:v>2.9</c:v>
                </c:pt>
                <c:pt idx="479">
                  <c:v>0.9</c:v>
                </c:pt>
                <c:pt idx="480">
                  <c:v>1.1000000000000001</c:v>
                </c:pt>
                <c:pt idx="481">
                  <c:v>3.2</c:v>
                </c:pt>
                <c:pt idx="482">
                  <c:v>2.1</c:v>
                </c:pt>
                <c:pt idx="483">
                  <c:v>1.3</c:v>
                </c:pt>
                <c:pt idx="484">
                  <c:v>3</c:v>
                </c:pt>
                <c:pt idx="485">
                  <c:v>1.4</c:v>
                </c:pt>
                <c:pt idx="486">
                  <c:v>1.3</c:v>
                </c:pt>
                <c:pt idx="487">
                  <c:v>1.6</c:v>
                </c:pt>
                <c:pt idx="488">
                  <c:v>0.9</c:v>
                </c:pt>
                <c:pt idx="489">
                  <c:v>0.9</c:v>
                </c:pt>
                <c:pt idx="490">
                  <c:v>2.7</c:v>
                </c:pt>
                <c:pt idx="491">
                  <c:v>0.8</c:v>
                </c:pt>
                <c:pt idx="492">
                  <c:v>1.1000000000000001</c:v>
                </c:pt>
                <c:pt idx="493">
                  <c:v>1.3</c:v>
                </c:pt>
                <c:pt idx="494">
                  <c:v>0.8</c:v>
                </c:pt>
                <c:pt idx="495">
                  <c:v>3.2</c:v>
                </c:pt>
                <c:pt idx="496">
                  <c:v>0.3</c:v>
                </c:pt>
                <c:pt idx="497">
                  <c:v>0.5</c:v>
                </c:pt>
                <c:pt idx="498">
                  <c:v>0.6</c:v>
                </c:pt>
                <c:pt idx="499">
                  <c:v>0.2</c:v>
                </c:pt>
                <c:pt idx="500">
                  <c:v>0.3</c:v>
                </c:pt>
                <c:pt idx="501">
                  <c:v>1.9</c:v>
                </c:pt>
                <c:pt idx="502">
                  <c:v>2</c:v>
                </c:pt>
                <c:pt idx="503">
                  <c:v>0.5</c:v>
                </c:pt>
                <c:pt idx="504">
                  <c:v>0.5</c:v>
                </c:pt>
                <c:pt idx="505">
                  <c:v>0.6</c:v>
                </c:pt>
                <c:pt idx="506">
                  <c:v>0.2</c:v>
                </c:pt>
                <c:pt idx="507">
                  <c:v>0.3</c:v>
                </c:pt>
                <c:pt idx="508">
                  <c:v>0.3</c:v>
                </c:pt>
                <c:pt idx="509">
                  <c:v>1</c:v>
                </c:pt>
                <c:pt idx="510">
                  <c:v>0.8</c:v>
                </c:pt>
                <c:pt idx="511">
                  <c:v>0.5</c:v>
                </c:pt>
                <c:pt idx="512">
                  <c:v>0.7</c:v>
                </c:pt>
                <c:pt idx="513">
                  <c:v>1.4</c:v>
                </c:pt>
                <c:pt idx="514">
                  <c:v>1.2</c:v>
                </c:pt>
                <c:pt idx="515">
                  <c:v>1.4</c:v>
                </c:pt>
                <c:pt idx="516">
                  <c:v>1.3</c:v>
                </c:pt>
                <c:pt idx="517">
                  <c:v>1.8</c:v>
                </c:pt>
                <c:pt idx="518">
                  <c:v>0.9</c:v>
                </c:pt>
                <c:pt idx="519">
                  <c:v>0.9</c:v>
                </c:pt>
                <c:pt idx="520">
                  <c:v>0.5</c:v>
                </c:pt>
                <c:pt idx="521">
                  <c:v>0.9</c:v>
                </c:pt>
                <c:pt idx="522">
                  <c:v>0.7</c:v>
                </c:pt>
                <c:pt idx="523">
                  <c:v>0.7</c:v>
                </c:pt>
                <c:pt idx="524">
                  <c:v>0.8</c:v>
                </c:pt>
                <c:pt idx="525">
                  <c:v>0.9</c:v>
                </c:pt>
                <c:pt idx="526">
                  <c:v>0.4</c:v>
                </c:pt>
                <c:pt idx="527">
                  <c:v>0.8</c:v>
                </c:pt>
                <c:pt idx="528">
                  <c:v>1</c:v>
                </c:pt>
                <c:pt idx="529">
                  <c:v>0.5</c:v>
                </c:pt>
                <c:pt idx="530">
                  <c:v>0.3</c:v>
                </c:pt>
                <c:pt idx="531">
                  <c:v>0.6</c:v>
                </c:pt>
                <c:pt idx="532">
                  <c:v>0.8</c:v>
                </c:pt>
                <c:pt idx="533">
                  <c:v>1.7</c:v>
                </c:pt>
                <c:pt idx="534">
                  <c:v>1.1000000000000001</c:v>
                </c:pt>
                <c:pt idx="535">
                  <c:v>0.5</c:v>
                </c:pt>
                <c:pt idx="536">
                  <c:v>0.4</c:v>
                </c:pt>
                <c:pt idx="537">
                  <c:v>1</c:v>
                </c:pt>
                <c:pt idx="538">
                  <c:v>1.2</c:v>
                </c:pt>
                <c:pt idx="539">
                  <c:v>0.9</c:v>
                </c:pt>
                <c:pt idx="540">
                  <c:v>0.9</c:v>
                </c:pt>
                <c:pt idx="541">
                  <c:v>1</c:v>
                </c:pt>
                <c:pt idx="542">
                  <c:v>0.9</c:v>
                </c:pt>
                <c:pt idx="543">
                  <c:v>1.1000000000000001</c:v>
                </c:pt>
                <c:pt idx="544">
                  <c:v>0.5</c:v>
                </c:pt>
                <c:pt idx="545">
                  <c:v>0.4</c:v>
                </c:pt>
                <c:pt idx="546">
                  <c:v>0.9</c:v>
                </c:pt>
                <c:pt idx="547">
                  <c:v>2.2999999999999998</c:v>
                </c:pt>
                <c:pt idx="548">
                  <c:v>2.4</c:v>
                </c:pt>
                <c:pt idx="549">
                  <c:v>0.9</c:v>
                </c:pt>
                <c:pt idx="550">
                  <c:v>0.6</c:v>
                </c:pt>
                <c:pt idx="551">
                  <c:v>1.6</c:v>
                </c:pt>
                <c:pt idx="552">
                  <c:v>3.3</c:v>
                </c:pt>
                <c:pt idx="553">
                  <c:v>0.3</c:v>
                </c:pt>
                <c:pt idx="554">
                  <c:v>0.6</c:v>
                </c:pt>
                <c:pt idx="555">
                  <c:v>2.7</c:v>
                </c:pt>
                <c:pt idx="556">
                  <c:v>1.6</c:v>
                </c:pt>
                <c:pt idx="557">
                  <c:v>0.7</c:v>
                </c:pt>
                <c:pt idx="558">
                  <c:v>0.9</c:v>
                </c:pt>
                <c:pt idx="559">
                  <c:v>0.5</c:v>
                </c:pt>
                <c:pt idx="560">
                  <c:v>1.1000000000000001</c:v>
                </c:pt>
                <c:pt idx="561">
                  <c:v>1.1000000000000001</c:v>
                </c:pt>
                <c:pt idx="562">
                  <c:v>0.1</c:v>
                </c:pt>
                <c:pt idx="563">
                  <c:v>0.3</c:v>
                </c:pt>
                <c:pt idx="564">
                  <c:v>0.2</c:v>
                </c:pt>
                <c:pt idx="565">
                  <c:v>0.2</c:v>
                </c:pt>
                <c:pt idx="566">
                  <c:v>0.2</c:v>
                </c:pt>
                <c:pt idx="567">
                  <c:v>0.4</c:v>
                </c:pt>
                <c:pt idx="568">
                  <c:v>0.4</c:v>
                </c:pt>
                <c:pt idx="569">
                  <c:v>0.5</c:v>
                </c:pt>
                <c:pt idx="570">
                  <c:v>0.5</c:v>
                </c:pt>
                <c:pt idx="571">
                  <c:v>0.5</c:v>
                </c:pt>
                <c:pt idx="572">
                  <c:v>0.6</c:v>
                </c:pt>
                <c:pt idx="573">
                  <c:v>0.5</c:v>
                </c:pt>
                <c:pt idx="574">
                  <c:v>0.2</c:v>
                </c:pt>
                <c:pt idx="575">
                  <c:v>0.8</c:v>
                </c:pt>
                <c:pt idx="576">
                  <c:v>1</c:v>
                </c:pt>
                <c:pt idx="577">
                  <c:v>0.9</c:v>
                </c:pt>
                <c:pt idx="578">
                  <c:v>0.5</c:v>
                </c:pt>
                <c:pt idx="579">
                  <c:v>0.9</c:v>
                </c:pt>
                <c:pt idx="580">
                  <c:v>0.8</c:v>
                </c:pt>
                <c:pt idx="581">
                  <c:v>0.4</c:v>
                </c:pt>
                <c:pt idx="582">
                  <c:v>0.3</c:v>
                </c:pt>
                <c:pt idx="583">
                  <c:v>0.2</c:v>
                </c:pt>
                <c:pt idx="584">
                  <c:v>0.5</c:v>
                </c:pt>
                <c:pt idx="585">
                  <c:v>0.3</c:v>
                </c:pt>
                <c:pt idx="586">
                  <c:v>0.6</c:v>
                </c:pt>
                <c:pt idx="587">
                  <c:v>0.9</c:v>
                </c:pt>
                <c:pt idx="588">
                  <c:v>0.5</c:v>
                </c:pt>
                <c:pt idx="589">
                  <c:v>0.6</c:v>
                </c:pt>
                <c:pt idx="590">
                  <c:v>1</c:v>
                </c:pt>
                <c:pt idx="591">
                  <c:v>0.6</c:v>
                </c:pt>
                <c:pt idx="592">
                  <c:v>0.5</c:v>
                </c:pt>
                <c:pt idx="593">
                  <c:v>0.3</c:v>
                </c:pt>
                <c:pt idx="594">
                  <c:v>0.4</c:v>
                </c:pt>
                <c:pt idx="595">
                  <c:v>0.4</c:v>
                </c:pt>
                <c:pt idx="596">
                  <c:v>0.5</c:v>
                </c:pt>
                <c:pt idx="597">
                  <c:v>1</c:v>
                </c:pt>
                <c:pt idx="598">
                  <c:v>1.1000000000000001</c:v>
                </c:pt>
                <c:pt idx="599">
                  <c:v>0.6</c:v>
                </c:pt>
                <c:pt idx="600">
                  <c:v>0.3</c:v>
                </c:pt>
                <c:pt idx="601">
                  <c:v>0.4</c:v>
                </c:pt>
                <c:pt idx="602">
                  <c:v>0.3</c:v>
                </c:pt>
                <c:pt idx="603">
                  <c:v>0.8</c:v>
                </c:pt>
                <c:pt idx="604">
                  <c:v>1.1000000000000001</c:v>
                </c:pt>
                <c:pt idx="605">
                  <c:v>0.4</c:v>
                </c:pt>
                <c:pt idx="606">
                  <c:v>0.3</c:v>
                </c:pt>
                <c:pt idx="607">
                  <c:v>0.4</c:v>
                </c:pt>
                <c:pt idx="608">
                  <c:v>0.9</c:v>
                </c:pt>
                <c:pt idx="609">
                  <c:v>0.2</c:v>
                </c:pt>
                <c:pt idx="610">
                  <c:v>0.4</c:v>
                </c:pt>
                <c:pt idx="611">
                  <c:v>0.3</c:v>
                </c:pt>
                <c:pt idx="612">
                  <c:v>0.4</c:v>
                </c:pt>
                <c:pt idx="613">
                  <c:v>0.2</c:v>
                </c:pt>
              </c:numCache>
            </c:numRef>
          </c:xVal>
          <c:yVal>
            <c:numRef>
              <c:f>NBA_Correlation!$W$2:$W$615</c:f>
              <c:numCache>
                <c:formatCode>General</c:formatCode>
                <c:ptCount val="614"/>
                <c:pt idx="0">
                  <c:v>4</c:v>
                </c:pt>
                <c:pt idx="1">
                  <c:v>2.2000000000000002</c:v>
                </c:pt>
                <c:pt idx="2">
                  <c:v>2.9</c:v>
                </c:pt>
                <c:pt idx="3">
                  <c:v>3.6</c:v>
                </c:pt>
                <c:pt idx="4">
                  <c:v>2.4</c:v>
                </c:pt>
                <c:pt idx="5">
                  <c:v>2</c:v>
                </c:pt>
                <c:pt idx="6">
                  <c:v>2.8</c:v>
                </c:pt>
                <c:pt idx="7">
                  <c:v>3.8</c:v>
                </c:pt>
                <c:pt idx="8">
                  <c:v>3.2</c:v>
                </c:pt>
                <c:pt idx="9">
                  <c:v>2.9</c:v>
                </c:pt>
                <c:pt idx="10">
                  <c:v>1.5</c:v>
                </c:pt>
                <c:pt idx="11">
                  <c:v>2.8</c:v>
                </c:pt>
                <c:pt idx="12">
                  <c:v>3.1</c:v>
                </c:pt>
                <c:pt idx="13">
                  <c:v>2.4</c:v>
                </c:pt>
                <c:pt idx="14">
                  <c:v>3.2</c:v>
                </c:pt>
                <c:pt idx="15">
                  <c:v>2.2999999999999998</c:v>
                </c:pt>
                <c:pt idx="16">
                  <c:v>2.4</c:v>
                </c:pt>
                <c:pt idx="17">
                  <c:v>3.8</c:v>
                </c:pt>
                <c:pt idx="18">
                  <c:v>3.7</c:v>
                </c:pt>
                <c:pt idx="19">
                  <c:v>2.2999999999999998</c:v>
                </c:pt>
                <c:pt idx="20">
                  <c:v>2.2000000000000002</c:v>
                </c:pt>
                <c:pt idx="21">
                  <c:v>3.5</c:v>
                </c:pt>
                <c:pt idx="22">
                  <c:v>3.7</c:v>
                </c:pt>
                <c:pt idx="23">
                  <c:v>3.2</c:v>
                </c:pt>
                <c:pt idx="24">
                  <c:v>3.1</c:v>
                </c:pt>
                <c:pt idx="25">
                  <c:v>3</c:v>
                </c:pt>
                <c:pt idx="26">
                  <c:v>3.4</c:v>
                </c:pt>
                <c:pt idx="27">
                  <c:v>3</c:v>
                </c:pt>
                <c:pt idx="28">
                  <c:v>2.4</c:v>
                </c:pt>
                <c:pt idx="29">
                  <c:v>1.9</c:v>
                </c:pt>
                <c:pt idx="30">
                  <c:v>1.8</c:v>
                </c:pt>
                <c:pt idx="31">
                  <c:v>2.4</c:v>
                </c:pt>
                <c:pt idx="32">
                  <c:v>2.2999999999999998</c:v>
                </c:pt>
                <c:pt idx="33">
                  <c:v>2.7</c:v>
                </c:pt>
                <c:pt idx="34">
                  <c:v>3</c:v>
                </c:pt>
                <c:pt idx="35">
                  <c:v>1.9</c:v>
                </c:pt>
                <c:pt idx="36">
                  <c:v>3</c:v>
                </c:pt>
                <c:pt idx="37">
                  <c:v>2</c:v>
                </c:pt>
                <c:pt idx="38">
                  <c:v>2.1</c:v>
                </c:pt>
                <c:pt idx="39">
                  <c:v>1.7</c:v>
                </c:pt>
                <c:pt idx="40">
                  <c:v>2.1</c:v>
                </c:pt>
                <c:pt idx="41">
                  <c:v>3.2</c:v>
                </c:pt>
                <c:pt idx="42">
                  <c:v>2</c:v>
                </c:pt>
                <c:pt idx="43">
                  <c:v>1.8</c:v>
                </c:pt>
                <c:pt idx="44">
                  <c:v>2.5</c:v>
                </c:pt>
                <c:pt idx="45">
                  <c:v>2.8</c:v>
                </c:pt>
                <c:pt idx="46">
                  <c:v>2.5</c:v>
                </c:pt>
                <c:pt idx="47">
                  <c:v>1.7</c:v>
                </c:pt>
                <c:pt idx="48">
                  <c:v>1.6</c:v>
                </c:pt>
                <c:pt idx="49">
                  <c:v>1.8</c:v>
                </c:pt>
                <c:pt idx="50">
                  <c:v>1.9</c:v>
                </c:pt>
                <c:pt idx="51">
                  <c:v>3.6</c:v>
                </c:pt>
                <c:pt idx="52">
                  <c:v>2.2000000000000002</c:v>
                </c:pt>
                <c:pt idx="53">
                  <c:v>2.2000000000000002</c:v>
                </c:pt>
                <c:pt idx="54">
                  <c:v>1.9</c:v>
                </c:pt>
                <c:pt idx="55">
                  <c:v>1.8</c:v>
                </c:pt>
                <c:pt idx="56">
                  <c:v>2.9</c:v>
                </c:pt>
                <c:pt idx="57">
                  <c:v>2.8</c:v>
                </c:pt>
                <c:pt idx="58">
                  <c:v>3.1</c:v>
                </c:pt>
                <c:pt idx="59">
                  <c:v>1.8</c:v>
                </c:pt>
                <c:pt idx="60">
                  <c:v>1.7</c:v>
                </c:pt>
                <c:pt idx="61">
                  <c:v>1.9</c:v>
                </c:pt>
                <c:pt idx="62">
                  <c:v>2.1</c:v>
                </c:pt>
                <c:pt idx="63">
                  <c:v>2</c:v>
                </c:pt>
                <c:pt idx="64">
                  <c:v>2.2999999999999998</c:v>
                </c:pt>
                <c:pt idx="65">
                  <c:v>1.2</c:v>
                </c:pt>
                <c:pt idx="66">
                  <c:v>2.4</c:v>
                </c:pt>
                <c:pt idx="67">
                  <c:v>1.9</c:v>
                </c:pt>
                <c:pt idx="68">
                  <c:v>2.6</c:v>
                </c:pt>
                <c:pt idx="69">
                  <c:v>2.6</c:v>
                </c:pt>
                <c:pt idx="70">
                  <c:v>2.6</c:v>
                </c:pt>
                <c:pt idx="71">
                  <c:v>2.2999999999999998</c:v>
                </c:pt>
                <c:pt idx="72">
                  <c:v>0.9</c:v>
                </c:pt>
                <c:pt idx="73">
                  <c:v>2.2000000000000002</c:v>
                </c:pt>
                <c:pt idx="74">
                  <c:v>2.2999999999999998</c:v>
                </c:pt>
                <c:pt idx="75">
                  <c:v>2.1</c:v>
                </c:pt>
                <c:pt idx="76">
                  <c:v>1.8</c:v>
                </c:pt>
                <c:pt idx="77">
                  <c:v>2.9</c:v>
                </c:pt>
                <c:pt idx="78">
                  <c:v>2.6</c:v>
                </c:pt>
                <c:pt idx="79">
                  <c:v>3</c:v>
                </c:pt>
                <c:pt idx="80">
                  <c:v>1.9</c:v>
                </c:pt>
                <c:pt idx="81">
                  <c:v>2.7</c:v>
                </c:pt>
                <c:pt idx="82">
                  <c:v>1.4</c:v>
                </c:pt>
                <c:pt idx="83">
                  <c:v>1.6</c:v>
                </c:pt>
                <c:pt idx="84">
                  <c:v>1.9</c:v>
                </c:pt>
                <c:pt idx="85">
                  <c:v>3.6</c:v>
                </c:pt>
                <c:pt idx="86">
                  <c:v>1.4</c:v>
                </c:pt>
                <c:pt idx="87">
                  <c:v>2.4</c:v>
                </c:pt>
                <c:pt idx="88">
                  <c:v>1.3</c:v>
                </c:pt>
                <c:pt idx="89">
                  <c:v>0.9</c:v>
                </c:pt>
                <c:pt idx="90">
                  <c:v>1.8</c:v>
                </c:pt>
                <c:pt idx="91">
                  <c:v>3.2</c:v>
                </c:pt>
                <c:pt idx="92">
                  <c:v>1.8</c:v>
                </c:pt>
                <c:pt idx="93">
                  <c:v>3.4</c:v>
                </c:pt>
                <c:pt idx="94">
                  <c:v>1.5</c:v>
                </c:pt>
                <c:pt idx="95">
                  <c:v>1.6</c:v>
                </c:pt>
                <c:pt idx="96">
                  <c:v>1.7</c:v>
                </c:pt>
                <c:pt idx="97">
                  <c:v>2.1</c:v>
                </c:pt>
                <c:pt idx="98">
                  <c:v>1.7</c:v>
                </c:pt>
                <c:pt idx="99">
                  <c:v>1.1000000000000001</c:v>
                </c:pt>
                <c:pt idx="100">
                  <c:v>2.7</c:v>
                </c:pt>
                <c:pt idx="101">
                  <c:v>1.8</c:v>
                </c:pt>
                <c:pt idx="102">
                  <c:v>2.7</c:v>
                </c:pt>
                <c:pt idx="103">
                  <c:v>1.4</c:v>
                </c:pt>
                <c:pt idx="104">
                  <c:v>1.5</c:v>
                </c:pt>
                <c:pt idx="105">
                  <c:v>2.1</c:v>
                </c:pt>
                <c:pt idx="106">
                  <c:v>2.1</c:v>
                </c:pt>
                <c:pt idx="107">
                  <c:v>2.1</c:v>
                </c:pt>
                <c:pt idx="108">
                  <c:v>1.3</c:v>
                </c:pt>
                <c:pt idx="109">
                  <c:v>2.1</c:v>
                </c:pt>
                <c:pt idx="110">
                  <c:v>1.6</c:v>
                </c:pt>
                <c:pt idx="111">
                  <c:v>1.7</c:v>
                </c:pt>
                <c:pt idx="112">
                  <c:v>3.3</c:v>
                </c:pt>
                <c:pt idx="113">
                  <c:v>1.3</c:v>
                </c:pt>
                <c:pt idx="114">
                  <c:v>1.4</c:v>
                </c:pt>
                <c:pt idx="115">
                  <c:v>1</c:v>
                </c:pt>
                <c:pt idx="116">
                  <c:v>2.1</c:v>
                </c:pt>
                <c:pt idx="117">
                  <c:v>2.1</c:v>
                </c:pt>
                <c:pt idx="118">
                  <c:v>1.6</c:v>
                </c:pt>
                <c:pt idx="119">
                  <c:v>1.4</c:v>
                </c:pt>
                <c:pt idx="120">
                  <c:v>1.4</c:v>
                </c:pt>
                <c:pt idx="121">
                  <c:v>1.5</c:v>
                </c:pt>
                <c:pt idx="122">
                  <c:v>2.6</c:v>
                </c:pt>
                <c:pt idx="123">
                  <c:v>1.8</c:v>
                </c:pt>
                <c:pt idx="124">
                  <c:v>1</c:v>
                </c:pt>
                <c:pt idx="125">
                  <c:v>1.7</c:v>
                </c:pt>
                <c:pt idx="126">
                  <c:v>1.2</c:v>
                </c:pt>
                <c:pt idx="127">
                  <c:v>1.1000000000000001</c:v>
                </c:pt>
                <c:pt idx="128">
                  <c:v>2.4</c:v>
                </c:pt>
                <c:pt idx="129">
                  <c:v>1.4</c:v>
                </c:pt>
                <c:pt idx="130">
                  <c:v>1.4</c:v>
                </c:pt>
                <c:pt idx="131">
                  <c:v>1.7</c:v>
                </c:pt>
                <c:pt idx="132">
                  <c:v>1.8</c:v>
                </c:pt>
                <c:pt idx="133">
                  <c:v>1.9</c:v>
                </c:pt>
                <c:pt idx="134">
                  <c:v>1.3</c:v>
                </c:pt>
                <c:pt idx="135">
                  <c:v>2.2000000000000002</c:v>
                </c:pt>
                <c:pt idx="136">
                  <c:v>1.2</c:v>
                </c:pt>
                <c:pt idx="137">
                  <c:v>1.6</c:v>
                </c:pt>
                <c:pt idx="138">
                  <c:v>1.5</c:v>
                </c:pt>
                <c:pt idx="139">
                  <c:v>1.4</c:v>
                </c:pt>
                <c:pt idx="140">
                  <c:v>0.9</c:v>
                </c:pt>
                <c:pt idx="141">
                  <c:v>1.7</c:v>
                </c:pt>
                <c:pt idx="142">
                  <c:v>1.7</c:v>
                </c:pt>
                <c:pt idx="143">
                  <c:v>1</c:v>
                </c:pt>
                <c:pt idx="144">
                  <c:v>1.7</c:v>
                </c:pt>
                <c:pt idx="145">
                  <c:v>2.4</c:v>
                </c:pt>
                <c:pt idx="146">
                  <c:v>1.4</c:v>
                </c:pt>
                <c:pt idx="147">
                  <c:v>1.6</c:v>
                </c:pt>
                <c:pt idx="148">
                  <c:v>2.6</c:v>
                </c:pt>
                <c:pt idx="149">
                  <c:v>1.8</c:v>
                </c:pt>
                <c:pt idx="150">
                  <c:v>2</c:v>
                </c:pt>
                <c:pt idx="151">
                  <c:v>1.4</c:v>
                </c:pt>
                <c:pt idx="152">
                  <c:v>1.4</c:v>
                </c:pt>
                <c:pt idx="153">
                  <c:v>0.5</c:v>
                </c:pt>
                <c:pt idx="154">
                  <c:v>1.5</c:v>
                </c:pt>
                <c:pt idx="155">
                  <c:v>1.5</c:v>
                </c:pt>
                <c:pt idx="156">
                  <c:v>1.8</c:v>
                </c:pt>
                <c:pt idx="157">
                  <c:v>1.8</c:v>
                </c:pt>
                <c:pt idx="158">
                  <c:v>1.8</c:v>
                </c:pt>
                <c:pt idx="159">
                  <c:v>1</c:v>
                </c:pt>
                <c:pt idx="160">
                  <c:v>0.9</c:v>
                </c:pt>
                <c:pt idx="161">
                  <c:v>1.5</c:v>
                </c:pt>
                <c:pt idx="162">
                  <c:v>1.7</c:v>
                </c:pt>
                <c:pt idx="163">
                  <c:v>1.9</c:v>
                </c:pt>
                <c:pt idx="164">
                  <c:v>0.8</c:v>
                </c:pt>
                <c:pt idx="165">
                  <c:v>1.6</c:v>
                </c:pt>
                <c:pt idx="166">
                  <c:v>1.5</c:v>
                </c:pt>
                <c:pt idx="167">
                  <c:v>1.9</c:v>
                </c:pt>
                <c:pt idx="168">
                  <c:v>1.5</c:v>
                </c:pt>
                <c:pt idx="169">
                  <c:v>1.1000000000000001</c:v>
                </c:pt>
                <c:pt idx="170">
                  <c:v>1.2</c:v>
                </c:pt>
                <c:pt idx="171">
                  <c:v>1.3</c:v>
                </c:pt>
                <c:pt idx="172">
                  <c:v>1.5</c:v>
                </c:pt>
                <c:pt idx="173">
                  <c:v>1.5</c:v>
                </c:pt>
                <c:pt idx="174">
                  <c:v>1.2</c:v>
                </c:pt>
                <c:pt idx="175">
                  <c:v>1.9</c:v>
                </c:pt>
                <c:pt idx="176">
                  <c:v>2.2999999999999998</c:v>
                </c:pt>
                <c:pt idx="177">
                  <c:v>1.3</c:v>
                </c:pt>
                <c:pt idx="178">
                  <c:v>0.9</c:v>
                </c:pt>
                <c:pt idx="179">
                  <c:v>1.6</c:v>
                </c:pt>
                <c:pt idx="180">
                  <c:v>0.7</c:v>
                </c:pt>
                <c:pt idx="181">
                  <c:v>1.2</c:v>
                </c:pt>
                <c:pt idx="182">
                  <c:v>0.4</c:v>
                </c:pt>
                <c:pt idx="183">
                  <c:v>1</c:v>
                </c:pt>
                <c:pt idx="184">
                  <c:v>1</c:v>
                </c:pt>
                <c:pt idx="185">
                  <c:v>1.9</c:v>
                </c:pt>
                <c:pt idx="186">
                  <c:v>1.3</c:v>
                </c:pt>
                <c:pt idx="187">
                  <c:v>1.8</c:v>
                </c:pt>
                <c:pt idx="188">
                  <c:v>1.2</c:v>
                </c:pt>
                <c:pt idx="189">
                  <c:v>1.5</c:v>
                </c:pt>
                <c:pt idx="190">
                  <c:v>0.8</c:v>
                </c:pt>
                <c:pt idx="191">
                  <c:v>1.4</c:v>
                </c:pt>
                <c:pt idx="192">
                  <c:v>2.5</c:v>
                </c:pt>
                <c:pt idx="193">
                  <c:v>1.4</c:v>
                </c:pt>
                <c:pt idx="194">
                  <c:v>2.7</c:v>
                </c:pt>
                <c:pt idx="195">
                  <c:v>0.9</c:v>
                </c:pt>
                <c:pt idx="196">
                  <c:v>1.1000000000000001</c:v>
                </c:pt>
                <c:pt idx="197">
                  <c:v>1.8</c:v>
                </c:pt>
                <c:pt idx="198">
                  <c:v>2.2999999999999998</c:v>
                </c:pt>
                <c:pt idx="199">
                  <c:v>1.6</c:v>
                </c:pt>
                <c:pt idx="200">
                  <c:v>1.4</c:v>
                </c:pt>
                <c:pt idx="201">
                  <c:v>2.7</c:v>
                </c:pt>
                <c:pt idx="202">
                  <c:v>0.6</c:v>
                </c:pt>
                <c:pt idx="203">
                  <c:v>0.7</c:v>
                </c:pt>
                <c:pt idx="204">
                  <c:v>0.8</c:v>
                </c:pt>
                <c:pt idx="205">
                  <c:v>0.8</c:v>
                </c:pt>
                <c:pt idx="206">
                  <c:v>1.1000000000000001</c:v>
                </c:pt>
                <c:pt idx="207">
                  <c:v>0.6</c:v>
                </c:pt>
                <c:pt idx="208">
                  <c:v>1.3</c:v>
                </c:pt>
                <c:pt idx="209">
                  <c:v>0.8</c:v>
                </c:pt>
                <c:pt idx="210">
                  <c:v>1.4</c:v>
                </c:pt>
                <c:pt idx="211">
                  <c:v>2.5</c:v>
                </c:pt>
                <c:pt idx="212">
                  <c:v>1.8</c:v>
                </c:pt>
                <c:pt idx="213">
                  <c:v>2</c:v>
                </c:pt>
                <c:pt idx="214">
                  <c:v>1.5</c:v>
                </c:pt>
                <c:pt idx="215">
                  <c:v>0.9</c:v>
                </c:pt>
                <c:pt idx="216">
                  <c:v>0.7</c:v>
                </c:pt>
                <c:pt idx="217">
                  <c:v>1.2</c:v>
                </c:pt>
                <c:pt idx="218">
                  <c:v>0.9</c:v>
                </c:pt>
                <c:pt idx="219">
                  <c:v>1</c:v>
                </c:pt>
                <c:pt idx="220">
                  <c:v>0.6</c:v>
                </c:pt>
                <c:pt idx="221">
                  <c:v>2.2999999999999998</c:v>
                </c:pt>
                <c:pt idx="222">
                  <c:v>1.3</c:v>
                </c:pt>
                <c:pt idx="223">
                  <c:v>1</c:v>
                </c:pt>
                <c:pt idx="224">
                  <c:v>1.2</c:v>
                </c:pt>
                <c:pt idx="225">
                  <c:v>0.8</c:v>
                </c:pt>
                <c:pt idx="226">
                  <c:v>1.3</c:v>
                </c:pt>
                <c:pt idx="227">
                  <c:v>1.7</c:v>
                </c:pt>
                <c:pt idx="228">
                  <c:v>1.3</c:v>
                </c:pt>
                <c:pt idx="229">
                  <c:v>0.9</c:v>
                </c:pt>
                <c:pt idx="230">
                  <c:v>0.8</c:v>
                </c:pt>
                <c:pt idx="231">
                  <c:v>1.7</c:v>
                </c:pt>
                <c:pt idx="232">
                  <c:v>1.7</c:v>
                </c:pt>
                <c:pt idx="233">
                  <c:v>1.8</c:v>
                </c:pt>
                <c:pt idx="234">
                  <c:v>1</c:v>
                </c:pt>
                <c:pt idx="235">
                  <c:v>1.9</c:v>
                </c:pt>
                <c:pt idx="236">
                  <c:v>1</c:v>
                </c:pt>
                <c:pt idx="237">
                  <c:v>1.1000000000000001</c:v>
                </c:pt>
                <c:pt idx="238">
                  <c:v>1.1000000000000001</c:v>
                </c:pt>
                <c:pt idx="239">
                  <c:v>1.1000000000000001</c:v>
                </c:pt>
                <c:pt idx="240">
                  <c:v>1</c:v>
                </c:pt>
                <c:pt idx="241">
                  <c:v>0.9</c:v>
                </c:pt>
                <c:pt idx="242">
                  <c:v>0.8</c:v>
                </c:pt>
                <c:pt idx="243">
                  <c:v>0.9</c:v>
                </c:pt>
                <c:pt idx="244">
                  <c:v>1</c:v>
                </c:pt>
                <c:pt idx="245">
                  <c:v>1.1000000000000001</c:v>
                </c:pt>
                <c:pt idx="246">
                  <c:v>1.5</c:v>
                </c:pt>
                <c:pt idx="247">
                  <c:v>0.9</c:v>
                </c:pt>
                <c:pt idx="248">
                  <c:v>1.3</c:v>
                </c:pt>
                <c:pt idx="249">
                  <c:v>1</c:v>
                </c:pt>
                <c:pt idx="250">
                  <c:v>0.9</c:v>
                </c:pt>
                <c:pt idx="251">
                  <c:v>1.1000000000000001</c:v>
                </c:pt>
                <c:pt idx="252">
                  <c:v>0.9</c:v>
                </c:pt>
                <c:pt idx="253">
                  <c:v>0.8</c:v>
                </c:pt>
                <c:pt idx="254">
                  <c:v>1.4</c:v>
                </c:pt>
                <c:pt idx="255">
                  <c:v>1.2</c:v>
                </c:pt>
                <c:pt idx="256">
                  <c:v>1.6</c:v>
                </c:pt>
                <c:pt idx="257">
                  <c:v>1.1000000000000001</c:v>
                </c:pt>
                <c:pt idx="258">
                  <c:v>0.8</c:v>
                </c:pt>
                <c:pt idx="259">
                  <c:v>1.5</c:v>
                </c:pt>
                <c:pt idx="260">
                  <c:v>1.6</c:v>
                </c:pt>
                <c:pt idx="261">
                  <c:v>0.7</c:v>
                </c:pt>
                <c:pt idx="262">
                  <c:v>0.6</c:v>
                </c:pt>
                <c:pt idx="263">
                  <c:v>1.1000000000000001</c:v>
                </c:pt>
                <c:pt idx="264">
                  <c:v>0.8</c:v>
                </c:pt>
                <c:pt idx="265">
                  <c:v>1.6</c:v>
                </c:pt>
                <c:pt idx="266">
                  <c:v>1.7</c:v>
                </c:pt>
                <c:pt idx="267">
                  <c:v>0.4</c:v>
                </c:pt>
                <c:pt idx="268">
                  <c:v>1.5</c:v>
                </c:pt>
                <c:pt idx="269">
                  <c:v>0.9</c:v>
                </c:pt>
                <c:pt idx="270">
                  <c:v>0.8</c:v>
                </c:pt>
                <c:pt idx="271">
                  <c:v>0.7</c:v>
                </c:pt>
                <c:pt idx="272">
                  <c:v>0.8</c:v>
                </c:pt>
                <c:pt idx="273">
                  <c:v>1.2</c:v>
                </c:pt>
                <c:pt idx="274">
                  <c:v>1.3</c:v>
                </c:pt>
                <c:pt idx="275">
                  <c:v>1.4</c:v>
                </c:pt>
                <c:pt idx="276">
                  <c:v>1.3</c:v>
                </c:pt>
                <c:pt idx="277">
                  <c:v>1.3</c:v>
                </c:pt>
                <c:pt idx="278">
                  <c:v>2.2999999999999998</c:v>
                </c:pt>
                <c:pt idx="279">
                  <c:v>1.3</c:v>
                </c:pt>
                <c:pt idx="280">
                  <c:v>0.9</c:v>
                </c:pt>
                <c:pt idx="281">
                  <c:v>1</c:v>
                </c:pt>
                <c:pt idx="282">
                  <c:v>1.7</c:v>
                </c:pt>
                <c:pt idx="283">
                  <c:v>1.1000000000000001</c:v>
                </c:pt>
                <c:pt idx="284">
                  <c:v>0.6</c:v>
                </c:pt>
                <c:pt idx="285">
                  <c:v>0.7</c:v>
                </c:pt>
                <c:pt idx="286">
                  <c:v>0.6</c:v>
                </c:pt>
                <c:pt idx="287">
                  <c:v>0.6</c:v>
                </c:pt>
                <c:pt idx="288">
                  <c:v>1.1000000000000001</c:v>
                </c:pt>
                <c:pt idx="289">
                  <c:v>1.1000000000000001</c:v>
                </c:pt>
                <c:pt idx="290">
                  <c:v>0.9</c:v>
                </c:pt>
                <c:pt idx="291">
                  <c:v>1.1000000000000001</c:v>
                </c:pt>
                <c:pt idx="292">
                  <c:v>1.1000000000000001</c:v>
                </c:pt>
                <c:pt idx="293">
                  <c:v>0.7</c:v>
                </c:pt>
                <c:pt idx="294">
                  <c:v>1</c:v>
                </c:pt>
                <c:pt idx="295">
                  <c:v>0.8</c:v>
                </c:pt>
                <c:pt idx="296">
                  <c:v>0.8</c:v>
                </c:pt>
                <c:pt idx="297">
                  <c:v>0.7</c:v>
                </c:pt>
                <c:pt idx="298">
                  <c:v>0.9</c:v>
                </c:pt>
                <c:pt idx="299">
                  <c:v>1.2</c:v>
                </c:pt>
                <c:pt idx="300">
                  <c:v>1.5</c:v>
                </c:pt>
                <c:pt idx="301">
                  <c:v>0.8</c:v>
                </c:pt>
                <c:pt idx="302">
                  <c:v>2.7</c:v>
                </c:pt>
                <c:pt idx="303">
                  <c:v>0.8</c:v>
                </c:pt>
                <c:pt idx="304">
                  <c:v>0.8</c:v>
                </c:pt>
                <c:pt idx="305">
                  <c:v>0.9</c:v>
                </c:pt>
                <c:pt idx="306">
                  <c:v>1.2</c:v>
                </c:pt>
                <c:pt idx="307">
                  <c:v>0.9</c:v>
                </c:pt>
                <c:pt idx="308">
                  <c:v>1.1000000000000001</c:v>
                </c:pt>
                <c:pt idx="309">
                  <c:v>0.9</c:v>
                </c:pt>
                <c:pt idx="310">
                  <c:v>0.8</c:v>
                </c:pt>
                <c:pt idx="311">
                  <c:v>0.4</c:v>
                </c:pt>
                <c:pt idx="312">
                  <c:v>0.6</c:v>
                </c:pt>
                <c:pt idx="313">
                  <c:v>2.4</c:v>
                </c:pt>
                <c:pt idx="314">
                  <c:v>1</c:v>
                </c:pt>
                <c:pt idx="315">
                  <c:v>1.2</c:v>
                </c:pt>
                <c:pt idx="316">
                  <c:v>1.7</c:v>
                </c:pt>
                <c:pt idx="317">
                  <c:v>1.3</c:v>
                </c:pt>
                <c:pt idx="318">
                  <c:v>2.5</c:v>
                </c:pt>
                <c:pt idx="319">
                  <c:v>1.1000000000000001</c:v>
                </c:pt>
                <c:pt idx="320">
                  <c:v>1.5</c:v>
                </c:pt>
                <c:pt idx="321">
                  <c:v>0.6</c:v>
                </c:pt>
                <c:pt idx="322">
                  <c:v>1.4</c:v>
                </c:pt>
                <c:pt idx="323">
                  <c:v>0.8</c:v>
                </c:pt>
                <c:pt idx="324">
                  <c:v>1.2</c:v>
                </c:pt>
                <c:pt idx="325">
                  <c:v>1.3</c:v>
                </c:pt>
                <c:pt idx="326">
                  <c:v>0.8</c:v>
                </c:pt>
                <c:pt idx="327">
                  <c:v>0.7</c:v>
                </c:pt>
                <c:pt idx="328">
                  <c:v>0.5</c:v>
                </c:pt>
                <c:pt idx="329">
                  <c:v>0.9</c:v>
                </c:pt>
                <c:pt idx="330">
                  <c:v>1</c:v>
                </c:pt>
                <c:pt idx="331">
                  <c:v>0.9</c:v>
                </c:pt>
                <c:pt idx="332">
                  <c:v>1.2</c:v>
                </c:pt>
                <c:pt idx="333">
                  <c:v>0.3</c:v>
                </c:pt>
                <c:pt idx="334">
                  <c:v>2.1</c:v>
                </c:pt>
                <c:pt idx="335">
                  <c:v>1.8</c:v>
                </c:pt>
                <c:pt idx="336">
                  <c:v>1.9</c:v>
                </c:pt>
                <c:pt idx="337">
                  <c:v>0.5</c:v>
                </c:pt>
                <c:pt idx="338">
                  <c:v>0.9</c:v>
                </c:pt>
                <c:pt idx="339">
                  <c:v>0.9</c:v>
                </c:pt>
                <c:pt idx="340">
                  <c:v>0.5</c:v>
                </c:pt>
                <c:pt idx="341">
                  <c:v>0.9</c:v>
                </c:pt>
                <c:pt idx="342">
                  <c:v>0.6</c:v>
                </c:pt>
                <c:pt idx="343">
                  <c:v>1.4</c:v>
                </c:pt>
                <c:pt idx="344">
                  <c:v>0.8</c:v>
                </c:pt>
                <c:pt idx="345">
                  <c:v>0.6</c:v>
                </c:pt>
                <c:pt idx="346">
                  <c:v>1.2</c:v>
                </c:pt>
                <c:pt idx="347">
                  <c:v>1.4</c:v>
                </c:pt>
                <c:pt idx="348">
                  <c:v>0.5</c:v>
                </c:pt>
                <c:pt idx="349">
                  <c:v>2.2000000000000002</c:v>
                </c:pt>
                <c:pt idx="350">
                  <c:v>1.1000000000000001</c:v>
                </c:pt>
                <c:pt idx="351">
                  <c:v>1.1000000000000001</c:v>
                </c:pt>
                <c:pt idx="352">
                  <c:v>1.1000000000000001</c:v>
                </c:pt>
                <c:pt idx="353">
                  <c:v>1.3</c:v>
                </c:pt>
                <c:pt idx="354">
                  <c:v>0.7</c:v>
                </c:pt>
                <c:pt idx="355">
                  <c:v>1.4</c:v>
                </c:pt>
                <c:pt idx="356">
                  <c:v>0.3</c:v>
                </c:pt>
                <c:pt idx="357">
                  <c:v>0.9</c:v>
                </c:pt>
                <c:pt idx="358">
                  <c:v>1</c:v>
                </c:pt>
                <c:pt idx="359">
                  <c:v>1.1000000000000001</c:v>
                </c:pt>
                <c:pt idx="360">
                  <c:v>1.2</c:v>
                </c:pt>
                <c:pt idx="361">
                  <c:v>1.3</c:v>
                </c:pt>
                <c:pt idx="362">
                  <c:v>1</c:v>
                </c:pt>
                <c:pt idx="363">
                  <c:v>1</c:v>
                </c:pt>
                <c:pt idx="364">
                  <c:v>0.6</c:v>
                </c:pt>
                <c:pt idx="365">
                  <c:v>1.2</c:v>
                </c:pt>
                <c:pt idx="366">
                  <c:v>0.6</c:v>
                </c:pt>
                <c:pt idx="367">
                  <c:v>0.7</c:v>
                </c:pt>
                <c:pt idx="368">
                  <c:v>0.8</c:v>
                </c:pt>
                <c:pt idx="369">
                  <c:v>0.9</c:v>
                </c:pt>
                <c:pt idx="370">
                  <c:v>0.6</c:v>
                </c:pt>
                <c:pt idx="371">
                  <c:v>0.5</c:v>
                </c:pt>
                <c:pt idx="372">
                  <c:v>1</c:v>
                </c:pt>
                <c:pt idx="373">
                  <c:v>1</c:v>
                </c:pt>
                <c:pt idx="374">
                  <c:v>0.6</c:v>
                </c:pt>
                <c:pt idx="375">
                  <c:v>0.5</c:v>
                </c:pt>
                <c:pt idx="376">
                  <c:v>0.7</c:v>
                </c:pt>
                <c:pt idx="377">
                  <c:v>1.1000000000000001</c:v>
                </c:pt>
                <c:pt idx="378">
                  <c:v>1.1000000000000001</c:v>
                </c:pt>
                <c:pt idx="379">
                  <c:v>0.9</c:v>
                </c:pt>
                <c:pt idx="380">
                  <c:v>1.9</c:v>
                </c:pt>
                <c:pt idx="381">
                  <c:v>0.8</c:v>
                </c:pt>
                <c:pt idx="382">
                  <c:v>1.4</c:v>
                </c:pt>
                <c:pt idx="383">
                  <c:v>0.8</c:v>
                </c:pt>
                <c:pt idx="384">
                  <c:v>0.7</c:v>
                </c:pt>
                <c:pt idx="385">
                  <c:v>1.2</c:v>
                </c:pt>
                <c:pt idx="386">
                  <c:v>0.7</c:v>
                </c:pt>
                <c:pt idx="387">
                  <c:v>0.5</c:v>
                </c:pt>
                <c:pt idx="388">
                  <c:v>0.8</c:v>
                </c:pt>
                <c:pt idx="389">
                  <c:v>1.2</c:v>
                </c:pt>
                <c:pt idx="390">
                  <c:v>0.4</c:v>
                </c:pt>
                <c:pt idx="391">
                  <c:v>1.4</c:v>
                </c:pt>
                <c:pt idx="392">
                  <c:v>0.9</c:v>
                </c:pt>
                <c:pt idx="393">
                  <c:v>0.8</c:v>
                </c:pt>
                <c:pt idx="394">
                  <c:v>0.9</c:v>
                </c:pt>
                <c:pt idx="395">
                  <c:v>0.9</c:v>
                </c:pt>
                <c:pt idx="396">
                  <c:v>0.8</c:v>
                </c:pt>
                <c:pt idx="397">
                  <c:v>1</c:v>
                </c:pt>
                <c:pt idx="398">
                  <c:v>0.7</c:v>
                </c:pt>
                <c:pt idx="399">
                  <c:v>0.9</c:v>
                </c:pt>
                <c:pt idx="400">
                  <c:v>0.9</c:v>
                </c:pt>
                <c:pt idx="401">
                  <c:v>0.8</c:v>
                </c:pt>
                <c:pt idx="402">
                  <c:v>0.5</c:v>
                </c:pt>
                <c:pt idx="403">
                  <c:v>0.9</c:v>
                </c:pt>
                <c:pt idx="404">
                  <c:v>0.9</c:v>
                </c:pt>
                <c:pt idx="405">
                  <c:v>0.7</c:v>
                </c:pt>
                <c:pt idx="406">
                  <c:v>1.5</c:v>
                </c:pt>
                <c:pt idx="407">
                  <c:v>1</c:v>
                </c:pt>
                <c:pt idx="408">
                  <c:v>2</c:v>
                </c:pt>
                <c:pt idx="409">
                  <c:v>0.6</c:v>
                </c:pt>
                <c:pt idx="410">
                  <c:v>1.5</c:v>
                </c:pt>
                <c:pt idx="411">
                  <c:v>0.7</c:v>
                </c:pt>
                <c:pt idx="412">
                  <c:v>0.7</c:v>
                </c:pt>
                <c:pt idx="413">
                  <c:v>0.6</c:v>
                </c:pt>
                <c:pt idx="414">
                  <c:v>1.2</c:v>
                </c:pt>
                <c:pt idx="415">
                  <c:v>0.9</c:v>
                </c:pt>
                <c:pt idx="416">
                  <c:v>1.7</c:v>
                </c:pt>
                <c:pt idx="417">
                  <c:v>1.1000000000000001</c:v>
                </c:pt>
                <c:pt idx="418">
                  <c:v>0.8</c:v>
                </c:pt>
                <c:pt idx="419">
                  <c:v>1</c:v>
                </c:pt>
                <c:pt idx="420">
                  <c:v>0.3</c:v>
                </c:pt>
                <c:pt idx="421">
                  <c:v>0.6</c:v>
                </c:pt>
                <c:pt idx="422">
                  <c:v>0.5</c:v>
                </c:pt>
                <c:pt idx="423">
                  <c:v>0.8</c:v>
                </c:pt>
                <c:pt idx="424">
                  <c:v>0.7</c:v>
                </c:pt>
                <c:pt idx="425">
                  <c:v>0.6</c:v>
                </c:pt>
                <c:pt idx="426">
                  <c:v>0.4</c:v>
                </c:pt>
                <c:pt idx="427">
                  <c:v>1</c:v>
                </c:pt>
                <c:pt idx="428">
                  <c:v>0.9</c:v>
                </c:pt>
                <c:pt idx="429">
                  <c:v>0.4</c:v>
                </c:pt>
                <c:pt idx="430">
                  <c:v>1.4</c:v>
                </c:pt>
                <c:pt idx="431">
                  <c:v>0.8</c:v>
                </c:pt>
                <c:pt idx="432">
                  <c:v>1</c:v>
                </c:pt>
                <c:pt idx="433">
                  <c:v>0.5</c:v>
                </c:pt>
                <c:pt idx="434">
                  <c:v>0.8</c:v>
                </c:pt>
                <c:pt idx="435">
                  <c:v>0.5</c:v>
                </c:pt>
                <c:pt idx="436">
                  <c:v>0.3</c:v>
                </c:pt>
                <c:pt idx="437">
                  <c:v>0.5</c:v>
                </c:pt>
                <c:pt idx="438">
                  <c:v>0.4</c:v>
                </c:pt>
                <c:pt idx="439">
                  <c:v>0.9</c:v>
                </c:pt>
                <c:pt idx="440">
                  <c:v>0.9</c:v>
                </c:pt>
                <c:pt idx="441">
                  <c:v>1.2</c:v>
                </c:pt>
                <c:pt idx="442">
                  <c:v>0.7</c:v>
                </c:pt>
                <c:pt idx="443">
                  <c:v>0.6</c:v>
                </c:pt>
                <c:pt idx="444">
                  <c:v>0.4</c:v>
                </c:pt>
                <c:pt idx="445">
                  <c:v>0.8</c:v>
                </c:pt>
                <c:pt idx="446">
                  <c:v>0.5</c:v>
                </c:pt>
                <c:pt idx="447">
                  <c:v>0.6</c:v>
                </c:pt>
                <c:pt idx="448">
                  <c:v>0.9</c:v>
                </c:pt>
                <c:pt idx="449">
                  <c:v>0.7</c:v>
                </c:pt>
                <c:pt idx="450">
                  <c:v>0.6</c:v>
                </c:pt>
                <c:pt idx="451">
                  <c:v>0.2</c:v>
                </c:pt>
                <c:pt idx="452">
                  <c:v>0.8</c:v>
                </c:pt>
                <c:pt idx="453">
                  <c:v>0.6</c:v>
                </c:pt>
                <c:pt idx="454">
                  <c:v>0.5</c:v>
                </c:pt>
                <c:pt idx="455">
                  <c:v>0.5</c:v>
                </c:pt>
                <c:pt idx="456">
                  <c:v>0.6</c:v>
                </c:pt>
                <c:pt idx="457">
                  <c:v>0.8</c:v>
                </c:pt>
                <c:pt idx="458">
                  <c:v>0.7</c:v>
                </c:pt>
                <c:pt idx="459">
                  <c:v>0.7</c:v>
                </c:pt>
                <c:pt idx="460">
                  <c:v>0.5</c:v>
                </c:pt>
                <c:pt idx="461">
                  <c:v>0.4</c:v>
                </c:pt>
                <c:pt idx="462">
                  <c:v>0.8</c:v>
                </c:pt>
                <c:pt idx="463">
                  <c:v>0.6</c:v>
                </c:pt>
                <c:pt idx="464">
                  <c:v>1.4</c:v>
                </c:pt>
                <c:pt idx="465">
                  <c:v>0.8</c:v>
                </c:pt>
                <c:pt idx="466">
                  <c:v>0.7</c:v>
                </c:pt>
                <c:pt idx="467">
                  <c:v>0.5</c:v>
                </c:pt>
                <c:pt idx="468">
                  <c:v>1</c:v>
                </c:pt>
                <c:pt idx="469">
                  <c:v>1.1000000000000001</c:v>
                </c:pt>
                <c:pt idx="470">
                  <c:v>1.3</c:v>
                </c:pt>
                <c:pt idx="471">
                  <c:v>1.7</c:v>
                </c:pt>
                <c:pt idx="472">
                  <c:v>1.5</c:v>
                </c:pt>
                <c:pt idx="473">
                  <c:v>0.5</c:v>
                </c:pt>
                <c:pt idx="474">
                  <c:v>0.5</c:v>
                </c:pt>
                <c:pt idx="475">
                  <c:v>0.6</c:v>
                </c:pt>
                <c:pt idx="476">
                  <c:v>0.8</c:v>
                </c:pt>
                <c:pt idx="477">
                  <c:v>1.3</c:v>
                </c:pt>
                <c:pt idx="478">
                  <c:v>0.6</c:v>
                </c:pt>
                <c:pt idx="479">
                  <c:v>0.5</c:v>
                </c:pt>
                <c:pt idx="480">
                  <c:v>0.7</c:v>
                </c:pt>
                <c:pt idx="481">
                  <c:v>0.9</c:v>
                </c:pt>
                <c:pt idx="482">
                  <c:v>0.6</c:v>
                </c:pt>
                <c:pt idx="483">
                  <c:v>0.5</c:v>
                </c:pt>
                <c:pt idx="484">
                  <c:v>0.8</c:v>
                </c:pt>
                <c:pt idx="485">
                  <c:v>0.5</c:v>
                </c:pt>
                <c:pt idx="486">
                  <c:v>0.4</c:v>
                </c:pt>
                <c:pt idx="487">
                  <c:v>0.6</c:v>
                </c:pt>
                <c:pt idx="488">
                  <c:v>0.4</c:v>
                </c:pt>
                <c:pt idx="489">
                  <c:v>0.8</c:v>
                </c:pt>
                <c:pt idx="490">
                  <c:v>0.9</c:v>
                </c:pt>
                <c:pt idx="491">
                  <c:v>0.4</c:v>
                </c:pt>
                <c:pt idx="492">
                  <c:v>0.5</c:v>
                </c:pt>
                <c:pt idx="493">
                  <c:v>0.9</c:v>
                </c:pt>
                <c:pt idx="494">
                  <c:v>0.6</c:v>
                </c:pt>
                <c:pt idx="495">
                  <c:v>1</c:v>
                </c:pt>
                <c:pt idx="496">
                  <c:v>0.6</c:v>
                </c:pt>
                <c:pt idx="497">
                  <c:v>0.4</c:v>
                </c:pt>
                <c:pt idx="498">
                  <c:v>0.5</c:v>
                </c:pt>
                <c:pt idx="499">
                  <c:v>0.7</c:v>
                </c:pt>
                <c:pt idx="500">
                  <c:v>0.5</c:v>
                </c:pt>
                <c:pt idx="501">
                  <c:v>0.9</c:v>
                </c:pt>
                <c:pt idx="502">
                  <c:v>1.1000000000000001</c:v>
                </c:pt>
                <c:pt idx="503">
                  <c:v>0.5</c:v>
                </c:pt>
                <c:pt idx="504">
                  <c:v>0.4</c:v>
                </c:pt>
                <c:pt idx="505">
                  <c:v>0.3</c:v>
                </c:pt>
                <c:pt idx="506">
                  <c:v>0.4</c:v>
                </c:pt>
                <c:pt idx="507">
                  <c:v>0.4</c:v>
                </c:pt>
                <c:pt idx="508">
                  <c:v>0.3</c:v>
                </c:pt>
                <c:pt idx="509">
                  <c:v>0.3</c:v>
                </c:pt>
                <c:pt idx="510">
                  <c:v>0.5</c:v>
                </c:pt>
                <c:pt idx="511">
                  <c:v>0.5</c:v>
                </c:pt>
                <c:pt idx="512">
                  <c:v>0.5</c:v>
                </c:pt>
                <c:pt idx="513">
                  <c:v>0.7</c:v>
                </c:pt>
                <c:pt idx="514">
                  <c:v>0.7</c:v>
                </c:pt>
                <c:pt idx="515">
                  <c:v>0.6</c:v>
                </c:pt>
                <c:pt idx="516">
                  <c:v>0.6</c:v>
                </c:pt>
                <c:pt idx="517">
                  <c:v>0.4</c:v>
                </c:pt>
                <c:pt idx="518">
                  <c:v>0.4</c:v>
                </c:pt>
                <c:pt idx="519">
                  <c:v>0.6</c:v>
                </c:pt>
                <c:pt idx="520">
                  <c:v>0.5</c:v>
                </c:pt>
                <c:pt idx="521">
                  <c:v>0.5</c:v>
                </c:pt>
                <c:pt idx="522">
                  <c:v>0.6</c:v>
                </c:pt>
                <c:pt idx="523">
                  <c:v>0.4</c:v>
                </c:pt>
                <c:pt idx="524">
                  <c:v>0.4</c:v>
                </c:pt>
                <c:pt idx="525">
                  <c:v>0.5</c:v>
                </c:pt>
                <c:pt idx="526">
                  <c:v>0.3</c:v>
                </c:pt>
                <c:pt idx="527">
                  <c:v>0.5</c:v>
                </c:pt>
                <c:pt idx="528">
                  <c:v>0.6</c:v>
                </c:pt>
                <c:pt idx="529">
                  <c:v>0.2</c:v>
                </c:pt>
                <c:pt idx="530">
                  <c:v>0.3</c:v>
                </c:pt>
                <c:pt idx="531">
                  <c:v>0.2</c:v>
                </c:pt>
                <c:pt idx="532">
                  <c:v>0.5</c:v>
                </c:pt>
                <c:pt idx="533">
                  <c:v>0.5</c:v>
                </c:pt>
                <c:pt idx="534">
                  <c:v>0.7</c:v>
                </c:pt>
                <c:pt idx="535">
                  <c:v>0.3</c:v>
                </c:pt>
                <c:pt idx="536">
                  <c:v>0.3</c:v>
                </c:pt>
                <c:pt idx="537">
                  <c:v>0.6</c:v>
                </c:pt>
                <c:pt idx="538">
                  <c:v>0.6</c:v>
                </c:pt>
                <c:pt idx="539">
                  <c:v>0.4</c:v>
                </c:pt>
                <c:pt idx="540">
                  <c:v>0.5</c:v>
                </c:pt>
                <c:pt idx="541">
                  <c:v>0.5</c:v>
                </c:pt>
                <c:pt idx="542">
                  <c:v>0.7</c:v>
                </c:pt>
                <c:pt idx="543">
                  <c:v>0.3</c:v>
                </c:pt>
                <c:pt idx="544">
                  <c:v>0.2</c:v>
                </c:pt>
                <c:pt idx="545">
                  <c:v>0.1</c:v>
                </c:pt>
                <c:pt idx="546">
                  <c:v>0.3</c:v>
                </c:pt>
                <c:pt idx="547">
                  <c:v>0.4</c:v>
                </c:pt>
                <c:pt idx="548">
                  <c:v>0.3</c:v>
                </c:pt>
                <c:pt idx="549">
                  <c:v>0.5</c:v>
                </c:pt>
                <c:pt idx="550">
                  <c:v>0.3</c:v>
                </c:pt>
                <c:pt idx="551">
                  <c:v>0.5</c:v>
                </c:pt>
                <c:pt idx="552">
                  <c:v>1</c:v>
                </c:pt>
                <c:pt idx="553">
                  <c:v>0.2</c:v>
                </c:pt>
                <c:pt idx="554">
                  <c:v>0.4</c:v>
                </c:pt>
                <c:pt idx="555">
                  <c:v>0.8</c:v>
                </c:pt>
                <c:pt idx="556">
                  <c:v>0.4</c:v>
                </c:pt>
                <c:pt idx="557">
                  <c:v>0.5</c:v>
                </c:pt>
                <c:pt idx="558">
                  <c:v>0.6</c:v>
                </c:pt>
                <c:pt idx="559">
                  <c:v>0.5</c:v>
                </c:pt>
                <c:pt idx="560">
                  <c:v>0.4</c:v>
                </c:pt>
                <c:pt idx="561">
                  <c:v>0.6</c:v>
                </c:pt>
                <c:pt idx="562">
                  <c:v>0.5</c:v>
                </c:pt>
                <c:pt idx="563">
                  <c:v>0.1</c:v>
                </c:pt>
                <c:pt idx="564">
                  <c:v>0.2</c:v>
                </c:pt>
                <c:pt idx="565">
                  <c:v>0.2</c:v>
                </c:pt>
                <c:pt idx="566">
                  <c:v>0.3</c:v>
                </c:pt>
                <c:pt idx="567">
                  <c:v>0.3</c:v>
                </c:pt>
                <c:pt idx="568">
                  <c:v>0.3</c:v>
                </c:pt>
                <c:pt idx="569">
                  <c:v>0.3</c:v>
                </c:pt>
                <c:pt idx="570">
                  <c:v>0.1</c:v>
                </c:pt>
                <c:pt idx="571">
                  <c:v>0.2</c:v>
                </c:pt>
                <c:pt idx="572">
                  <c:v>0.3</c:v>
                </c:pt>
                <c:pt idx="573">
                  <c:v>0.8</c:v>
                </c:pt>
                <c:pt idx="574">
                  <c:v>0.2</c:v>
                </c:pt>
                <c:pt idx="575">
                  <c:v>0.3</c:v>
                </c:pt>
                <c:pt idx="576">
                  <c:v>0.3</c:v>
                </c:pt>
                <c:pt idx="577">
                  <c:v>0.7</c:v>
                </c:pt>
                <c:pt idx="578">
                  <c:v>0.3</c:v>
                </c:pt>
                <c:pt idx="579">
                  <c:v>0.4</c:v>
                </c:pt>
                <c:pt idx="580">
                  <c:v>0.2</c:v>
                </c:pt>
                <c:pt idx="581">
                  <c:v>0.1</c:v>
                </c:pt>
                <c:pt idx="582">
                  <c:v>0.1</c:v>
                </c:pt>
                <c:pt idx="583">
                  <c:v>0</c:v>
                </c:pt>
                <c:pt idx="584">
                  <c:v>0.5</c:v>
                </c:pt>
                <c:pt idx="585">
                  <c:v>0.2</c:v>
                </c:pt>
                <c:pt idx="586">
                  <c:v>0.4</c:v>
                </c:pt>
                <c:pt idx="587">
                  <c:v>0.3</c:v>
                </c:pt>
                <c:pt idx="588">
                  <c:v>0.5</c:v>
                </c:pt>
                <c:pt idx="589">
                  <c:v>0.3</c:v>
                </c:pt>
                <c:pt idx="590">
                  <c:v>0.6</c:v>
                </c:pt>
                <c:pt idx="591">
                  <c:v>0.2</c:v>
                </c:pt>
                <c:pt idx="592">
                  <c:v>0.3</c:v>
                </c:pt>
                <c:pt idx="593">
                  <c:v>0.3</c:v>
                </c:pt>
                <c:pt idx="594">
                  <c:v>0.3</c:v>
                </c:pt>
                <c:pt idx="595">
                  <c:v>0.4</c:v>
                </c:pt>
                <c:pt idx="596">
                  <c:v>0.2</c:v>
                </c:pt>
                <c:pt idx="597">
                  <c:v>0.6</c:v>
                </c:pt>
                <c:pt idx="598">
                  <c:v>0.6</c:v>
                </c:pt>
                <c:pt idx="599">
                  <c:v>0.4</c:v>
                </c:pt>
                <c:pt idx="600">
                  <c:v>0.2</c:v>
                </c:pt>
                <c:pt idx="601">
                  <c:v>0.1</c:v>
                </c:pt>
                <c:pt idx="602">
                  <c:v>0.3</c:v>
                </c:pt>
                <c:pt idx="603">
                  <c:v>0.3</c:v>
                </c:pt>
                <c:pt idx="604">
                  <c:v>0.2</c:v>
                </c:pt>
                <c:pt idx="605">
                  <c:v>0.5</c:v>
                </c:pt>
                <c:pt idx="606">
                  <c:v>0.3</c:v>
                </c:pt>
                <c:pt idx="607">
                  <c:v>0.5</c:v>
                </c:pt>
                <c:pt idx="608">
                  <c:v>0.4</c:v>
                </c:pt>
                <c:pt idx="609">
                  <c:v>0.3</c:v>
                </c:pt>
                <c:pt idx="610">
                  <c:v>0.3</c:v>
                </c:pt>
                <c:pt idx="611">
                  <c:v>0.6</c:v>
                </c:pt>
                <c:pt idx="612">
                  <c:v>0.3</c:v>
                </c:pt>
                <c:pt idx="613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81-2F4E-9E2F-A71333BF6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288191"/>
        <c:axId val="1547289903"/>
      </c:scatterChart>
      <c:valAx>
        <c:axId val="154728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Assists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289903"/>
        <c:crosses val="autoZero"/>
        <c:crossBetween val="midCat"/>
      </c:valAx>
      <c:valAx>
        <c:axId val="154728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Turnovers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288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641350</xdr:colOff>
      <xdr:row>1</xdr:row>
      <xdr:rowOff>101600</xdr:rowOff>
    </xdr:from>
    <xdr:to>
      <xdr:col>38</xdr:col>
      <xdr:colOff>762000</xdr:colOff>
      <xdr:row>29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1C7F11-6673-A6A0-359A-8AE0CD58B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641350</xdr:colOff>
      <xdr:row>32</xdr:row>
      <xdr:rowOff>190500</xdr:rowOff>
    </xdr:from>
    <xdr:to>
      <xdr:col>38</xdr:col>
      <xdr:colOff>787400</xdr:colOff>
      <xdr:row>58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CB704D-8066-0937-792A-3063A4F1B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C475AFD-A3F2-3E49-AA77-09E350C2D4EB}" autoFormatId="16" applyNumberFormats="0" applyBorderFormats="0" applyFontFormats="0" applyPatternFormats="0" applyAlignmentFormats="0" applyWidthHeightFormats="0">
  <queryTableRefresh nextId="26">
    <queryTableFields count="25">
      <queryTableField id="1" name="Player" tableColumnId="1"/>
      <queryTableField id="2" name="Pos" tableColumnId="2"/>
      <queryTableField id="3" name="Age" tableColumnId="3"/>
      <queryTableField id="4" name="Tm" tableColumnId="4"/>
      <queryTableField id="5" name="G" tableColumnId="5"/>
      <queryTableField id="6" name="GS" tableColumnId="6"/>
      <queryTableField id="7" name="MP" tableColumnId="7"/>
      <queryTableField id="8" name="FG" tableColumnId="8"/>
      <queryTableField id="9" name="FGA" tableColumnId="9"/>
      <queryTableField id="10" name="FG%" tableColumnId="10"/>
      <queryTableField id="11" name="3P" tableColumnId="11"/>
      <queryTableField id="12" name="3PA" tableColumnId="12"/>
      <queryTableField id="13" name="3P%" tableColumnId="13"/>
      <queryTableField id="14" name="FT" tableColumnId="14"/>
      <queryTableField id="15" name="FTA" tableColumnId="15"/>
      <queryTableField id="16" name="FT%" tableColumnId="16"/>
      <queryTableField id="17" name="ORB" tableColumnId="17"/>
      <queryTableField id="18" name="DRB" tableColumnId="18"/>
      <queryTableField id="19" name="TRB" tableColumnId="19"/>
      <queryTableField id="20" name="AST" tableColumnId="20"/>
      <queryTableField id="21" name="STL" tableColumnId="21"/>
      <queryTableField id="22" name="BLK" tableColumnId="22"/>
      <queryTableField id="23" name="TOV" tableColumnId="23"/>
      <queryTableField id="24" name="PF" tableColumnId="24"/>
      <queryTableField id="25" name="PTS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19E4C8-F19A-EF48-86D4-6768565F07D2}" autoFormatId="16" applyNumberFormats="0" applyBorderFormats="0" applyFontFormats="0" applyPatternFormats="0" applyAlignmentFormats="0" applyWidthHeightFormats="0">
  <queryTableRefresh nextId="15" unboundColumnsRight="5">
    <queryTableFields count="14">
      <queryTableField id="1" name="Team" tableColumnId="1"/>
      <queryTableField id="2" name="MP" tableColumnId="2"/>
      <queryTableField id="3" name="W" tableColumnId="3"/>
      <queryTableField id="4" name="D" tableColumnId="4"/>
      <queryTableField id="5" name="L" tableColumnId="5"/>
      <queryTableField id="6" name="GF" tableColumnId="6"/>
      <queryTableField id="7" name="GA" tableColumnId="7"/>
      <queryTableField id="8" name="GD" tableColumnId="8"/>
      <queryTableField id="9" name="Pts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FFC536-5112-804A-9C5F-782645BF05DD}" name="NBA_2026_PerGame" displayName="NBA_2026_PerGame" ref="A1:Y615" tableType="queryTable" totalsRowShown="0">
  <autoFilter ref="A1:Y615" xr:uid="{02FFC536-5112-804A-9C5F-782645BF05DD}"/>
  <tableColumns count="25">
    <tableColumn id="1" xr3:uid="{BFF2D258-3B46-104B-B991-F8188A181115}" uniqueName="1" name="Player" queryTableFieldId="1" dataDxfId="44"/>
    <tableColumn id="2" xr3:uid="{12D97DFD-5AFB-A940-9F78-1C953B27206D}" uniqueName="2" name="Pos" queryTableFieldId="2" dataDxfId="43"/>
    <tableColumn id="3" xr3:uid="{F86D325C-2FDB-CF4A-9801-57817DE3D1BD}" uniqueName="3" name="Age" queryTableFieldId="3"/>
    <tableColumn id="4" xr3:uid="{8F54F171-56B0-D04D-9F5C-378E9A988785}" uniqueName="4" name="Tm" queryTableFieldId="4" dataDxfId="42"/>
    <tableColumn id="5" xr3:uid="{F814D2F5-F45E-B14B-BE0E-1CC7277FA841}" uniqueName="5" name="G" queryTableFieldId="5"/>
    <tableColumn id="6" xr3:uid="{01BBF581-1059-B142-92B9-ECE751EFD24B}" uniqueName="6" name="GS" queryTableFieldId="6"/>
    <tableColumn id="7" xr3:uid="{4D450694-07E0-984B-9FAA-13E264EDA13F}" uniqueName="7" name="MP" queryTableFieldId="7"/>
    <tableColumn id="8" xr3:uid="{7EFEF929-4D6A-124F-9E85-8135ECFF28B0}" uniqueName="8" name="FG" queryTableFieldId="8"/>
    <tableColumn id="9" xr3:uid="{B4553134-874A-DA41-99C7-027268A61B92}" uniqueName="9" name="FGA" queryTableFieldId="9"/>
    <tableColumn id="10" xr3:uid="{C680C613-2FC9-DE43-82E2-4027E73ECCD5}" uniqueName="10" name="FG%" queryTableFieldId="10"/>
    <tableColumn id="11" xr3:uid="{FDF0E9E2-F22F-EE4E-B151-C3B8403792D5}" uniqueName="11" name="3P" queryTableFieldId="11"/>
    <tableColumn id="12" xr3:uid="{6E6C612E-00AC-284B-A490-2683EB13FEE4}" uniqueName="12" name="3PA" queryTableFieldId="12"/>
    <tableColumn id="13" xr3:uid="{BB58F8C0-82B5-0444-B14A-6EC75877A6A9}" uniqueName="13" name="3P%" queryTableFieldId="13"/>
    <tableColumn id="14" xr3:uid="{9B5F5AEF-17DF-794E-B75B-6DEB4AE0B6F6}" uniqueName="14" name="FT" queryTableFieldId="14"/>
    <tableColumn id="15" xr3:uid="{030726C3-8AE8-F344-B43A-81894593B0B0}" uniqueName="15" name="FTA" queryTableFieldId="15"/>
    <tableColumn id="16" xr3:uid="{BCD37E4D-F753-EC48-ADE5-A489ACFCA447}" uniqueName="16" name="FT%" queryTableFieldId="16"/>
    <tableColumn id="17" xr3:uid="{6AD81F7D-B63D-9840-B898-A132BF7B1713}" uniqueName="17" name="ORB" queryTableFieldId="17"/>
    <tableColumn id="18" xr3:uid="{C93425B7-026C-3A42-A970-1DFE3DCAE53C}" uniqueName="18" name="DRB" queryTableFieldId="18"/>
    <tableColumn id="19" xr3:uid="{167C2395-E1CA-E242-ACCA-8E9D2C56A4DC}" uniqueName="19" name="TRB" queryTableFieldId="19"/>
    <tableColumn id="20" xr3:uid="{2B2146FD-71A5-A647-8FBF-12FB423F7CAA}" uniqueName="20" name="AST" queryTableFieldId="20"/>
    <tableColumn id="21" xr3:uid="{3A5B7EBB-1D47-CC41-922F-C5C9D9521D21}" uniqueName="21" name="STL" queryTableFieldId="21"/>
    <tableColumn id="22" xr3:uid="{6B74520B-B9D8-C646-BA49-7C72B9B56682}" uniqueName="22" name="BLK" queryTableFieldId="22"/>
    <tableColumn id="23" xr3:uid="{4FCD1723-6DAC-2C46-8A7C-98686D8107C2}" uniqueName="23" name="TOV" queryTableFieldId="23"/>
    <tableColumn id="24" xr3:uid="{0FFF4FC1-1FDC-704E-851E-BE63EC0C3BB2}" uniqueName="24" name="PF" queryTableFieldId="24"/>
    <tableColumn id="25" xr3:uid="{43AB15F8-9D4E-0A4A-91FB-A1E3546C2CA7}" uniqueName="25" name="PTS" queryTableField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58B58D-A07A-5C45-9457-C7F4CBC5EE88}" name="EPL_2026_Standings" displayName="EPL_2026_Standings" ref="A1:N22" tableType="queryTable" totalsRowCount="1">
  <autoFilter ref="A1:N21" xr:uid="{A658B58D-A07A-5C45-9457-C7F4CBC5EE88}"/>
  <tableColumns count="14">
    <tableColumn id="1" xr3:uid="{842317C0-15D6-7546-88B2-FDE5B2E9AEF2}" uniqueName="1" name="Team" queryTableFieldId="1" dataDxfId="41" totalsRowDxfId="5"/>
    <tableColumn id="2" xr3:uid="{57787DD5-DF40-0544-B06D-D07B1B26330D}" uniqueName="2" name="MP" queryTableFieldId="2"/>
    <tableColumn id="3" xr3:uid="{A4CE9885-6C48-F047-9112-AC5CD4CD51D3}" uniqueName="3" name="W" queryTableFieldId="3"/>
    <tableColumn id="4" xr3:uid="{B0441F4D-AB19-B14E-9DEE-445B7A908600}" uniqueName="4" name="D" queryTableFieldId="4"/>
    <tableColumn id="5" xr3:uid="{2CA3BBE3-7F09-E845-AEEE-36A69D26DF5F}" uniqueName="5" name="L" queryTableFieldId="5"/>
    <tableColumn id="6" xr3:uid="{C5DD2A31-D3AA-0E45-89BC-14F304E19B9A}" uniqueName="6" name="GF" queryTableFieldId="6"/>
    <tableColumn id="7" xr3:uid="{30A02007-BFB2-7D44-B59C-70C851F31A67}" uniqueName="7" name="GA" queryTableFieldId="7"/>
    <tableColumn id="8" xr3:uid="{F5B27C67-9842-2040-AAC7-F95A585EEBA0}" uniqueName="8" name="GD" queryTableFieldId="8"/>
    <tableColumn id="9" xr3:uid="{559604DC-FB1B-DE47-AF75-6DBA8D66AB06}" uniqueName="9" name="Pts" queryTableFieldId="9"/>
    <tableColumn id="10" xr3:uid="{839F0F47-CD98-6646-8D9B-C3BB8BBBE7D1}" uniqueName="10" name="Scoring Ratio" queryTableFieldId="10" dataDxfId="40" totalsRowDxfId="4">
      <calculatedColumnFormula>F2/G2</calculatedColumnFormula>
    </tableColumn>
    <tableColumn id="11" xr3:uid="{7CE3F129-0214-0F4D-B439-8DD06173F69B}" uniqueName="11" name="Pyth Win% - Method 1 (R method)" queryTableFieldId="11" dataDxfId="39" totalsRowDxfId="3">
      <calculatedColumnFormula>J2^2/(J2^2+1)</calculatedColumnFormula>
    </tableColumn>
    <tableColumn id="12" xr3:uid="{DC1C3CD6-4B96-D647-B862-89CC5C9B5EEA}" uniqueName="12" name="Pyth Win% - Method 2 (GF/GA method)" queryTableFieldId="12" dataDxfId="8" totalsRowDxfId="2">
      <calculatedColumnFormula>F2^2/(F2^2+G2^2)</calculatedColumnFormula>
    </tableColumn>
    <tableColumn id="13" xr3:uid="{1F999757-D894-3749-8E90-9D35E3526B69}" uniqueName="13" name="Actual Win (%)" totalsRowLabel="Total Error" queryTableFieldId="13" dataDxfId="7" totalsRowDxfId="1">
      <calculatedColumnFormula>C2/B2</calculatedColumnFormula>
    </tableColumn>
    <tableColumn id="14" xr3:uid="{43748601-27BB-1D43-8BC7-45D0E6A29F52}" uniqueName="14" name="Error" totalsRowFunction="custom" queryTableFieldId="14" dataDxfId="6" totalsRowDxfId="0">
      <calculatedColumnFormula>K2-M2</calculatedColumnFormula>
      <totalsRowFormula>SUM(N2:N21)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97C9-ECB6-DD4B-AF11-82A42CD0FDD6}">
  <dimension ref="A1:AX615"/>
  <sheetViews>
    <sheetView topLeftCell="H52" workbookViewId="0">
      <selection activeCell="AA72" sqref="AA72"/>
    </sheetView>
  </sheetViews>
  <sheetFormatPr baseColWidth="10" defaultRowHeight="16" x14ac:dyDescent="0.2"/>
  <cols>
    <col min="1" max="1" width="22.5" bestFit="1" customWidth="1"/>
    <col min="2" max="3" width="6.83203125" bestFit="1" customWidth="1"/>
    <col min="4" max="4" width="6.1640625" bestFit="1" customWidth="1"/>
    <col min="5" max="5" width="5" bestFit="1" customWidth="1"/>
    <col min="6" max="6" width="6" bestFit="1" customWidth="1"/>
    <col min="7" max="7" width="6.33203125" bestFit="1" customWidth="1"/>
    <col min="8" max="8" width="6" bestFit="1" customWidth="1"/>
    <col min="9" max="9" width="7.1640625" bestFit="1" customWidth="1"/>
    <col min="10" max="10" width="7.5" bestFit="1" customWidth="1"/>
    <col min="11" max="11" width="5.83203125" bestFit="1" customWidth="1"/>
    <col min="12" max="12" width="7" bestFit="1" customWidth="1"/>
    <col min="13" max="13" width="7.33203125" bestFit="1" customWidth="1"/>
    <col min="14" max="14" width="5.5" bestFit="1" customWidth="1"/>
    <col min="15" max="15" width="6.6640625" bestFit="1" customWidth="1"/>
    <col min="16" max="16" width="7" bestFit="1" customWidth="1"/>
    <col min="17" max="18" width="7.33203125" bestFit="1" customWidth="1"/>
    <col min="19" max="19" width="6.83203125" bestFit="1" customWidth="1"/>
    <col min="20" max="20" width="6.6640625" bestFit="1" customWidth="1"/>
    <col min="21" max="21" width="6.5" bestFit="1" customWidth="1"/>
    <col min="22" max="23" width="7" bestFit="1" customWidth="1"/>
    <col min="24" max="24" width="5.83203125" bestFit="1" customWidth="1"/>
    <col min="25" max="25" width="6.6640625" bestFit="1" customWidth="1"/>
    <col min="28" max="28" width="13.6640625" bestFit="1" customWidth="1"/>
    <col min="42" max="42" width="6" bestFit="1" customWidth="1"/>
    <col min="43" max="43" width="7.1640625" bestFit="1" customWidth="1"/>
    <col min="44" max="44" width="5.83203125" bestFit="1" customWidth="1"/>
    <col min="45" max="45" width="7" bestFit="1" customWidth="1"/>
    <col min="46" max="46" width="5.5" bestFit="1" customWidth="1"/>
    <col min="47" max="47" width="6.6640625" bestFit="1" customWidth="1"/>
    <col min="48" max="48" width="6.83203125" bestFit="1" customWidth="1"/>
    <col min="49" max="50" width="6.6640625" bestFit="1" customWidth="1"/>
  </cols>
  <sheetData>
    <row r="1" spans="1:5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565</v>
      </c>
      <c r="AD1">
        <f>CORREL(I2:I615,Y2:Y615)</f>
        <v>0.98259586898289564</v>
      </c>
      <c r="AP1" t="s">
        <v>7</v>
      </c>
      <c r="AQ1" t="s">
        <v>8</v>
      </c>
      <c r="AR1" t="s">
        <v>10</v>
      </c>
      <c r="AS1" t="s">
        <v>11</v>
      </c>
      <c r="AT1" t="s">
        <v>13</v>
      </c>
      <c r="AU1" t="s">
        <v>14</v>
      </c>
      <c r="AV1" t="s">
        <v>18</v>
      </c>
      <c r="AW1" t="s">
        <v>19</v>
      </c>
      <c r="AX1" t="s">
        <v>24</v>
      </c>
    </row>
    <row r="2" spans="1:50" x14ac:dyDescent="0.2">
      <c r="A2" s="1" t="s">
        <v>25</v>
      </c>
      <c r="B2" s="1" t="s">
        <v>26</v>
      </c>
      <c r="C2">
        <v>26</v>
      </c>
      <c r="D2" s="1" t="s">
        <v>27</v>
      </c>
      <c r="E2">
        <v>64</v>
      </c>
      <c r="F2">
        <v>64</v>
      </c>
      <c r="G2">
        <v>35.799999999999997</v>
      </c>
      <c r="H2">
        <v>10.8</v>
      </c>
      <c r="I2">
        <v>22.8</v>
      </c>
      <c r="J2">
        <v>0.47599999999999998</v>
      </c>
      <c r="K2">
        <v>4</v>
      </c>
      <c r="L2">
        <v>10.8</v>
      </c>
      <c r="M2">
        <v>0.36599999999999999</v>
      </c>
      <c r="N2">
        <v>7.9</v>
      </c>
      <c r="O2">
        <v>10.1</v>
      </c>
      <c r="P2">
        <v>0.78</v>
      </c>
      <c r="Q2">
        <v>0.6</v>
      </c>
      <c r="R2">
        <v>7.1</v>
      </c>
      <c r="S2">
        <v>7.7</v>
      </c>
      <c r="T2">
        <v>8.3000000000000007</v>
      </c>
      <c r="U2">
        <v>1.6</v>
      </c>
      <c r="V2">
        <v>0.5</v>
      </c>
      <c r="W2">
        <v>4</v>
      </c>
      <c r="X2">
        <v>2.4</v>
      </c>
      <c r="Y2">
        <v>33.5</v>
      </c>
      <c r="AP2">
        <v>10.8</v>
      </c>
      <c r="AQ2">
        <v>22.8</v>
      </c>
      <c r="AR2">
        <v>4</v>
      </c>
      <c r="AS2">
        <v>10.8</v>
      </c>
      <c r="AT2">
        <v>7.9</v>
      </c>
      <c r="AU2">
        <v>10.1</v>
      </c>
      <c r="AV2">
        <v>7.7</v>
      </c>
      <c r="AW2">
        <v>8.3000000000000007</v>
      </c>
      <c r="AX2">
        <v>33.5</v>
      </c>
    </row>
    <row r="3" spans="1:50" x14ac:dyDescent="0.2">
      <c r="A3" s="1" t="s">
        <v>28</v>
      </c>
      <c r="B3" s="1" t="s">
        <v>26</v>
      </c>
      <c r="C3">
        <v>27</v>
      </c>
      <c r="D3" s="1" t="s">
        <v>29</v>
      </c>
      <c r="E3">
        <v>68</v>
      </c>
      <c r="F3">
        <v>68</v>
      </c>
      <c r="G3">
        <v>33.200000000000003</v>
      </c>
      <c r="H3">
        <v>10.8</v>
      </c>
      <c r="I3">
        <v>19.399999999999999</v>
      </c>
      <c r="J3">
        <v>0.55300000000000005</v>
      </c>
      <c r="K3">
        <v>1.7</v>
      </c>
      <c r="L3">
        <v>4.4000000000000004</v>
      </c>
      <c r="M3">
        <v>0.38600000000000001</v>
      </c>
      <c r="N3">
        <v>7.9</v>
      </c>
      <c r="O3">
        <v>9</v>
      </c>
      <c r="P3">
        <v>0.879</v>
      </c>
      <c r="Q3">
        <v>0.6</v>
      </c>
      <c r="R3">
        <v>3.7</v>
      </c>
      <c r="S3">
        <v>4.3</v>
      </c>
      <c r="T3">
        <v>6.6</v>
      </c>
      <c r="U3">
        <v>1.4</v>
      </c>
      <c r="V3">
        <v>0.8</v>
      </c>
      <c r="W3">
        <v>2.2000000000000002</v>
      </c>
      <c r="X3">
        <v>2</v>
      </c>
      <c r="Y3">
        <v>31.1</v>
      </c>
      <c r="AP3">
        <v>10.8</v>
      </c>
      <c r="AQ3">
        <v>19.399999999999999</v>
      </c>
      <c r="AR3">
        <v>1.7</v>
      </c>
      <c r="AS3">
        <v>4.4000000000000004</v>
      </c>
      <c r="AT3">
        <v>7.9</v>
      </c>
      <c r="AU3">
        <v>9</v>
      </c>
      <c r="AV3">
        <v>4.3</v>
      </c>
      <c r="AW3">
        <v>6.6</v>
      </c>
      <c r="AX3">
        <v>31.1</v>
      </c>
    </row>
    <row r="4" spans="1:50" x14ac:dyDescent="0.2">
      <c r="A4" s="1" t="s">
        <v>30</v>
      </c>
      <c r="B4" s="1" t="s">
        <v>31</v>
      </c>
      <c r="C4">
        <v>24</v>
      </c>
      <c r="D4" s="1" t="s">
        <v>32</v>
      </c>
      <c r="E4">
        <v>61</v>
      </c>
      <c r="F4">
        <v>60</v>
      </c>
      <c r="G4">
        <v>35</v>
      </c>
      <c r="H4">
        <v>9.9</v>
      </c>
      <c r="I4">
        <v>20.2</v>
      </c>
      <c r="J4">
        <v>0.48899999999999999</v>
      </c>
      <c r="K4">
        <v>3.4</v>
      </c>
      <c r="L4">
        <v>8.4</v>
      </c>
      <c r="M4">
        <v>0.39900000000000002</v>
      </c>
      <c r="N4">
        <v>5.7</v>
      </c>
      <c r="O4">
        <v>7.2</v>
      </c>
      <c r="P4">
        <v>0.79600000000000004</v>
      </c>
      <c r="Q4">
        <v>0.6</v>
      </c>
      <c r="R4">
        <v>4.4000000000000004</v>
      </c>
      <c r="S4">
        <v>5</v>
      </c>
      <c r="T4">
        <v>3.7</v>
      </c>
      <c r="U4">
        <v>1.4</v>
      </c>
      <c r="V4">
        <v>0.8</v>
      </c>
      <c r="W4">
        <v>2.9</v>
      </c>
      <c r="X4">
        <v>1.9</v>
      </c>
      <c r="Y4">
        <v>28.8</v>
      </c>
      <c r="AP4">
        <v>9.9</v>
      </c>
      <c r="AQ4">
        <v>20.2</v>
      </c>
      <c r="AR4">
        <v>3.4</v>
      </c>
      <c r="AS4">
        <v>8.4</v>
      </c>
      <c r="AT4">
        <v>5.7</v>
      </c>
      <c r="AU4">
        <v>7.2</v>
      </c>
      <c r="AV4">
        <v>5</v>
      </c>
      <c r="AW4">
        <v>3.7</v>
      </c>
      <c r="AX4">
        <v>28.8</v>
      </c>
    </row>
    <row r="5" spans="1:50" x14ac:dyDescent="0.2">
      <c r="A5" s="1" t="s">
        <v>33</v>
      </c>
      <c r="B5" s="1" t="s">
        <v>34</v>
      </c>
      <c r="C5">
        <v>29</v>
      </c>
      <c r="D5" s="1" t="s">
        <v>35</v>
      </c>
      <c r="E5">
        <v>71</v>
      </c>
      <c r="F5">
        <v>71</v>
      </c>
      <c r="G5">
        <v>34.4</v>
      </c>
      <c r="H5">
        <v>10.4</v>
      </c>
      <c r="I5">
        <v>21.7</v>
      </c>
      <c r="J5">
        <v>0.47699999999999998</v>
      </c>
      <c r="K5">
        <v>2</v>
      </c>
      <c r="L5">
        <v>5.7</v>
      </c>
      <c r="M5">
        <v>0.34699999999999998</v>
      </c>
      <c r="N5">
        <v>6</v>
      </c>
      <c r="O5">
        <v>7.5</v>
      </c>
      <c r="P5">
        <v>0.79500000000000004</v>
      </c>
      <c r="Q5">
        <v>1.1000000000000001</v>
      </c>
      <c r="R5">
        <v>5.8</v>
      </c>
      <c r="S5">
        <v>6.9</v>
      </c>
      <c r="T5">
        <v>5.0999999999999996</v>
      </c>
      <c r="U5">
        <v>1</v>
      </c>
      <c r="V5">
        <v>0.4</v>
      </c>
      <c r="W5">
        <v>3.6</v>
      </c>
      <c r="X5">
        <v>2.7</v>
      </c>
      <c r="Y5">
        <v>28.7</v>
      </c>
      <c r="AP5">
        <v>10.4</v>
      </c>
      <c r="AQ5">
        <v>21.7</v>
      </c>
      <c r="AR5">
        <v>2</v>
      </c>
      <c r="AS5">
        <v>5.7</v>
      </c>
      <c r="AT5">
        <v>6</v>
      </c>
      <c r="AU5">
        <v>7.5</v>
      </c>
      <c r="AV5">
        <v>6.9</v>
      </c>
      <c r="AW5">
        <v>5.0999999999999996</v>
      </c>
      <c r="AX5">
        <v>28.7</v>
      </c>
    </row>
    <row r="6" spans="1:50" x14ac:dyDescent="0.2">
      <c r="A6" s="1" t="s">
        <v>36</v>
      </c>
      <c r="B6" s="1" t="s">
        <v>26</v>
      </c>
      <c r="C6">
        <v>25</v>
      </c>
      <c r="D6" s="1" t="s">
        <v>37</v>
      </c>
      <c r="E6">
        <v>69</v>
      </c>
      <c r="F6">
        <v>69</v>
      </c>
      <c r="G6">
        <v>38.200000000000003</v>
      </c>
      <c r="H6">
        <v>9.9</v>
      </c>
      <c r="I6">
        <v>21.6</v>
      </c>
      <c r="J6">
        <v>0.46100000000000002</v>
      </c>
      <c r="K6">
        <v>3.2</v>
      </c>
      <c r="L6">
        <v>8.6</v>
      </c>
      <c r="M6">
        <v>0.36699999999999999</v>
      </c>
      <c r="N6">
        <v>5.3</v>
      </c>
      <c r="O6">
        <v>6</v>
      </c>
      <c r="P6">
        <v>0.89100000000000001</v>
      </c>
      <c r="Q6">
        <v>0.3</v>
      </c>
      <c r="R6">
        <v>3.8</v>
      </c>
      <c r="S6">
        <v>4.2</v>
      </c>
      <c r="T6">
        <v>6.7</v>
      </c>
      <c r="U6">
        <v>1.9</v>
      </c>
      <c r="V6">
        <v>0.8</v>
      </c>
      <c r="W6">
        <v>2.4</v>
      </c>
      <c r="X6">
        <v>2.2000000000000002</v>
      </c>
      <c r="Y6">
        <v>28.4</v>
      </c>
      <c r="AP6">
        <v>9.9</v>
      </c>
      <c r="AQ6">
        <v>21.6</v>
      </c>
      <c r="AR6">
        <v>3.2</v>
      </c>
      <c r="AS6">
        <v>8.6</v>
      </c>
      <c r="AT6">
        <v>5.3</v>
      </c>
      <c r="AU6">
        <v>6</v>
      </c>
      <c r="AV6">
        <v>4.2</v>
      </c>
      <c r="AW6">
        <v>6.7</v>
      </c>
      <c r="AX6">
        <v>28.4</v>
      </c>
    </row>
    <row r="7" spans="1:50" x14ac:dyDescent="0.2">
      <c r="A7" s="1" t="s">
        <v>38</v>
      </c>
      <c r="B7" s="1" t="s">
        <v>34</v>
      </c>
      <c r="C7">
        <v>34</v>
      </c>
      <c r="D7" s="1" t="s">
        <v>39</v>
      </c>
      <c r="E7">
        <v>65</v>
      </c>
      <c r="F7">
        <v>65</v>
      </c>
      <c r="G7">
        <v>32.1</v>
      </c>
      <c r="H7">
        <v>9.8000000000000007</v>
      </c>
      <c r="I7">
        <v>19.399999999999999</v>
      </c>
      <c r="J7">
        <v>0.505</v>
      </c>
      <c r="K7">
        <v>2.6</v>
      </c>
      <c r="L7">
        <v>6.8</v>
      </c>
      <c r="M7">
        <v>0.38700000000000001</v>
      </c>
      <c r="N7">
        <v>5.7</v>
      </c>
      <c r="O7">
        <v>6.4</v>
      </c>
      <c r="P7">
        <v>0.89200000000000002</v>
      </c>
      <c r="Q7">
        <v>1.1000000000000001</v>
      </c>
      <c r="R7">
        <v>5.3</v>
      </c>
      <c r="S7">
        <v>6.4</v>
      </c>
      <c r="T7">
        <v>3.6</v>
      </c>
      <c r="U7">
        <v>1.9</v>
      </c>
      <c r="V7">
        <v>0.4</v>
      </c>
      <c r="W7">
        <v>2</v>
      </c>
      <c r="X7">
        <v>1.2</v>
      </c>
      <c r="Y7">
        <v>27.9</v>
      </c>
      <c r="AP7">
        <v>9.8000000000000007</v>
      </c>
      <c r="AQ7">
        <v>19.399999999999999</v>
      </c>
      <c r="AR7">
        <v>2.6</v>
      </c>
      <c r="AS7">
        <v>6.8</v>
      </c>
      <c r="AT7">
        <v>5.7</v>
      </c>
      <c r="AU7">
        <v>6.4</v>
      </c>
      <c r="AV7">
        <v>6.4</v>
      </c>
      <c r="AW7">
        <v>3.6</v>
      </c>
      <c r="AX7">
        <v>27.9</v>
      </c>
    </row>
    <row r="8" spans="1:50" x14ac:dyDescent="0.2">
      <c r="A8" s="1" t="s">
        <v>40</v>
      </c>
      <c r="B8" s="1" t="s">
        <v>31</v>
      </c>
      <c r="C8">
        <v>29</v>
      </c>
      <c r="D8" s="1" t="s">
        <v>41</v>
      </c>
      <c r="E8">
        <v>70</v>
      </c>
      <c r="F8">
        <v>70</v>
      </c>
      <c r="G8">
        <v>33.5</v>
      </c>
      <c r="H8">
        <v>9.6999999999999993</v>
      </c>
      <c r="I8">
        <v>20</v>
      </c>
      <c r="J8">
        <v>0.48299999999999998</v>
      </c>
      <c r="K8">
        <v>3.2</v>
      </c>
      <c r="L8">
        <v>8.8000000000000007</v>
      </c>
      <c r="M8">
        <v>0.36399999999999999</v>
      </c>
      <c r="N8">
        <v>5.3</v>
      </c>
      <c r="O8">
        <v>6.1</v>
      </c>
      <c r="P8">
        <v>0.86499999999999999</v>
      </c>
      <c r="Q8">
        <v>0.7</v>
      </c>
      <c r="R8">
        <v>3.8</v>
      </c>
      <c r="S8">
        <v>4.5</v>
      </c>
      <c r="T8">
        <v>5.7</v>
      </c>
      <c r="U8">
        <v>1.5</v>
      </c>
      <c r="V8">
        <v>0.3</v>
      </c>
      <c r="W8">
        <v>2.8</v>
      </c>
      <c r="X8">
        <v>2.2999999999999998</v>
      </c>
      <c r="Y8">
        <v>27.9</v>
      </c>
      <c r="AP8">
        <v>9.6999999999999993</v>
      </c>
      <c r="AQ8">
        <v>20</v>
      </c>
      <c r="AR8">
        <v>3.2</v>
      </c>
      <c r="AS8">
        <v>8.8000000000000007</v>
      </c>
      <c r="AT8">
        <v>5.3</v>
      </c>
      <c r="AU8">
        <v>6.1</v>
      </c>
      <c r="AV8">
        <v>4.5</v>
      </c>
      <c r="AW8">
        <v>5.7</v>
      </c>
      <c r="AX8">
        <v>27.9</v>
      </c>
    </row>
    <row r="9" spans="1:50" x14ac:dyDescent="0.2">
      <c r="A9" s="1" t="s">
        <v>42</v>
      </c>
      <c r="B9" s="1" t="s">
        <v>43</v>
      </c>
      <c r="C9">
        <v>30</v>
      </c>
      <c r="D9" s="1" t="s">
        <v>44</v>
      </c>
      <c r="E9">
        <v>64</v>
      </c>
      <c r="F9">
        <v>64</v>
      </c>
      <c r="G9">
        <v>35.1</v>
      </c>
      <c r="H9">
        <v>10</v>
      </c>
      <c r="I9">
        <v>17.5</v>
      </c>
      <c r="J9">
        <v>0.56899999999999995</v>
      </c>
      <c r="K9">
        <v>1.7</v>
      </c>
      <c r="L9">
        <v>4.5999999999999996</v>
      </c>
      <c r="M9">
        <v>0.379</v>
      </c>
      <c r="N9">
        <v>6.1</v>
      </c>
      <c r="O9">
        <v>7.4</v>
      </c>
      <c r="P9">
        <v>0.82799999999999996</v>
      </c>
      <c r="Q9">
        <v>2.9</v>
      </c>
      <c r="R9">
        <v>10</v>
      </c>
      <c r="S9">
        <v>12.9</v>
      </c>
      <c r="T9">
        <v>10.9</v>
      </c>
      <c r="U9">
        <v>1.4</v>
      </c>
      <c r="V9">
        <v>0.8</v>
      </c>
      <c r="W9">
        <v>3.8</v>
      </c>
      <c r="X9">
        <v>2.7</v>
      </c>
      <c r="Y9">
        <v>27.8</v>
      </c>
      <c r="AP9">
        <v>10</v>
      </c>
      <c r="AQ9">
        <v>17.5</v>
      </c>
      <c r="AR9">
        <v>1.7</v>
      </c>
      <c r="AS9">
        <v>4.5999999999999996</v>
      </c>
      <c r="AT9">
        <v>6.1</v>
      </c>
      <c r="AU9">
        <v>7.4</v>
      </c>
      <c r="AV9">
        <v>12.9</v>
      </c>
      <c r="AW9">
        <v>10.9</v>
      </c>
      <c r="AX9">
        <v>27.8</v>
      </c>
    </row>
    <row r="10" spans="1:50" x14ac:dyDescent="0.2">
      <c r="A10" s="1" t="s">
        <v>45</v>
      </c>
      <c r="B10" s="1" t="s">
        <v>23</v>
      </c>
      <c r="C10">
        <v>31</v>
      </c>
      <c r="D10" s="1" t="s">
        <v>46</v>
      </c>
      <c r="E10">
        <v>36</v>
      </c>
      <c r="F10">
        <v>36</v>
      </c>
      <c r="G10">
        <v>28.9</v>
      </c>
      <c r="H10">
        <v>10.4</v>
      </c>
      <c r="I10">
        <v>16.600000000000001</v>
      </c>
      <c r="J10">
        <v>0.624</v>
      </c>
      <c r="K10">
        <v>0.4</v>
      </c>
      <c r="L10">
        <v>1.3</v>
      </c>
      <c r="M10">
        <v>0.33300000000000002</v>
      </c>
      <c r="N10">
        <v>6.4</v>
      </c>
      <c r="O10">
        <v>9.9</v>
      </c>
      <c r="P10">
        <v>0.65</v>
      </c>
      <c r="Q10">
        <v>2.7</v>
      </c>
      <c r="R10">
        <v>7.1</v>
      </c>
      <c r="S10">
        <v>9.8000000000000007</v>
      </c>
      <c r="T10">
        <v>5.4</v>
      </c>
      <c r="U10">
        <v>0.9</v>
      </c>
      <c r="V10">
        <v>0.7</v>
      </c>
      <c r="W10">
        <v>3.2</v>
      </c>
      <c r="X10">
        <v>2.4</v>
      </c>
      <c r="Y10">
        <v>27.6</v>
      </c>
      <c r="AP10">
        <v>10.4</v>
      </c>
      <c r="AQ10">
        <v>16.600000000000001</v>
      </c>
      <c r="AR10">
        <v>0.4</v>
      </c>
      <c r="AS10">
        <v>1.3</v>
      </c>
      <c r="AT10">
        <v>6.4</v>
      </c>
      <c r="AU10">
        <v>9.9</v>
      </c>
      <c r="AV10">
        <v>9.8000000000000007</v>
      </c>
      <c r="AW10">
        <v>5.4</v>
      </c>
      <c r="AX10">
        <v>27.6</v>
      </c>
    </row>
    <row r="11" spans="1:50" x14ac:dyDescent="0.2">
      <c r="A11" s="1" t="s">
        <v>47</v>
      </c>
      <c r="B11" s="1" t="s">
        <v>43</v>
      </c>
      <c r="C11">
        <v>31</v>
      </c>
      <c r="D11" s="1" t="s">
        <v>37</v>
      </c>
      <c r="E11">
        <v>38</v>
      </c>
      <c r="F11">
        <v>38</v>
      </c>
      <c r="G11">
        <v>31.6</v>
      </c>
      <c r="H11">
        <v>9</v>
      </c>
      <c r="I11">
        <v>18.3</v>
      </c>
      <c r="J11">
        <v>0.48899999999999999</v>
      </c>
      <c r="K11">
        <v>1.4</v>
      </c>
      <c r="L11">
        <v>4.2</v>
      </c>
      <c r="M11">
        <v>0.33300000000000002</v>
      </c>
      <c r="N11">
        <v>7.5</v>
      </c>
      <c r="O11">
        <v>8.8000000000000007</v>
      </c>
      <c r="P11">
        <v>0.85399999999999998</v>
      </c>
      <c r="Q11">
        <v>2</v>
      </c>
      <c r="R11">
        <v>5.7</v>
      </c>
      <c r="S11">
        <v>7.7</v>
      </c>
      <c r="T11">
        <v>3.9</v>
      </c>
      <c r="U11">
        <v>0.6</v>
      </c>
      <c r="V11">
        <v>1.2</v>
      </c>
      <c r="W11">
        <v>2.9</v>
      </c>
      <c r="X11">
        <v>2.2000000000000002</v>
      </c>
      <c r="Y11">
        <v>26.9</v>
      </c>
      <c r="AP11">
        <v>9</v>
      </c>
      <c r="AQ11">
        <v>18.3</v>
      </c>
      <c r="AR11">
        <v>1.4</v>
      </c>
      <c r="AS11">
        <v>4.2</v>
      </c>
      <c r="AT11">
        <v>7.5</v>
      </c>
      <c r="AU11">
        <v>8.8000000000000007</v>
      </c>
      <c r="AV11">
        <v>7.7</v>
      </c>
      <c r="AW11">
        <v>3.9</v>
      </c>
      <c r="AX11">
        <v>26.9</v>
      </c>
    </row>
    <row r="12" spans="1:50" x14ac:dyDescent="0.2">
      <c r="A12" s="1" t="s">
        <v>48</v>
      </c>
      <c r="B12" s="1" t="s">
        <v>23</v>
      </c>
      <c r="C12">
        <v>28</v>
      </c>
      <c r="D12" s="1" t="s">
        <v>49</v>
      </c>
      <c r="E12">
        <v>42</v>
      </c>
      <c r="F12">
        <v>42</v>
      </c>
      <c r="G12">
        <v>34.4</v>
      </c>
      <c r="H12">
        <v>9.1</v>
      </c>
      <c r="I12">
        <v>19.2</v>
      </c>
      <c r="J12">
        <v>0.47699999999999998</v>
      </c>
      <c r="K12">
        <v>2.7</v>
      </c>
      <c r="L12">
        <v>7.7</v>
      </c>
      <c r="M12">
        <v>0.35499999999999998</v>
      </c>
      <c r="N12">
        <v>5.7</v>
      </c>
      <c r="O12">
        <v>6.4</v>
      </c>
      <c r="P12">
        <v>0.89600000000000002</v>
      </c>
      <c r="Q12">
        <v>2</v>
      </c>
      <c r="R12">
        <v>4.9000000000000004</v>
      </c>
      <c r="S12">
        <v>6.9</v>
      </c>
      <c r="T12">
        <v>2.1</v>
      </c>
      <c r="U12">
        <v>1</v>
      </c>
      <c r="V12">
        <v>0.5</v>
      </c>
      <c r="W12">
        <v>1.5</v>
      </c>
      <c r="X12">
        <v>1.8</v>
      </c>
      <c r="Y12">
        <v>26.7</v>
      </c>
      <c r="AP12">
        <v>9.1</v>
      </c>
      <c r="AQ12">
        <v>19.2</v>
      </c>
      <c r="AR12">
        <v>2.7</v>
      </c>
      <c r="AS12">
        <v>7.7</v>
      </c>
      <c r="AT12">
        <v>5.7</v>
      </c>
      <c r="AU12">
        <v>6.4</v>
      </c>
      <c r="AV12">
        <v>6.9</v>
      </c>
      <c r="AW12">
        <v>2.1</v>
      </c>
      <c r="AX12">
        <v>26.7</v>
      </c>
    </row>
    <row r="13" spans="1:50" x14ac:dyDescent="0.2">
      <c r="A13" s="1" t="s">
        <v>50</v>
      </c>
      <c r="B13" s="1" t="s">
        <v>26</v>
      </c>
      <c r="C13">
        <v>37</v>
      </c>
      <c r="D13" s="1" t="s">
        <v>51</v>
      </c>
      <c r="E13">
        <v>42</v>
      </c>
      <c r="F13">
        <v>40</v>
      </c>
      <c r="G13">
        <v>31</v>
      </c>
      <c r="H13">
        <v>8.6999999999999993</v>
      </c>
      <c r="I13">
        <v>18.7</v>
      </c>
      <c r="J13">
        <v>0.46800000000000003</v>
      </c>
      <c r="K13">
        <v>4.4000000000000004</v>
      </c>
      <c r="L13">
        <v>11.3</v>
      </c>
      <c r="M13">
        <v>0.39200000000000002</v>
      </c>
      <c r="N13">
        <v>4.7</v>
      </c>
      <c r="O13">
        <v>5.0999999999999996</v>
      </c>
      <c r="P13">
        <v>0.93</v>
      </c>
      <c r="Q13">
        <v>0.4</v>
      </c>
      <c r="R13">
        <v>3.1</v>
      </c>
      <c r="S13">
        <v>3.5</v>
      </c>
      <c r="T13">
        <v>4.8</v>
      </c>
      <c r="U13">
        <v>1.1000000000000001</v>
      </c>
      <c r="V13">
        <v>0.4</v>
      </c>
      <c r="W13">
        <v>2.8</v>
      </c>
      <c r="X13">
        <v>1.8</v>
      </c>
      <c r="Y13">
        <v>26.6</v>
      </c>
      <c r="AP13">
        <v>8.6999999999999993</v>
      </c>
      <c r="AQ13">
        <v>18.7</v>
      </c>
      <c r="AR13">
        <v>4.4000000000000004</v>
      </c>
      <c r="AS13">
        <v>11.3</v>
      </c>
      <c r="AT13">
        <v>4.7</v>
      </c>
      <c r="AU13">
        <v>5.0999999999999996</v>
      </c>
      <c r="AV13">
        <v>3.5</v>
      </c>
      <c r="AW13">
        <v>4.8</v>
      </c>
      <c r="AX13">
        <v>26.6</v>
      </c>
    </row>
    <row r="14" spans="1:50" x14ac:dyDescent="0.2">
      <c r="A14" s="1" t="s">
        <v>52</v>
      </c>
      <c r="B14" s="1" t="s">
        <v>31</v>
      </c>
      <c r="C14">
        <v>29</v>
      </c>
      <c r="D14" s="1" t="s">
        <v>53</v>
      </c>
      <c r="E14">
        <v>64</v>
      </c>
      <c r="F14">
        <v>64</v>
      </c>
      <c r="G14">
        <v>33.5</v>
      </c>
      <c r="H14">
        <v>8.5</v>
      </c>
      <c r="I14">
        <v>18.7</v>
      </c>
      <c r="J14">
        <v>0.45600000000000002</v>
      </c>
      <c r="K14">
        <v>1.9</v>
      </c>
      <c r="L14">
        <v>5.8</v>
      </c>
      <c r="M14">
        <v>0.33</v>
      </c>
      <c r="N14">
        <v>7.1</v>
      </c>
      <c r="O14">
        <v>8.1</v>
      </c>
      <c r="P14">
        <v>0.873</v>
      </c>
      <c r="Q14">
        <v>0.8</v>
      </c>
      <c r="R14">
        <v>3.1</v>
      </c>
      <c r="S14">
        <v>3.9</v>
      </c>
      <c r="T14">
        <v>6</v>
      </c>
      <c r="U14">
        <v>0.8</v>
      </c>
      <c r="V14">
        <v>0.3</v>
      </c>
      <c r="W14">
        <v>3.1</v>
      </c>
      <c r="X14">
        <v>2.6</v>
      </c>
      <c r="Y14">
        <v>26.1</v>
      </c>
      <c r="AP14">
        <v>8.5</v>
      </c>
      <c r="AQ14">
        <v>18.7</v>
      </c>
      <c r="AR14">
        <v>1.9</v>
      </c>
      <c r="AS14">
        <v>5.8</v>
      </c>
      <c r="AT14">
        <v>7.1</v>
      </c>
      <c r="AU14">
        <v>8.1</v>
      </c>
      <c r="AV14">
        <v>3.9</v>
      </c>
      <c r="AW14">
        <v>6</v>
      </c>
      <c r="AX14">
        <v>26.1</v>
      </c>
    </row>
    <row r="15" spans="1:50" x14ac:dyDescent="0.2">
      <c r="A15" s="1" t="s">
        <v>54</v>
      </c>
      <c r="B15" s="1" t="s">
        <v>26</v>
      </c>
      <c r="C15">
        <v>29</v>
      </c>
      <c r="D15" s="1" t="s">
        <v>55</v>
      </c>
      <c r="E15">
        <v>74</v>
      </c>
      <c r="F15">
        <v>74</v>
      </c>
      <c r="G15">
        <v>35</v>
      </c>
      <c r="H15">
        <v>9.3000000000000007</v>
      </c>
      <c r="I15">
        <v>19.899999999999999</v>
      </c>
      <c r="J15">
        <v>0.46700000000000003</v>
      </c>
      <c r="K15">
        <v>2.6</v>
      </c>
      <c r="L15">
        <v>7.1</v>
      </c>
      <c r="M15">
        <v>0.36899999999999999</v>
      </c>
      <c r="N15">
        <v>4.8</v>
      </c>
      <c r="O15">
        <v>5.7</v>
      </c>
      <c r="P15">
        <v>0.84099999999999997</v>
      </c>
      <c r="Q15">
        <v>0.4</v>
      </c>
      <c r="R15">
        <v>2.9</v>
      </c>
      <c r="S15">
        <v>3.3</v>
      </c>
      <c r="T15">
        <v>6.8</v>
      </c>
      <c r="U15">
        <v>0.8</v>
      </c>
      <c r="V15">
        <v>0.1</v>
      </c>
      <c r="W15">
        <v>2.4</v>
      </c>
      <c r="X15">
        <v>2.2999999999999998</v>
      </c>
      <c r="Y15">
        <v>26</v>
      </c>
      <c r="AP15">
        <v>9.3000000000000007</v>
      </c>
      <c r="AQ15">
        <v>19.899999999999999</v>
      </c>
      <c r="AR15">
        <v>2.6</v>
      </c>
      <c r="AS15">
        <v>7.1</v>
      </c>
      <c r="AT15">
        <v>4.8</v>
      </c>
      <c r="AU15">
        <v>5.7</v>
      </c>
      <c r="AV15">
        <v>3.3</v>
      </c>
      <c r="AW15">
        <v>6.8</v>
      </c>
      <c r="AX15">
        <v>26</v>
      </c>
    </row>
    <row r="16" spans="1:50" x14ac:dyDescent="0.2">
      <c r="A16" s="1" t="s">
        <v>56</v>
      </c>
      <c r="B16" s="1" t="s">
        <v>34</v>
      </c>
      <c r="C16">
        <v>37</v>
      </c>
      <c r="D16" s="1" t="s">
        <v>57</v>
      </c>
      <c r="E16">
        <v>78</v>
      </c>
      <c r="F16">
        <v>78</v>
      </c>
      <c r="G16">
        <v>36.4</v>
      </c>
      <c r="H16">
        <v>9.1999999999999993</v>
      </c>
      <c r="I16">
        <v>17.600000000000001</v>
      </c>
      <c r="J16">
        <v>0.52</v>
      </c>
      <c r="K16">
        <v>2.4</v>
      </c>
      <c r="L16">
        <v>5.8</v>
      </c>
      <c r="M16">
        <v>0.41299999999999998</v>
      </c>
      <c r="N16">
        <v>5.2</v>
      </c>
      <c r="O16">
        <v>6</v>
      </c>
      <c r="P16">
        <v>0.874</v>
      </c>
      <c r="Q16">
        <v>0.5</v>
      </c>
      <c r="R16">
        <v>4.9000000000000004</v>
      </c>
      <c r="S16">
        <v>5.5</v>
      </c>
      <c r="T16">
        <v>4.8</v>
      </c>
      <c r="U16">
        <v>0.8</v>
      </c>
      <c r="V16">
        <v>0.9</v>
      </c>
      <c r="W16">
        <v>3.2</v>
      </c>
      <c r="X16">
        <v>1.8</v>
      </c>
      <c r="Y16">
        <v>26</v>
      </c>
      <c r="AP16">
        <v>9.1999999999999993</v>
      </c>
      <c r="AQ16">
        <v>17.600000000000001</v>
      </c>
      <c r="AR16">
        <v>2.4</v>
      </c>
      <c r="AS16">
        <v>5.8</v>
      </c>
      <c r="AT16">
        <v>5.2</v>
      </c>
      <c r="AU16">
        <v>6</v>
      </c>
      <c r="AV16">
        <v>5.5</v>
      </c>
      <c r="AW16">
        <v>4.8</v>
      </c>
      <c r="AX16">
        <v>26</v>
      </c>
    </row>
    <row r="17" spans="1:50" x14ac:dyDescent="0.2">
      <c r="A17" s="1" t="s">
        <v>58</v>
      </c>
      <c r="B17" s="1" t="s">
        <v>26</v>
      </c>
      <c r="C17">
        <v>28</v>
      </c>
      <c r="D17" s="1" t="s">
        <v>44</v>
      </c>
      <c r="E17">
        <v>75</v>
      </c>
      <c r="F17">
        <v>75</v>
      </c>
      <c r="G17">
        <v>35.4</v>
      </c>
      <c r="H17">
        <v>8.8000000000000007</v>
      </c>
      <c r="I17">
        <v>18.100000000000001</v>
      </c>
      <c r="J17">
        <v>0.48299999999999998</v>
      </c>
      <c r="K17">
        <v>3.3</v>
      </c>
      <c r="L17">
        <v>7.5</v>
      </c>
      <c r="M17">
        <v>0.435</v>
      </c>
      <c r="N17">
        <v>4.5999999999999996</v>
      </c>
      <c r="O17">
        <v>5.2</v>
      </c>
      <c r="P17">
        <v>0.88700000000000001</v>
      </c>
      <c r="Q17">
        <v>0.4</v>
      </c>
      <c r="R17">
        <v>4</v>
      </c>
      <c r="S17">
        <v>4.4000000000000004</v>
      </c>
      <c r="T17">
        <v>7.1</v>
      </c>
      <c r="U17">
        <v>0.9</v>
      </c>
      <c r="V17">
        <v>0.4</v>
      </c>
      <c r="W17">
        <v>2.2999999999999998</v>
      </c>
      <c r="X17">
        <v>1.7</v>
      </c>
      <c r="Y17">
        <v>25.4</v>
      </c>
      <c r="AP17">
        <v>8.8000000000000007</v>
      </c>
      <c r="AQ17">
        <v>18.100000000000001</v>
      </c>
      <c r="AR17">
        <v>3.3</v>
      </c>
      <c r="AS17">
        <v>7.5</v>
      </c>
      <c r="AT17">
        <v>4.5999999999999996</v>
      </c>
      <c r="AU17">
        <v>5.2</v>
      </c>
      <c r="AV17">
        <v>4.4000000000000004</v>
      </c>
      <c r="AW17">
        <v>7.1</v>
      </c>
      <c r="AX17">
        <v>25.4</v>
      </c>
    </row>
    <row r="18" spans="1:50" x14ac:dyDescent="0.2">
      <c r="A18" s="1" t="s">
        <v>59</v>
      </c>
      <c r="B18" s="1" t="s">
        <v>43</v>
      </c>
      <c r="C18">
        <v>22</v>
      </c>
      <c r="D18" s="1" t="s">
        <v>60</v>
      </c>
      <c r="E18">
        <v>64</v>
      </c>
      <c r="F18">
        <v>55</v>
      </c>
      <c r="G18">
        <v>29.2</v>
      </c>
      <c r="H18">
        <v>8.6</v>
      </c>
      <c r="I18">
        <v>16.899999999999999</v>
      </c>
      <c r="J18">
        <v>0.51200000000000001</v>
      </c>
      <c r="K18">
        <v>1.9</v>
      </c>
      <c r="L18">
        <v>5.5</v>
      </c>
      <c r="M18">
        <v>0.34899999999999998</v>
      </c>
      <c r="N18">
        <v>5.8</v>
      </c>
      <c r="O18">
        <v>7</v>
      </c>
      <c r="P18">
        <v>0.82699999999999996</v>
      </c>
      <c r="Q18">
        <v>2</v>
      </c>
      <c r="R18">
        <v>9.5</v>
      </c>
      <c r="S18">
        <v>11.5</v>
      </c>
      <c r="T18">
        <v>3.1</v>
      </c>
      <c r="U18">
        <v>1</v>
      </c>
      <c r="V18">
        <v>3.1</v>
      </c>
      <c r="W18">
        <v>2.4</v>
      </c>
      <c r="X18">
        <v>2.4</v>
      </c>
      <c r="Y18">
        <v>25</v>
      </c>
      <c r="AP18">
        <v>8.6</v>
      </c>
      <c r="AQ18">
        <v>16.899999999999999</v>
      </c>
      <c r="AR18">
        <v>1.9</v>
      </c>
      <c r="AS18">
        <v>5.5</v>
      </c>
      <c r="AT18">
        <v>5.8</v>
      </c>
      <c r="AU18">
        <v>7</v>
      </c>
      <c r="AV18">
        <v>11.5</v>
      </c>
      <c r="AW18">
        <v>3.1</v>
      </c>
      <c r="AX18">
        <v>25</v>
      </c>
    </row>
    <row r="19" spans="1:50" x14ac:dyDescent="0.2">
      <c r="A19" s="1" t="s">
        <v>61</v>
      </c>
      <c r="B19" s="1" t="s">
        <v>34</v>
      </c>
      <c r="C19">
        <v>25</v>
      </c>
      <c r="D19" s="1" t="s">
        <v>62</v>
      </c>
      <c r="E19">
        <v>65</v>
      </c>
      <c r="F19">
        <v>65</v>
      </c>
      <c r="G19">
        <v>33.299999999999997</v>
      </c>
      <c r="H19">
        <v>7.4</v>
      </c>
      <c r="I19">
        <v>16.100000000000001</v>
      </c>
      <c r="J19">
        <v>0.46200000000000002</v>
      </c>
      <c r="K19">
        <v>1.8</v>
      </c>
      <c r="L19">
        <v>5.9</v>
      </c>
      <c r="M19">
        <v>0.313</v>
      </c>
      <c r="N19">
        <v>7.5</v>
      </c>
      <c r="O19">
        <v>9.3000000000000007</v>
      </c>
      <c r="P19">
        <v>0.80200000000000005</v>
      </c>
      <c r="Q19">
        <v>1.1000000000000001</v>
      </c>
      <c r="R19">
        <v>5.8</v>
      </c>
      <c r="S19">
        <v>6.9</v>
      </c>
      <c r="T19">
        <v>6.6</v>
      </c>
      <c r="U19">
        <v>0.8</v>
      </c>
      <c r="V19">
        <v>0.6</v>
      </c>
      <c r="W19">
        <v>3.8</v>
      </c>
      <c r="X19">
        <v>2.6</v>
      </c>
      <c r="Y19">
        <v>24.2</v>
      </c>
      <c r="AP19">
        <v>7.4</v>
      </c>
      <c r="AQ19">
        <v>16.100000000000001</v>
      </c>
      <c r="AR19">
        <v>1.8</v>
      </c>
      <c r="AS19">
        <v>5.9</v>
      </c>
      <c r="AT19">
        <v>7.5</v>
      </c>
      <c r="AU19">
        <v>9.3000000000000007</v>
      </c>
      <c r="AV19">
        <v>6.9</v>
      </c>
      <c r="AW19">
        <v>6.6</v>
      </c>
      <c r="AX19">
        <v>24.2</v>
      </c>
    </row>
    <row r="20" spans="1:50" x14ac:dyDescent="0.2">
      <c r="A20" s="1" t="s">
        <v>63</v>
      </c>
      <c r="B20" s="1" t="s">
        <v>26</v>
      </c>
      <c r="C20">
        <v>24</v>
      </c>
      <c r="D20" s="1" t="s">
        <v>64</v>
      </c>
      <c r="E20">
        <v>63</v>
      </c>
      <c r="F20">
        <v>63</v>
      </c>
      <c r="G20">
        <v>34.1</v>
      </c>
      <c r="H20">
        <v>8.6999999999999993</v>
      </c>
      <c r="I20">
        <v>18.7</v>
      </c>
      <c r="J20">
        <v>0.46300000000000002</v>
      </c>
      <c r="K20">
        <v>2</v>
      </c>
      <c r="L20">
        <v>5.7</v>
      </c>
      <c r="M20">
        <v>0.34399999999999997</v>
      </c>
      <c r="N20">
        <v>4.9000000000000004</v>
      </c>
      <c r="O20">
        <v>6.1</v>
      </c>
      <c r="P20">
        <v>0.81200000000000006</v>
      </c>
      <c r="Q20">
        <v>0.9</v>
      </c>
      <c r="R20">
        <v>4.5999999999999996</v>
      </c>
      <c r="S20">
        <v>5.5</v>
      </c>
      <c r="T20">
        <v>9.8000000000000007</v>
      </c>
      <c r="U20">
        <v>1.5</v>
      </c>
      <c r="V20">
        <v>0.9</v>
      </c>
      <c r="W20">
        <v>3.7</v>
      </c>
      <c r="X20">
        <v>3.1</v>
      </c>
      <c r="Y20">
        <v>24.2</v>
      </c>
      <c r="AP20">
        <v>8.6999999999999993</v>
      </c>
      <c r="AQ20">
        <v>18.7</v>
      </c>
      <c r="AR20">
        <v>2</v>
      </c>
      <c r="AS20">
        <v>5.7</v>
      </c>
      <c r="AT20">
        <v>4.9000000000000004</v>
      </c>
      <c r="AU20">
        <v>6.1</v>
      </c>
      <c r="AV20">
        <v>5.5</v>
      </c>
      <c r="AW20">
        <v>9.8000000000000007</v>
      </c>
      <c r="AX20">
        <v>24.2</v>
      </c>
    </row>
    <row r="21" spans="1:50" x14ac:dyDescent="0.2">
      <c r="A21" s="1" t="s">
        <v>65</v>
      </c>
      <c r="B21" s="1" t="s">
        <v>34</v>
      </c>
      <c r="C21">
        <v>27</v>
      </c>
      <c r="D21" s="1" t="s">
        <v>66</v>
      </c>
      <c r="E21">
        <v>52</v>
      </c>
      <c r="F21">
        <v>52</v>
      </c>
      <c r="G21">
        <v>32.5</v>
      </c>
      <c r="H21">
        <v>8.5</v>
      </c>
      <c r="I21">
        <v>18.399999999999999</v>
      </c>
      <c r="J21">
        <v>0.46300000000000002</v>
      </c>
      <c r="K21">
        <v>3.4</v>
      </c>
      <c r="L21">
        <v>9.3000000000000007</v>
      </c>
      <c r="M21">
        <v>0.36299999999999999</v>
      </c>
      <c r="N21">
        <v>3.8</v>
      </c>
      <c r="O21">
        <v>4.4000000000000004</v>
      </c>
      <c r="P21">
        <v>0.85899999999999999</v>
      </c>
      <c r="Q21">
        <v>1.3</v>
      </c>
      <c r="R21">
        <v>5.7</v>
      </c>
      <c r="S21">
        <v>7.1</v>
      </c>
      <c r="T21">
        <v>3</v>
      </c>
      <c r="U21">
        <v>1.1000000000000001</v>
      </c>
      <c r="V21">
        <v>0.3</v>
      </c>
      <c r="W21">
        <v>2.2999999999999998</v>
      </c>
      <c r="X21">
        <v>2.2000000000000002</v>
      </c>
      <c r="Y21">
        <v>24.2</v>
      </c>
      <c r="AP21">
        <v>8.5</v>
      </c>
      <c r="AQ21">
        <v>18.399999999999999</v>
      </c>
      <c r="AR21">
        <v>3.4</v>
      </c>
      <c r="AS21">
        <v>9.3000000000000007</v>
      </c>
      <c r="AT21">
        <v>3.8</v>
      </c>
      <c r="AU21">
        <v>4.4000000000000004</v>
      </c>
      <c r="AV21">
        <v>7.1</v>
      </c>
      <c r="AW21">
        <v>3</v>
      </c>
      <c r="AX21">
        <v>24.2</v>
      </c>
    </row>
    <row r="22" spans="1:50" x14ac:dyDescent="0.2">
      <c r="A22" s="1" t="s">
        <v>67</v>
      </c>
      <c r="B22" s="1" t="s">
        <v>23</v>
      </c>
      <c r="C22">
        <v>31</v>
      </c>
      <c r="D22" s="1" t="s">
        <v>68</v>
      </c>
      <c r="E22">
        <v>62</v>
      </c>
      <c r="F22">
        <v>62</v>
      </c>
      <c r="G22">
        <v>33.200000000000003</v>
      </c>
      <c r="H22">
        <v>9</v>
      </c>
      <c r="I22">
        <v>18.600000000000001</v>
      </c>
      <c r="J22">
        <v>0.48399999999999999</v>
      </c>
      <c r="K22">
        <v>1.7</v>
      </c>
      <c r="L22">
        <v>4.7</v>
      </c>
      <c r="M22">
        <v>0.35799999999999998</v>
      </c>
      <c r="N22">
        <v>4.2</v>
      </c>
      <c r="O22">
        <v>6.1</v>
      </c>
      <c r="P22">
        <v>0.69299999999999995</v>
      </c>
      <c r="Q22">
        <v>1.4</v>
      </c>
      <c r="R22">
        <v>5.2</v>
      </c>
      <c r="S22">
        <v>6.6</v>
      </c>
      <c r="T22">
        <v>3.8</v>
      </c>
      <c r="U22">
        <v>1.1000000000000001</v>
      </c>
      <c r="V22">
        <v>0.4</v>
      </c>
      <c r="W22">
        <v>2.2000000000000002</v>
      </c>
      <c r="X22">
        <v>2.4</v>
      </c>
      <c r="Y22">
        <v>24</v>
      </c>
      <c r="AP22">
        <v>9</v>
      </c>
      <c r="AQ22">
        <v>18.600000000000001</v>
      </c>
      <c r="AR22">
        <v>1.7</v>
      </c>
      <c r="AS22">
        <v>4.7</v>
      </c>
      <c r="AT22">
        <v>4.2</v>
      </c>
      <c r="AU22">
        <v>6.1</v>
      </c>
      <c r="AV22">
        <v>6.6</v>
      </c>
      <c r="AW22">
        <v>3.8</v>
      </c>
      <c r="AX22">
        <v>24</v>
      </c>
    </row>
    <row r="23" spans="1:50" x14ac:dyDescent="0.2">
      <c r="A23" s="1" t="s">
        <v>69</v>
      </c>
      <c r="B23" s="1" t="s">
        <v>26</v>
      </c>
      <c r="C23">
        <v>36</v>
      </c>
      <c r="D23" s="1" t="s">
        <v>70</v>
      </c>
      <c r="E23">
        <v>70</v>
      </c>
      <c r="F23">
        <v>70</v>
      </c>
      <c r="G23">
        <v>34.799999999999997</v>
      </c>
      <c r="H23">
        <v>7</v>
      </c>
      <c r="I23">
        <v>16</v>
      </c>
      <c r="J23">
        <v>0.434</v>
      </c>
      <c r="K23">
        <v>3.1</v>
      </c>
      <c r="L23">
        <v>8.1999999999999993</v>
      </c>
      <c r="M23">
        <v>0.375</v>
      </c>
      <c r="N23">
        <v>6.6</v>
      </c>
      <c r="O23">
        <v>7.5</v>
      </c>
      <c r="P23">
        <v>0.88400000000000001</v>
      </c>
      <c r="Q23">
        <v>0.6</v>
      </c>
      <c r="R23">
        <v>4.2</v>
      </c>
      <c r="S23">
        <v>4.8</v>
      </c>
      <c r="T23">
        <v>8</v>
      </c>
      <c r="U23">
        <v>1.1000000000000001</v>
      </c>
      <c r="V23">
        <v>0.4</v>
      </c>
      <c r="W23">
        <v>3.5</v>
      </c>
      <c r="X23">
        <v>2</v>
      </c>
      <c r="Y23">
        <v>23.6</v>
      </c>
      <c r="AP23">
        <v>7</v>
      </c>
      <c r="AQ23">
        <v>16</v>
      </c>
      <c r="AR23">
        <v>3.1</v>
      </c>
      <c r="AS23">
        <v>8.1999999999999993</v>
      </c>
      <c r="AT23">
        <v>6.6</v>
      </c>
      <c r="AU23">
        <v>7.5</v>
      </c>
      <c r="AV23">
        <v>4.8</v>
      </c>
      <c r="AW23">
        <v>8</v>
      </c>
      <c r="AX23">
        <v>23.6</v>
      </c>
    </row>
    <row r="24" spans="1:50" x14ac:dyDescent="0.2">
      <c r="A24" s="1" t="s">
        <v>69</v>
      </c>
      <c r="B24" s="1" t="s">
        <v>26</v>
      </c>
      <c r="C24">
        <v>36</v>
      </c>
      <c r="D24" s="1" t="s">
        <v>39</v>
      </c>
      <c r="E24">
        <v>44</v>
      </c>
      <c r="F24">
        <v>44</v>
      </c>
      <c r="G24">
        <v>35.4</v>
      </c>
      <c r="H24">
        <v>7.3</v>
      </c>
      <c r="I24">
        <v>17.5</v>
      </c>
      <c r="J24">
        <v>0.41899999999999998</v>
      </c>
      <c r="K24">
        <v>3.1</v>
      </c>
      <c r="L24">
        <v>8.8000000000000007</v>
      </c>
      <c r="M24">
        <v>0.34699999999999998</v>
      </c>
      <c r="N24">
        <v>7.7</v>
      </c>
      <c r="O24">
        <v>8.5</v>
      </c>
      <c r="P24">
        <v>0.90100000000000002</v>
      </c>
      <c r="Q24">
        <v>0.6</v>
      </c>
      <c r="R24">
        <v>4.2</v>
      </c>
      <c r="S24">
        <v>4.8</v>
      </c>
      <c r="T24">
        <v>8.1</v>
      </c>
      <c r="U24">
        <v>1.3</v>
      </c>
      <c r="V24">
        <v>0.4</v>
      </c>
      <c r="W24">
        <v>3.7</v>
      </c>
      <c r="X24">
        <v>1.9</v>
      </c>
      <c r="Y24">
        <v>25.4</v>
      </c>
      <c r="AP24">
        <v>7.3</v>
      </c>
      <c r="AQ24">
        <v>17.5</v>
      </c>
      <c r="AR24">
        <v>3.1</v>
      </c>
      <c r="AS24">
        <v>8.8000000000000007</v>
      </c>
      <c r="AT24">
        <v>7.7</v>
      </c>
      <c r="AU24">
        <v>8.5</v>
      </c>
      <c r="AV24">
        <v>4.8</v>
      </c>
      <c r="AW24">
        <v>8.1</v>
      </c>
      <c r="AX24">
        <v>25.4</v>
      </c>
    </row>
    <row r="25" spans="1:50" x14ac:dyDescent="0.2">
      <c r="A25" s="1" t="s">
        <v>69</v>
      </c>
      <c r="B25" s="1" t="s">
        <v>26</v>
      </c>
      <c r="C25">
        <v>36</v>
      </c>
      <c r="D25" s="1" t="s">
        <v>41</v>
      </c>
      <c r="E25">
        <v>26</v>
      </c>
      <c r="F25">
        <v>26</v>
      </c>
      <c r="G25">
        <v>33.799999999999997</v>
      </c>
      <c r="H25">
        <v>6.3</v>
      </c>
      <c r="I25">
        <v>13.5</v>
      </c>
      <c r="J25">
        <v>0.46600000000000003</v>
      </c>
      <c r="K25">
        <v>3.1</v>
      </c>
      <c r="L25">
        <v>7.1</v>
      </c>
      <c r="M25">
        <v>0.435</v>
      </c>
      <c r="N25">
        <v>4.8</v>
      </c>
      <c r="O25">
        <v>5.8</v>
      </c>
      <c r="P25">
        <v>0.84</v>
      </c>
      <c r="Q25">
        <v>0.5</v>
      </c>
      <c r="R25">
        <v>4.3</v>
      </c>
      <c r="S25">
        <v>4.8</v>
      </c>
      <c r="T25">
        <v>7.7</v>
      </c>
      <c r="U25">
        <v>0.8</v>
      </c>
      <c r="V25">
        <v>0.5</v>
      </c>
      <c r="W25">
        <v>3.2</v>
      </c>
      <c r="X25">
        <v>2.1</v>
      </c>
      <c r="Y25">
        <v>20.5</v>
      </c>
      <c r="AP25">
        <v>6.3</v>
      </c>
      <c r="AQ25">
        <v>13.5</v>
      </c>
      <c r="AR25">
        <v>3.1</v>
      </c>
      <c r="AS25">
        <v>7.1</v>
      </c>
      <c r="AT25">
        <v>4.8</v>
      </c>
      <c r="AU25">
        <v>5.8</v>
      </c>
      <c r="AV25">
        <v>4.8</v>
      </c>
      <c r="AW25">
        <v>7.7</v>
      </c>
      <c r="AX25">
        <v>20.5</v>
      </c>
    </row>
    <row r="26" spans="1:50" x14ac:dyDescent="0.2">
      <c r="A26" s="1" t="s">
        <v>71</v>
      </c>
      <c r="B26" s="1" t="s">
        <v>26</v>
      </c>
      <c r="C26">
        <v>22</v>
      </c>
      <c r="D26" s="1" t="s">
        <v>49</v>
      </c>
      <c r="E26">
        <v>54</v>
      </c>
      <c r="F26">
        <v>54</v>
      </c>
      <c r="G26">
        <v>33.1</v>
      </c>
      <c r="H26">
        <v>7.4</v>
      </c>
      <c r="I26">
        <v>16.3</v>
      </c>
      <c r="J26">
        <v>0.45600000000000002</v>
      </c>
      <c r="K26">
        <v>2.5</v>
      </c>
      <c r="L26">
        <v>6.7</v>
      </c>
      <c r="M26">
        <v>0.371</v>
      </c>
      <c r="N26">
        <v>6.2</v>
      </c>
      <c r="O26">
        <v>7</v>
      </c>
      <c r="P26">
        <v>0.89200000000000002</v>
      </c>
      <c r="Q26">
        <v>0.4</v>
      </c>
      <c r="R26">
        <v>3.3</v>
      </c>
      <c r="S26">
        <v>3.7</v>
      </c>
      <c r="T26">
        <v>6.1</v>
      </c>
      <c r="U26">
        <v>1.1000000000000001</v>
      </c>
      <c r="V26">
        <v>0.3</v>
      </c>
      <c r="W26">
        <v>3.1</v>
      </c>
      <c r="X26">
        <v>2.2000000000000002</v>
      </c>
      <c r="Y26">
        <v>23.6</v>
      </c>
      <c r="AP26">
        <v>7.4</v>
      </c>
      <c r="AQ26">
        <v>16.3</v>
      </c>
      <c r="AR26">
        <v>2.5</v>
      </c>
      <c r="AS26">
        <v>6.7</v>
      </c>
      <c r="AT26">
        <v>6.2</v>
      </c>
      <c r="AU26">
        <v>7</v>
      </c>
      <c r="AV26">
        <v>3.7</v>
      </c>
      <c r="AW26">
        <v>6.1</v>
      </c>
      <c r="AX26">
        <v>23.6</v>
      </c>
    </row>
    <row r="27" spans="1:50" x14ac:dyDescent="0.2">
      <c r="A27" s="1" t="s">
        <v>72</v>
      </c>
      <c r="B27" s="1" t="s">
        <v>31</v>
      </c>
      <c r="C27">
        <v>27</v>
      </c>
      <c r="D27" s="1" t="s">
        <v>27</v>
      </c>
      <c r="E27">
        <v>51</v>
      </c>
      <c r="F27">
        <v>45</v>
      </c>
      <c r="G27">
        <v>34.5</v>
      </c>
      <c r="H27">
        <v>7.3</v>
      </c>
      <c r="I27">
        <v>14.9</v>
      </c>
      <c r="J27">
        <v>0.49</v>
      </c>
      <c r="K27">
        <v>2.2999999999999998</v>
      </c>
      <c r="L27">
        <v>6.4</v>
      </c>
      <c r="M27">
        <v>0.36</v>
      </c>
      <c r="N27">
        <v>6.3</v>
      </c>
      <c r="O27">
        <v>7.3</v>
      </c>
      <c r="P27">
        <v>0.871</v>
      </c>
      <c r="Q27">
        <v>0.6</v>
      </c>
      <c r="R27">
        <v>4.0999999999999996</v>
      </c>
      <c r="S27">
        <v>4.7</v>
      </c>
      <c r="T27">
        <v>5.5</v>
      </c>
      <c r="U27">
        <v>1.1000000000000001</v>
      </c>
      <c r="V27">
        <v>0.4</v>
      </c>
      <c r="W27">
        <v>3</v>
      </c>
      <c r="X27">
        <v>2.2000000000000002</v>
      </c>
      <c r="Y27">
        <v>23.3</v>
      </c>
      <c r="AP27">
        <v>7.3</v>
      </c>
      <c r="AQ27">
        <v>14.9</v>
      </c>
      <c r="AR27">
        <v>2.2999999999999998</v>
      </c>
      <c r="AS27">
        <v>6.4</v>
      </c>
      <c r="AT27">
        <v>6.3</v>
      </c>
      <c r="AU27">
        <v>7.3</v>
      </c>
      <c r="AV27">
        <v>4.7</v>
      </c>
      <c r="AW27">
        <v>5.5</v>
      </c>
      <c r="AX27">
        <v>23.3</v>
      </c>
    </row>
    <row r="28" spans="1:50" x14ac:dyDescent="0.2">
      <c r="A28" s="1" t="s">
        <v>73</v>
      </c>
      <c r="B28" s="1" t="s">
        <v>34</v>
      </c>
      <c r="C28">
        <v>24</v>
      </c>
      <c r="D28" s="1" t="s">
        <v>74</v>
      </c>
      <c r="E28">
        <v>72</v>
      </c>
      <c r="F28">
        <v>72</v>
      </c>
      <c r="G28">
        <v>35.200000000000003</v>
      </c>
      <c r="H28">
        <v>8.3000000000000007</v>
      </c>
      <c r="I28">
        <v>17.100000000000001</v>
      </c>
      <c r="J28">
        <v>0.48899999999999999</v>
      </c>
      <c r="K28">
        <v>1.7</v>
      </c>
      <c r="L28">
        <v>4.7</v>
      </c>
      <c r="M28">
        <v>0.35199999999999998</v>
      </c>
      <c r="N28">
        <v>4.2</v>
      </c>
      <c r="O28">
        <v>5.3</v>
      </c>
      <c r="P28">
        <v>0.78800000000000003</v>
      </c>
      <c r="Q28">
        <v>1.4</v>
      </c>
      <c r="R28">
        <v>8.9</v>
      </c>
      <c r="S28">
        <v>10.3</v>
      </c>
      <c r="T28">
        <v>7.9</v>
      </c>
      <c r="U28">
        <v>1.2</v>
      </c>
      <c r="V28">
        <v>0.4</v>
      </c>
      <c r="W28">
        <v>3.4</v>
      </c>
      <c r="X28">
        <v>2.1</v>
      </c>
      <c r="Y28">
        <v>22.5</v>
      </c>
      <c r="AP28">
        <v>8.3000000000000007</v>
      </c>
      <c r="AQ28">
        <v>17.100000000000001</v>
      </c>
      <c r="AR28">
        <v>1.7</v>
      </c>
      <c r="AS28">
        <v>4.7</v>
      </c>
      <c r="AT28">
        <v>4.2</v>
      </c>
      <c r="AU28">
        <v>5.3</v>
      </c>
      <c r="AV28">
        <v>10.3</v>
      </c>
      <c r="AW28">
        <v>7.9</v>
      </c>
      <c r="AX28">
        <v>22.5</v>
      </c>
    </row>
    <row r="29" spans="1:50" x14ac:dyDescent="0.2">
      <c r="A29" s="1" t="s">
        <v>75</v>
      </c>
      <c r="B29" s="1" t="s">
        <v>23</v>
      </c>
      <c r="C29">
        <v>23</v>
      </c>
      <c r="D29" s="1" t="s">
        <v>76</v>
      </c>
      <c r="E29">
        <v>71</v>
      </c>
      <c r="F29">
        <v>71</v>
      </c>
      <c r="G29">
        <v>34.700000000000003</v>
      </c>
      <c r="H29">
        <v>7.4</v>
      </c>
      <c r="I29">
        <v>15.9</v>
      </c>
      <c r="J29">
        <v>0.46200000000000002</v>
      </c>
      <c r="K29">
        <v>1.2</v>
      </c>
      <c r="L29">
        <v>3.8</v>
      </c>
      <c r="M29">
        <v>0.311</v>
      </c>
      <c r="N29">
        <v>6.3</v>
      </c>
      <c r="O29">
        <v>8.1999999999999993</v>
      </c>
      <c r="P29">
        <v>0.77400000000000002</v>
      </c>
      <c r="Q29">
        <v>1.1000000000000001</v>
      </c>
      <c r="R29">
        <v>7.2</v>
      </c>
      <c r="S29">
        <v>8.4</v>
      </c>
      <c r="T29">
        <v>5.0999999999999996</v>
      </c>
      <c r="U29">
        <v>0.7</v>
      </c>
      <c r="V29">
        <v>0.6</v>
      </c>
      <c r="W29">
        <v>3</v>
      </c>
      <c r="X29">
        <v>2</v>
      </c>
      <c r="Y29">
        <v>22.2</v>
      </c>
      <c r="AP29">
        <v>7.4</v>
      </c>
      <c r="AQ29">
        <v>15.9</v>
      </c>
      <c r="AR29">
        <v>1.2</v>
      </c>
      <c r="AS29">
        <v>3.8</v>
      </c>
      <c r="AT29">
        <v>6.3</v>
      </c>
      <c r="AU29">
        <v>8.1999999999999993</v>
      </c>
      <c r="AV29">
        <v>8.4</v>
      </c>
      <c r="AW29">
        <v>5.0999999999999996</v>
      </c>
      <c r="AX29">
        <v>22.2</v>
      </c>
    </row>
    <row r="30" spans="1:50" x14ac:dyDescent="0.2">
      <c r="A30" s="1" t="s">
        <v>77</v>
      </c>
      <c r="B30" s="1" t="s">
        <v>23</v>
      </c>
      <c r="C30">
        <v>27</v>
      </c>
      <c r="D30" s="1" t="s">
        <v>35</v>
      </c>
      <c r="E30">
        <v>16</v>
      </c>
      <c r="F30">
        <v>16</v>
      </c>
      <c r="G30">
        <v>32.6</v>
      </c>
      <c r="H30">
        <v>7.4</v>
      </c>
      <c r="I30">
        <v>17.899999999999999</v>
      </c>
      <c r="J30">
        <v>0.41099999999999998</v>
      </c>
      <c r="K30">
        <v>2.9</v>
      </c>
      <c r="L30">
        <v>8.9</v>
      </c>
      <c r="M30">
        <v>0.32900000000000001</v>
      </c>
      <c r="N30">
        <v>4.0999999999999996</v>
      </c>
      <c r="O30">
        <v>4.9000000000000004</v>
      </c>
      <c r="P30">
        <v>0.82299999999999995</v>
      </c>
      <c r="Q30">
        <v>0.5</v>
      </c>
      <c r="R30">
        <v>9.5</v>
      </c>
      <c r="S30">
        <v>10</v>
      </c>
      <c r="T30">
        <v>5.3</v>
      </c>
      <c r="U30">
        <v>1.4</v>
      </c>
      <c r="V30">
        <v>0.2</v>
      </c>
      <c r="W30">
        <v>2.4</v>
      </c>
      <c r="X30">
        <v>1.6</v>
      </c>
      <c r="Y30">
        <v>21.8</v>
      </c>
      <c r="AP30">
        <v>7.4</v>
      </c>
      <c r="AQ30">
        <v>17.899999999999999</v>
      </c>
      <c r="AR30">
        <v>2.9</v>
      </c>
      <c r="AS30">
        <v>8.9</v>
      </c>
      <c r="AT30">
        <v>4.0999999999999996</v>
      </c>
      <c r="AU30">
        <v>4.9000000000000004</v>
      </c>
      <c r="AV30">
        <v>10</v>
      </c>
      <c r="AW30">
        <v>5.3</v>
      </c>
      <c r="AX30">
        <v>21.8</v>
      </c>
    </row>
    <row r="31" spans="1:50" x14ac:dyDescent="0.2">
      <c r="A31" s="1" t="s">
        <v>78</v>
      </c>
      <c r="B31" s="1" t="s">
        <v>31</v>
      </c>
      <c r="C31">
        <v>32</v>
      </c>
      <c r="D31" s="1" t="s">
        <v>79</v>
      </c>
      <c r="E31">
        <v>57</v>
      </c>
      <c r="F31">
        <v>52</v>
      </c>
      <c r="G31">
        <v>29.7</v>
      </c>
      <c r="H31">
        <v>7.2</v>
      </c>
      <c r="I31">
        <v>15.4</v>
      </c>
      <c r="J31">
        <v>0.47</v>
      </c>
      <c r="K31">
        <v>2.7</v>
      </c>
      <c r="L31">
        <v>7.1</v>
      </c>
      <c r="M31">
        <v>0.38</v>
      </c>
      <c r="N31">
        <v>4.5</v>
      </c>
      <c r="O31">
        <v>5.5</v>
      </c>
      <c r="P31">
        <v>0.82399999999999995</v>
      </c>
      <c r="Q31">
        <v>0.4</v>
      </c>
      <c r="R31">
        <v>3.2</v>
      </c>
      <c r="S31">
        <v>3.5</v>
      </c>
      <c r="T31">
        <v>2.5</v>
      </c>
      <c r="U31">
        <v>1.1000000000000001</v>
      </c>
      <c r="V31">
        <v>0.2</v>
      </c>
      <c r="W31">
        <v>1.9</v>
      </c>
      <c r="X31">
        <v>2.2000000000000002</v>
      </c>
      <c r="Y31">
        <v>21.7</v>
      </c>
      <c r="AP31">
        <v>7.2</v>
      </c>
      <c r="AQ31">
        <v>15.4</v>
      </c>
      <c r="AR31">
        <v>2.7</v>
      </c>
      <c r="AS31">
        <v>7.1</v>
      </c>
      <c r="AT31">
        <v>4.5</v>
      </c>
      <c r="AU31">
        <v>5.5</v>
      </c>
      <c r="AV31">
        <v>3.5</v>
      </c>
      <c r="AW31">
        <v>2.5</v>
      </c>
      <c r="AX31">
        <v>21.7</v>
      </c>
    </row>
    <row r="32" spans="1:50" x14ac:dyDescent="0.2">
      <c r="A32" s="1" t="s">
        <v>80</v>
      </c>
      <c r="B32" s="1" t="s">
        <v>34</v>
      </c>
      <c r="C32">
        <v>25</v>
      </c>
      <c r="D32" s="1" t="s">
        <v>81</v>
      </c>
      <c r="E32">
        <v>66</v>
      </c>
      <c r="F32">
        <v>66</v>
      </c>
      <c r="G32">
        <v>35.5</v>
      </c>
      <c r="H32">
        <v>7.5</v>
      </c>
      <c r="I32">
        <v>15.9</v>
      </c>
      <c r="J32">
        <v>0.47</v>
      </c>
      <c r="K32">
        <v>3.2</v>
      </c>
      <c r="L32">
        <v>8.6</v>
      </c>
      <c r="M32">
        <v>0.379</v>
      </c>
      <c r="N32">
        <v>3.3</v>
      </c>
      <c r="O32">
        <v>3.7</v>
      </c>
      <c r="P32">
        <v>0.88600000000000001</v>
      </c>
      <c r="Q32">
        <v>1</v>
      </c>
      <c r="R32">
        <v>4.8</v>
      </c>
      <c r="S32">
        <v>5.7</v>
      </c>
      <c r="T32">
        <v>3.8</v>
      </c>
      <c r="U32">
        <v>1.5</v>
      </c>
      <c r="V32">
        <v>0.4</v>
      </c>
      <c r="W32">
        <v>1.8</v>
      </c>
      <c r="X32">
        <v>2.1</v>
      </c>
      <c r="Y32">
        <v>21.5</v>
      </c>
      <c r="AA32" s="2" t="s">
        <v>564</v>
      </c>
      <c r="AD32">
        <f>CORREL(T2:T615,W2:W615)</f>
        <v>0.84668713601194923</v>
      </c>
      <c r="AP32">
        <v>7.5</v>
      </c>
      <c r="AQ32">
        <v>15.9</v>
      </c>
      <c r="AR32">
        <v>3.2</v>
      </c>
      <c r="AS32">
        <v>8.6</v>
      </c>
      <c r="AT32">
        <v>3.3</v>
      </c>
      <c r="AU32">
        <v>3.7</v>
      </c>
      <c r="AV32">
        <v>5.7</v>
      </c>
      <c r="AW32">
        <v>3.8</v>
      </c>
      <c r="AX32">
        <v>21.5</v>
      </c>
    </row>
    <row r="33" spans="1:50" x14ac:dyDescent="0.2">
      <c r="A33" s="1" t="s">
        <v>82</v>
      </c>
      <c r="B33" s="1" t="s">
        <v>34</v>
      </c>
      <c r="C33">
        <v>28</v>
      </c>
      <c r="D33" s="1" t="s">
        <v>83</v>
      </c>
      <c r="E33">
        <v>76</v>
      </c>
      <c r="F33">
        <v>76</v>
      </c>
      <c r="G33">
        <v>33.799999999999997</v>
      </c>
      <c r="H33">
        <v>8</v>
      </c>
      <c r="I33">
        <v>16.8</v>
      </c>
      <c r="J33">
        <v>0.47499999999999998</v>
      </c>
      <c r="K33">
        <v>1.7</v>
      </c>
      <c r="L33">
        <v>4.5999999999999996</v>
      </c>
      <c r="M33">
        <v>0.379</v>
      </c>
      <c r="N33">
        <v>3.7</v>
      </c>
      <c r="O33">
        <v>4.5999999999999996</v>
      </c>
      <c r="P33">
        <v>0.81599999999999995</v>
      </c>
      <c r="Q33">
        <v>0.8</v>
      </c>
      <c r="R33">
        <v>4.7</v>
      </c>
      <c r="S33">
        <v>5.5</v>
      </c>
      <c r="T33">
        <v>3.7</v>
      </c>
      <c r="U33">
        <v>0.8</v>
      </c>
      <c r="V33">
        <v>0.7</v>
      </c>
      <c r="W33">
        <v>2.4</v>
      </c>
      <c r="X33">
        <v>1.9</v>
      </c>
      <c r="Y33">
        <v>21.4</v>
      </c>
      <c r="AP33">
        <v>8</v>
      </c>
      <c r="AQ33">
        <v>16.8</v>
      </c>
      <c r="AR33">
        <v>1.7</v>
      </c>
      <c r="AS33">
        <v>4.5999999999999996</v>
      </c>
      <c r="AT33">
        <v>3.7</v>
      </c>
      <c r="AU33">
        <v>4.5999999999999996</v>
      </c>
      <c r="AV33">
        <v>5.5</v>
      </c>
      <c r="AW33">
        <v>3.7</v>
      </c>
      <c r="AX33">
        <v>21.4</v>
      </c>
    </row>
    <row r="34" spans="1:50" x14ac:dyDescent="0.2">
      <c r="A34" s="1" t="s">
        <v>84</v>
      </c>
      <c r="B34" s="1" t="s">
        <v>34</v>
      </c>
      <c r="C34">
        <v>19</v>
      </c>
      <c r="D34" s="1" t="s">
        <v>85</v>
      </c>
      <c r="E34">
        <v>69</v>
      </c>
      <c r="F34">
        <v>69</v>
      </c>
      <c r="G34">
        <v>33.799999999999997</v>
      </c>
      <c r="H34">
        <v>8</v>
      </c>
      <c r="I34">
        <v>17.2</v>
      </c>
      <c r="J34">
        <v>0.46800000000000003</v>
      </c>
      <c r="K34">
        <v>1</v>
      </c>
      <c r="L34">
        <v>3.5</v>
      </c>
      <c r="M34">
        <v>0.29599999999999999</v>
      </c>
      <c r="N34">
        <v>4.0999999999999996</v>
      </c>
      <c r="O34">
        <v>4.9000000000000004</v>
      </c>
      <c r="P34">
        <v>0.82599999999999996</v>
      </c>
      <c r="Q34">
        <v>1.2</v>
      </c>
      <c r="R34">
        <v>5.5</v>
      </c>
      <c r="S34">
        <v>6.7</v>
      </c>
      <c r="T34">
        <v>4.5999999999999996</v>
      </c>
      <c r="U34">
        <v>1.2</v>
      </c>
      <c r="V34">
        <v>0.9</v>
      </c>
      <c r="W34">
        <v>2.2999999999999998</v>
      </c>
      <c r="X34">
        <v>2</v>
      </c>
      <c r="Y34">
        <v>21.2</v>
      </c>
      <c r="AP34">
        <v>8</v>
      </c>
      <c r="AQ34">
        <v>17.2</v>
      </c>
      <c r="AR34">
        <v>1</v>
      </c>
      <c r="AS34">
        <v>3.5</v>
      </c>
      <c r="AT34">
        <v>4.0999999999999996</v>
      </c>
      <c r="AU34">
        <v>4.9000000000000004</v>
      </c>
      <c r="AV34">
        <v>6.7</v>
      </c>
      <c r="AW34">
        <v>4.5999999999999996</v>
      </c>
      <c r="AX34">
        <v>21.2</v>
      </c>
    </row>
    <row r="35" spans="1:50" x14ac:dyDescent="0.2">
      <c r="A35" s="1" t="s">
        <v>86</v>
      </c>
      <c r="B35" s="1" t="s">
        <v>23</v>
      </c>
      <c r="C35">
        <v>31</v>
      </c>
      <c r="D35" s="1" t="s">
        <v>32</v>
      </c>
      <c r="E35">
        <v>79</v>
      </c>
      <c r="F35">
        <v>79</v>
      </c>
      <c r="G35">
        <v>33</v>
      </c>
      <c r="H35">
        <v>7.3</v>
      </c>
      <c r="I35">
        <v>15.3</v>
      </c>
      <c r="J35">
        <v>0.48099999999999998</v>
      </c>
      <c r="K35">
        <v>1.4</v>
      </c>
      <c r="L35">
        <v>4.4000000000000004</v>
      </c>
      <c r="M35">
        <v>0.315</v>
      </c>
      <c r="N35">
        <v>5</v>
      </c>
      <c r="O35">
        <v>6.3</v>
      </c>
      <c r="P35">
        <v>0.80200000000000005</v>
      </c>
      <c r="Q35">
        <v>1.7</v>
      </c>
      <c r="R35">
        <v>5.0999999999999996</v>
      </c>
      <c r="S35">
        <v>6.7</v>
      </c>
      <c r="T35">
        <v>5</v>
      </c>
      <c r="U35">
        <v>1.1000000000000001</v>
      </c>
      <c r="V35">
        <v>0.2</v>
      </c>
      <c r="W35">
        <v>2.7</v>
      </c>
      <c r="X35">
        <v>2.8</v>
      </c>
      <c r="Y35">
        <v>21.1</v>
      </c>
      <c r="AP35">
        <v>7.3</v>
      </c>
      <c r="AQ35">
        <v>15.3</v>
      </c>
      <c r="AR35">
        <v>1.4</v>
      </c>
      <c r="AS35">
        <v>4.4000000000000004</v>
      </c>
      <c r="AT35">
        <v>5</v>
      </c>
      <c r="AU35">
        <v>6.3</v>
      </c>
      <c r="AV35">
        <v>6.7</v>
      </c>
      <c r="AW35">
        <v>5</v>
      </c>
      <c r="AX35">
        <v>21.1</v>
      </c>
    </row>
    <row r="36" spans="1:50" x14ac:dyDescent="0.2">
      <c r="A36" s="1" t="s">
        <v>87</v>
      </c>
      <c r="B36" s="1" t="s">
        <v>31</v>
      </c>
      <c r="C36">
        <v>22</v>
      </c>
      <c r="D36" s="1" t="s">
        <v>62</v>
      </c>
      <c r="E36">
        <v>49</v>
      </c>
      <c r="F36">
        <v>42</v>
      </c>
      <c r="G36">
        <v>29.7</v>
      </c>
      <c r="H36">
        <v>7.9</v>
      </c>
      <c r="I36">
        <v>17.5</v>
      </c>
      <c r="J36">
        <v>0.45400000000000001</v>
      </c>
      <c r="K36">
        <v>2.1</v>
      </c>
      <c r="L36">
        <v>6.2</v>
      </c>
      <c r="M36">
        <v>0.34100000000000003</v>
      </c>
      <c r="N36">
        <v>3.1</v>
      </c>
      <c r="O36">
        <v>4</v>
      </c>
      <c r="P36">
        <v>0.78400000000000003</v>
      </c>
      <c r="Q36">
        <v>1</v>
      </c>
      <c r="R36">
        <v>3.4</v>
      </c>
      <c r="S36">
        <v>4.4000000000000004</v>
      </c>
      <c r="T36">
        <v>2.6</v>
      </c>
      <c r="U36">
        <v>1.4</v>
      </c>
      <c r="V36">
        <v>0.1</v>
      </c>
      <c r="W36">
        <v>3</v>
      </c>
      <c r="X36">
        <v>2</v>
      </c>
      <c r="Y36">
        <v>21.1</v>
      </c>
      <c r="AP36">
        <v>7.9</v>
      </c>
      <c r="AQ36">
        <v>17.5</v>
      </c>
      <c r="AR36">
        <v>2.1</v>
      </c>
      <c r="AS36">
        <v>6.2</v>
      </c>
      <c r="AT36">
        <v>3.1</v>
      </c>
      <c r="AU36">
        <v>4</v>
      </c>
      <c r="AV36">
        <v>4.4000000000000004</v>
      </c>
      <c r="AW36">
        <v>2.6</v>
      </c>
      <c r="AX36">
        <v>21.1</v>
      </c>
    </row>
    <row r="37" spans="1:50" x14ac:dyDescent="0.2">
      <c r="A37" s="1" t="s">
        <v>88</v>
      </c>
      <c r="B37" s="1" t="s">
        <v>31</v>
      </c>
      <c r="C37">
        <v>26</v>
      </c>
      <c r="D37" s="1" t="s">
        <v>79</v>
      </c>
      <c r="E37">
        <v>32</v>
      </c>
      <c r="F37">
        <v>27</v>
      </c>
      <c r="G37">
        <v>31.6</v>
      </c>
      <c r="H37">
        <v>7.7</v>
      </c>
      <c r="I37">
        <v>15.8</v>
      </c>
      <c r="J37">
        <v>0.48399999999999999</v>
      </c>
      <c r="K37">
        <v>2.6</v>
      </c>
      <c r="L37">
        <v>6.8</v>
      </c>
      <c r="M37">
        <v>0.38400000000000001</v>
      </c>
      <c r="N37">
        <v>3.1</v>
      </c>
      <c r="O37">
        <v>3.4</v>
      </c>
      <c r="P37">
        <v>0.91700000000000004</v>
      </c>
      <c r="Q37">
        <v>0.4</v>
      </c>
      <c r="R37">
        <v>4.2</v>
      </c>
      <c r="S37">
        <v>4.5999999999999996</v>
      </c>
      <c r="T37">
        <v>4</v>
      </c>
      <c r="U37">
        <v>0.7</v>
      </c>
      <c r="V37">
        <v>0.4</v>
      </c>
      <c r="W37">
        <v>1.9</v>
      </c>
      <c r="X37">
        <v>1.9</v>
      </c>
      <c r="Y37">
        <v>21</v>
      </c>
      <c r="AP37">
        <v>7.7</v>
      </c>
      <c r="AQ37">
        <v>15.8</v>
      </c>
      <c r="AR37">
        <v>2.6</v>
      </c>
      <c r="AS37">
        <v>6.8</v>
      </c>
      <c r="AT37">
        <v>3.1</v>
      </c>
      <c r="AU37">
        <v>3.4</v>
      </c>
      <c r="AV37">
        <v>4.5999999999999996</v>
      </c>
      <c r="AW37">
        <v>4</v>
      </c>
      <c r="AX37">
        <v>21</v>
      </c>
    </row>
    <row r="38" spans="1:50" x14ac:dyDescent="0.2">
      <c r="A38" s="1" t="s">
        <v>89</v>
      </c>
      <c r="B38" s="1" t="s">
        <v>34</v>
      </c>
      <c r="C38">
        <v>41</v>
      </c>
      <c r="D38" s="1" t="s">
        <v>27</v>
      </c>
      <c r="E38">
        <v>59</v>
      </c>
      <c r="F38">
        <v>59</v>
      </c>
      <c r="G38">
        <v>33.4</v>
      </c>
      <c r="H38">
        <v>7.9</v>
      </c>
      <c r="I38">
        <v>15.3</v>
      </c>
      <c r="J38">
        <v>0.51700000000000002</v>
      </c>
      <c r="K38">
        <v>1.3</v>
      </c>
      <c r="L38">
        <v>4.0999999999999996</v>
      </c>
      <c r="M38">
        <v>0.32100000000000001</v>
      </c>
      <c r="N38">
        <v>3.8</v>
      </c>
      <c r="O38">
        <v>5.2</v>
      </c>
      <c r="P38">
        <v>0.73499999999999999</v>
      </c>
      <c r="Q38">
        <v>0.7</v>
      </c>
      <c r="R38">
        <v>5.4</v>
      </c>
      <c r="S38">
        <v>6.1</v>
      </c>
      <c r="T38">
        <v>7.2</v>
      </c>
      <c r="U38">
        <v>1.2</v>
      </c>
      <c r="V38">
        <v>0.6</v>
      </c>
      <c r="W38">
        <v>3</v>
      </c>
      <c r="X38">
        <v>1.4</v>
      </c>
      <c r="Y38">
        <v>21</v>
      </c>
      <c r="AP38">
        <v>7.9</v>
      </c>
      <c r="AQ38">
        <v>15.3</v>
      </c>
      <c r="AR38">
        <v>1.3</v>
      </c>
      <c r="AS38">
        <v>4.0999999999999996</v>
      </c>
      <c r="AT38">
        <v>3.8</v>
      </c>
      <c r="AU38">
        <v>5.2</v>
      </c>
      <c r="AV38">
        <v>6.1</v>
      </c>
      <c r="AW38">
        <v>7.2</v>
      </c>
      <c r="AX38">
        <v>21</v>
      </c>
    </row>
    <row r="39" spans="1:50" x14ac:dyDescent="0.2">
      <c r="A39" s="1" t="s">
        <v>90</v>
      </c>
      <c r="B39" s="1" t="s">
        <v>23</v>
      </c>
      <c r="C39">
        <v>25</v>
      </c>
      <c r="D39" s="1" t="s">
        <v>81</v>
      </c>
      <c r="E39">
        <v>62</v>
      </c>
      <c r="F39">
        <v>55</v>
      </c>
      <c r="G39">
        <v>29.7</v>
      </c>
      <c r="H39">
        <v>7.8</v>
      </c>
      <c r="I39">
        <v>13</v>
      </c>
      <c r="J39">
        <v>0.6</v>
      </c>
      <c r="K39">
        <v>0</v>
      </c>
      <c r="L39">
        <v>0.1</v>
      </c>
      <c r="M39">
        <v>0.25</v>
      </c>
      <c r="N39">
        <v>5.4</v>
      </c>
      <c r="O39">
        <v>7.5</v>
      </c>
      <c r="P39">
        <v>0.71599999999999997</v>
      </c>
      <c r="Q39">
        <v>2</v>
      </c>
      <c r="R39">
        <v>3.7</v>
      </c>
      <c r="S39">
        <v>5.7</v>
      </c>
      <c r="T39">
        <v>3.2</v>
      </c>
      <c r="U39">
        <v>1</v>
      </c>
      <c r="V39">
        <v>0.5</v>
      </c>
      <c r="W39">
        <v>2</v>
      </c>
      <c r="X39">
        <v>2.2999999999999998</v>
      </c>
      <c r="Y39">
        <v>21</v>
      </c>
      <c r="AP39">
        <v>7.8</v>
      </c>
      <c r="AQ39">
        <v>13</v>
      </c>
      <c r="AR39">
        <v>0</v>
      </c>
      <c r="AS39">
        <v>0.1</v>
      </c>
      <c r="AT39">
        <v>5.4</v>
      </c>
      <c r="AU39">
        <v>7.5</v>
      </c>
      <c r="AV39">
        <v>5.7</v>
      </c>
      <c r="AW39">
        <v>3.2</v>
      </c>
      <c r="AX39">
        <v>21</v>
      </c>
    </row>
    <row r="40" spans="1:50" x14ac:dyDescent="0.2">
      <c r="A40" s="1" t="s">
        <v>91</v>
      </c>
      <c r="B40" s="1" t="s">
        <v>31</v>
      </c>
      <c r="C40">
        <v>27</v>
      </c>
      <c r="D40" s="1" t="s">
        <v>74</v>
      </c>
      <c r="E40">
        <v>78</v>
      </c>
      <c r="F40">
        <v>71</v>
      </c>
      <c r="G40">
        <v>33.4</v>
      </c>
      <c r="H40">
        <v>7</v>
      </c>
      <c r="I40">
        <v>15.3</v>
      </c>
      <c r="J40">
        <v>0.45900000000000002</v>
      </c>
      <c r="K40">
        <v>3.2</v>
      </c>
      <c r="L40">
        <v>8.1</v>
      </c>
      <c r="M40">
        <v>0.39900000000000002</v>
      </c>
      <c r="N40">
        <v>3.6</v>
      </c>
      <c r="O40">
        <v>3.9</v>
      </c>
      <c r="P40">
        <v>0.90200000000000002</v>
      </c>
      <c r="Q40">
        <v>0.7</v>
      </c>
      <c r="R40">
        <v>2.8</v>
      </c>
      <c r="S40">
        <v>3.4</v>
      </c>
      <c r="T40">
        <v>3.7</v>
      </c>
      <c r="U40">
        <v>1.3</v>
      </c>
      <c r="V40">
        <v>0.5</v>
      </c>
      <c r="W40">
        <v>2.1</v>
      </c>
      <c r="X40">
        <v>2.2000000000000002</v>
      </c>
      <c r="Y40">
        <v>20.8</v>
      </c>
      <c r="AP40">
        <v>7</v>
      </c>
      <c r="AQ40">
        <v>15.3</v>
      </c>
      <c r="AR40">
        <v>3.2</v>
      </c>
      <c r="AS40">
        <v>8.1</v>
      </c>
      <c r="AT40">
        <v>3.6</v>
      </c>
      <c r="AU40">
        <v>3.9</v>
      </c>
      <c r="AV40">
        <v>3.4</v>
      </c>
      <c r="AW40">
        <v>3.7</v>
      </c>
      <c r="AX40">
        <v>20.8</v>
      </c>
    </row>
    <row r="41" spans="1:50" x14ac:dyDescent="0.2">
      <c r="A41" s="1" t="s">
        <v>92</v>
      </c>
      <c r="B41" s="1" t="s">
        <v>34</v>
      </c>
      <c r="C41">
        <v>24</v>
      </c>
      <c r="D41" s="1" t="s">
        <v>76</v>
      </c>
      <c r="E41">
        <v>33</v>
      </c>
      <c r="F41">
        <v>31</v>
      </c>
      <c r="G41">
        <v>30.1</v>
      </c>
      <c r="H41">
        <v>7.2</v>
      </c>
      <c r="I41">
        <v>14.8</v>
      </c>
      <c r="J41">
        <v>0.48499999999999999</v>
      </c>
      <c r="K41">
        <v>1.4</v>
      </c>
      <c r="L41">
        <v>4</v>
      </c>
      <c r="M41">
        <v>0.34799999999999998</v>
      </c>
      <c r="N41">
        <v>4.8</v>
      </c>
      <c r="O41">
        <v>5.9</v>
      </c>
      <c r="P41">
        <v>0.82</v>
      </c>
      <c r="Q41">
        <v>1.3</v>
      </c>
      <c r="R41">
        <v>4</v>
      </c>
      <c r="S41">
        <v>5.2</v>
      </c>
      <c r="T41">
        <v>3.4</v>
      </c>
      <c r="U41">
        <v>0.9</v>
      </c>
      <c r="V41">
        <v>0.3</v>
      </c>
      <c r="W41">
        <v>1.7</v>
      </c>
      <c r="X41">
        <v>2.1</v>
      </c>
      <c r="Y41">
        <v>20.6</v>
      </c>
      <c r="AP41">
        <v>7.2</v>
      </c>
      <c r="AQ41">
        <v>14.8</v>
      </c>
      <c r="AR41">
        <v>1.4</v>
      </c>
      <c r="AS41">
        <v>4</v>
      </c>
      <c r="AT41">
        <v>4.8</v>
      </c>
      <c r="AU41">
        <v>5.9</v>
      </c>
      <c r="AV41">
        <v>5.2</v>
      </c>
      <c r="AW41">
        <v>3.4</v>
      </c>
      <c r="AX41">
        <v>20.6</v>
      </c>
    </row>
    <row r="42" spans="1:50" x14ac:dyDescent="0.2">
      <c r="A42" s="1" t="s">
        <v>93</v>
      </c>
      <c r="B42" s="1" t="s">
        <v>23</v>
      </c>
      <c r="C42">
        <v>32</v>
      </c>
      <c r="D42" s="1" t="s">
        <v>85</v>
      </c>
      <c r="E42">
        <v>20</v>
      </c>
      <c r="F42">
        <v>20</v>
      </c>
      <c r="G42">
        <v>31.3</v>
      </c>
      <c r="H42">
        <v>8.5</v>
      </c>
      <c r="I42">
        <v>16.7</v>
      </c>
      <c r="J42">
        <v>0.50600000000000001</v>
      </c>
      <c r="K42">
        <v>0.5</v>
      </c>
      <c r="L42">
        <v>1.9</v>
      </c>
      <c r="M42">
        <v>0.27</v>
      </c>
      <c r="N42">
        <v>3</v>
      </c>
      <c r="O42">
        <v>4.0999999999999996</v>
      </c>
      <c r="P42">
        <v>0.72799999999999998</v>
      </c>
      <c r="Q42">
        <v>3.1</v>
      </c>
      <c r="R42">
        <v>8</v>
      </c>
      <c r="S42">
        <v>11.1</v>
      </c>
      <c r="T42">
        <v>2.8</v>
      </c>
      <c r="U42">
        <v>1.1000000000000001</v>
      </c>
      <c r="V42">
        <v>1.7</v>
      </c>
      <c r="W42">
        <v>2.1</v>
      </c>
      <c r="X42">
        <v>2.1</v>
      </c>
      <c r="Y42">
        <v>20.399999999999999</v>
      </c>
      <c r="AP42">
        <v>8.5</v>
      </c>
      <c r="AQ42">
        <v>16.7</v>
      </c>
      <c r="AR42">
        <v>0.5</v>
      </c>
      <c r="AS42">
        <v>1.9</v>
      </c>
      <c r="AT42">
        <v>3</v>
      </c>
      <c r="AU42">
        <v>4.0999999999999996</v>
      </c>
      <c r="AV42">
        <v>11.1</v>
      </c>
      <c r="AW42">
        <v>2.8</v>
      </c>
      <c r="AX42">
        <v>20.399999999999999</v>
      </c>
    </row>
    <row r="43" spans="1:50" x14ac:dyDescent="0.2">
      <c r="A43" s="1" t="s">
        <v>94</v>
      </c>
      <c r="B43" s="1" t="s">
        <v>43</v>
      </c>
      <c r="C43">
        <v>23</v>
      </c>
      <c r="D43" s="1" t="s">
        <v>57</v>
      </c>
      <c r="E43">
        <v>72</v>
      </c>
      <c r="F43">
        <v>72</v>
      </c>
      <c r="G43">
        <v>33.299999999999997</v>
      </c>
      <c r="H43">
        <v>8.1</v>
      </c>
      <c r="I43">
        <v>15.6</v>
      </c>
      <c r="J43">
        <v>0.51900000000000002</v>
      </c>
      <c r="K43">
        <v>0.6</v>
      </c>
      <c r="L43">
        <v>1.8</v>
      </c>
      <c r="M43">
        <v>0.30499999999999999</v>
      </c>
      <c r="N43">
        <v>3.6</v>
      </c>
      <c r="O43">
        <v>5.2</v>
      </c>
      <c r="P43">
        <v>0.69099999999999995</v>
      </c>
      <c r="Q43">
        <v>3</v>
      </c>
      <c r="R43">
        <v>5.9</v>
      </c>
      <c r="S43">
        <v>8.9</v>
      </c>
      <c r="T43">
        <v>6.2</v>
      </c>
      <c r="U43">
        <v>1.2</v>
      </c>
      <c r="V43">
        <v>1.1000000000000001</v>
      </c>
      <c r="W43">
        <v>3.2</v>
      </c>
      <c r="X43">
        <v>3.3</v>
      </c>
      <c r="Y43">
        <v>20.399999999999999</v>
      </c>
      <c r="AP43">
        <v>8.1</v>
      </c>
      <c r="AQ43">
        <v>15.6</v>
      </c>
      <c r="AR43">
        <v>0.6</v>
      </c>
      <c r="AS43">
        <v>1.8</v>
      </c>
      <c r="AT43">
        <v>3.6</v>
      </c>
      <c r="AU43">
        <v>5.2</v>
      </c>
      <c r="AV43">
        <v>8.9</v>
      </c>
      <c r="AW43">
        <v>6.2</v>
      </c>
      <c r="AX43">
        <v>20.399999999999999</v>
      </c>
    </row>
    <row r="44" spans="1:50" x14ac:dyDescent="0.2">
      <c r="A44" s="1" t="s">
        <v>95</v>
      </c>
      <c r="B44" s="1" t="s">
        <v>31</v>
      </c>
      <c r="C44">
        <v>27</v>
      </c>
      <c r="D44" s="1" t="s">
        <v>76</v>
      </c>
      <c r="E44">
        <v>81</v>
      </c>
      <c r="F44">
        <v>81</v>
      </c>
      <c r="G44">
        <v>33.799999999999997</v>
      </c>
      <c r="H44">
        <v>7.2</v>
      </c>
      <c r="I44">
        <v>14.8</v>
      </c>
      <c r="J44">
        <v>0.48499999999999999</v>
      </c>
      <c r="K44">
        <v>2</v>
      </c>
      <c r="L44">
        <v>5.2</v>
      </c>
      <c r="M44">
        <v>0.39200000000000002</v>
      </c>
      <c r="N44">
        <v>3.9</v>
      </c>
      <c r="O44">
        <v>4.2</v>
      </c>
      <c r="P44">
        <v>0.91</v>
      </c>
      <c r="Q44">
        <v>1.2</v>
      </c>
      <c r="R44">
        <v>3</v>
      </c>
      <c r="S44">
        <v>4.0999999999999996</v>
      </c>
      <c r="T44">
        <v>4.2</v>
      </c>
      <c r="U44">
        <v>1</v>
      </c>
      <c r="V44">
        <v>0.4</v>
      </c>
      <c r="W44">
        <v>2</v>
      </c>
      <c r="X44">
        <v>3.1</v>
      </c>
      <c r="Y44">
        <v>20.2</v>
      </c>
      <c r="AP44">
        <v>7.2</v>
      </c>
      <c r="AQ44">
        <v>14.8</v>
      </c>
      <c r="AR44">
        <v>2</v>
      </c>
      <c r="AS44">
        <v>5.2</v>
      </c>
      <c r="AT44">
        <v>3.9</v>
      </c>
      <c r="AU44">
        <v>4.2</v>
      </c>
      <c r="AV44">
        <v>4.0999999999999996</v>
      </c>
      <c r="AW44">
        <v>4.2</v>
      </c>
      <c r="AX44">
        <v>20.2</v>
      </c>
    </row>
    <row r="45" spans="1:50" x14ac:dyDescent="0.2">
      <c r="A45" s="1" t="s">
        <v>96</v>
      </c>
      <c r="B45" s="1" t="s">
        <v>34</v>
      </c>
      <c r="C45">
        <v>30</v>
      </c>
      <c r="D45" s="1" t="s">
        <v>53</v>
      </c>
      <c r="E45">
        <v>56</v>
      </c>
      <c r="F45">
        <v>56</v>
      </c>
      <c r="G45">
        <v>30.4</v>
      </c>
      <c r="H45">
        <v>7.4</v>
      </c>
      <c r="I45">
        <v>17.100000000000001</v>
      </c>
      <c r="J45">
        <v>0.435</v>
      </c>
      <c r="K45">
        <v>2.2999999999999998</v>
      </c>
      <c r="L45">
        <v>6.6</v>
      </c>
      <c r="M45">
        <v>0.34399999999999997</v>
      </c>
      <c r="N45">
        <v>3</v>
      </c>
      <c r="O45">
        <v>3.6</v>
      </c>
      <c r="P45">
        <v>0.84199999999999997</v>
      </c>
      <c r="Q45">
        <v>0.8</v>
      </c>
      <c r="R45">
        <v>2.9</v>
      </c>
      <c r="S45">
        <v>3.6</v>
      </c>
      <c r="T45">
        <v>1.8</v>
      </c>
      <c r="U45">
        <v>1</v>
      </c>
      <c r="V45">
        <v>0.2</v>
      </c>
      <c r="W45">
        <v>1.8</v>
      </c>
      <c r="X45">
        <v>3.3</v>
      </c>
      <c r="Y45">
        <v>20.2</v>
      </c>
      <c r="AP45">
        <v>7.4</v>
      </c>
      <c r="AQ45">
        <v>17.100000000000001</v>
      </c>
      <c r="AR45">
        <v>2.2999999999999998</v>
      </c>
      <c r="AS45">
        <v>6.6</v>
      </c>
      <c r="AT45">
        <v>3</v>
      </c>
      <c r="AU45">
        <v>3.6</v>
      </c>
      <c r="AV45">
        <v>3.6</v>
      </c>
      <c r="AW45">
        <v>1.8</v>
      </c>
      <c r="AX45">
        <v>20.2</v>
      </c>
    </row>
    <row r="46" spans="1:50" x14ac:dyDescent="0.2">
      <c r="A46" s="1" t="s">
        <v>97</v>
      </c>
      <c r="B46" s="1" t="s">
        <v>34</v>
      </c>
      <c r="C46">
        <v>23</v>
      </c>
      <c r="D46" s="1" t="s">
        <v>98</v>
      </c>
      <c r="E46">
        <v>64</v>
      </c>
      <c r="F46">
        <v>64</v>
      </c>
      <c r="G46">
        <v>30.3</v>
      </c>
      <c r="H46">
        <v>7</v>
      </c>
      <c r="I46">
        <v>16.100000000000001</v>
      </c>
      <c r="J46">
        <v>0.435</v>
      </c>
      <c r="K46">
        <v>3.1</v>
      </c>
      <c r="L46">
        <v>8.1999999999999993</v>
      </c>
      <c r="M46">
        <v>0.38300000000000001</v>
      </c>
      <c r="N46">
        <v>3</v>
      </c>
      <c r="O46">
        <v>3.4</v>
      </c>
      <c r="P46">
        <v>0.89400000000000002</v>
      </c>
      <c r="Q46">
        <v>1.1000000000000001</v>
      </c>
      <c r="R46">
        <v>3.9</v>
      </c>
      <c r="S46">
        <v>4.9000000000000004</v>
      </c>
      <c r="T46">
        <v>3.4</v>
      </c>
      <c r="U46">
        <v>1</v>
      </c>
      <c r="V46">
        <v>0.7</v>
      </c>
      <c r="W46">
        <v>2.5</v>
      </c>
      <c r="X46">
        <v>2.8</v>
      </c>
      <c r="Y46">
        <v>20.2</v>
      </c>
      <c r="AP46">
        <v>7</v>
      </c>
      <c r="AQ46">
        <v>16.100000000000001</v>
      </c>
      <c r="AR46">
        <v>3.1</v>
      </c>
      <c r="AS46">
        <v>8.1999999999999993</v>
      </c>
      <c r="AT46">
        <v>3</v>
      </c>
      <c r="AU46">
        <v>3.4</v>
      </c>
      <c r="AV46">
        <v>4.9000000000000004</v>
      </c>
      <c r="AW46">
        <v>3.4</v>
      </c>
      <c r="AX46">
        <v>20.2</v>
      </c>
    </row>
    <row r="47" spans="1:50" x14ac:dyDescent="0.2">
      <c r="A47" s="1" t="s">
        <v>99</v>
      </c>
      <c r="B47" s="1" t="s">
        <v>26</v>
      </c>
      <c r="C47">
        <v>24</v>
      </c>
      <c r="D47" s="1" t="s">
        <v>98</v>
      </c>
      <c r="E47">
        <v>71</v>
      </c>
      <c r="F47">
        <v>68</v>
      </c>
      <c r="G47">
        <v>28</v>
      </c>
      <c r="H47">
        <v>7</v>
      </c>
      <c r="I47">
        <v>17.3</v>
      </c>
      <c r="J47">
        <v>0.40699999999999997</v>
      </c>
      <c r="K47">
        <v>3.8</v>
      </c>
      <c r="L47">
        <v>10.199999999999999</v>
      </c>
      <c r="M47">
        <v>0.36899999999999999</v>
      </c>
      <c r="N47">
        <v>2.2999999999999998</v>
      </c>
      <c r="O47">
        <v>2.5</v>
      </c>
      <c r="P47">
        <v>0.89900000000000002</v>
      </c>
      <c r="Q47">
        <v>0.9</v>
      </c>
      <c r="R47">
        <v>3.9</v>
      </c>
      <c r="S47">
        <v>4.8</v>
      </c>
      <c r="T47">
        <v>7.2</v>
      </c>
      <c r="U47">
        <v>1.2</v>
      </c>
      <c r="V47">
        <v>0.2</v>
      </c>
      <c r="W47">
        <v>2.8</v>
      </c>
      <c r="X47">
        <v>2.7</v>
      </c>
      <c r="Y47">
        <v>20.100000000000001</v>
      </c>
      <c r="AP47">
        <v>7</v>
      </c>
      <c r="AQ47">
        <v>17.3</v>
      </c>
      <c r="AR47">
        <v>3.8</v>
      </c>
      <c r="AS47">
        <v>10.199999999999999</v>
      </c>
      <c r="AT47">
        <v>2.2999999999999998</v>
      </c>
      <c r="AU47">
        <v>2.5</v>
      </c>
      <c r="AV47">
        <v>4.8</v>
      </c>
      <c r="AW47">
        <v>7.2</v>
      </c>
      <c r="AX47">
        <v>20.100000000000001</v>
      </c>
    </row>
    <row r="48" spans="1:50" x14ac:dyDescent="0.2">
      <c r="A48" s="1" t="s">
        <v>100</v>
      </c>
      <c r="B48" s="1" t="s">
        <v>43</v>
      </c>
      <c r="C48">
        <v>30</v>
      </c>
      <c r="D48" s="1" t="s">
        <v>55</v>
      </c>
      <c r="E48">
        <v>75</v>
      </c>
      <c r="F48">
        <v>75</v>
      </c>
      <c r="G48">
        <v>31</v>
      </c>
      <c r="H48">
        <v>6.9</v>
      </c>
      <c r="I48">
        <v>13.8</v>
      </c>
      <c r="J48">
        <v>0.501</v>
      </c>
      <c r="K48">
        <v>1.5</v>
      </c>
      <c r="L48">
        <v>4.0999999999999996</v>
      </c>
      <c r="M48">
        <v>0.36799999999999999</v>
      </c>
      <c r="N48">
        <v>4.8</v>
      </c>
      <c r="O48">
        <v>5.5</v>
      </c>
      <c r="P48">
        <v>0.85799999999999998</v>
      </c>
      <c r="Q48">
        <v>3.1</v>
      </c>
      <c r="R48">
        <v>8.6999999999999993</v>
      </c>
      <c r="S48">
        <v>11.9</v>
      </c>
      <c r="T48">
        <v>3</v>
      </c>
      <c r="U48">
        <v>0.9</v>
      </c>
      <c r="V48">
        <v>0.5</v>
      </c>
      <c r="W48">
        <v>2.5</v>
      </c>
      <c r="X48">
        <v>3.4</v>
      </c>
      <c r="Y48">
        <v>20.100000000000001</v>
      </c>
      <c r="AP48">
        <v>6.9</v>
      </c>
      <c r="AQ48">
        <v>13.8</v>
      </c>
      <c r="AR48">
        <v>1.5</v>
      </c>
      <c r="AS48">
        <v>4.0999999999999996</v>
      </c>
      <c r="AT48">
        <v>4.8</v>
      </c>
      <c r="AU48">
        <v>5.5</v>
      </c>
      <c r="AV48">
        <v>11.9</v>
      </c>
      <c r="AW48">
        <v>3</v>
      </c>
      <c r="AX48">
        <v>20.100000000000001</v>
      </c>
    </row>
    <row r="49" spans="1:50" x14ac:dyDescent="0.2">
      <c r="A49" s="1" t="s">
        <v>101</v>
      </c>
      <c r="B49" s="1" t="s">
        <v>43</v>
      </c>
      <c r="C49">
        <v>28</v>
      </c>
      <c r="D49" s="1" t="s">
        <v>79</v>
      </c>
      <c r="E49">
        <v>72</v>
      </c>
      <c r="F49">
        <v>72</v>
      </c>
      <c r="G49">
        <v>32.4</v>
      </c>
      <c r="H49">
        <v>6.9</v>
      </c>
      <c r="I49">
        <v>15.7</v>
      </c>
      <c r="J49">
        <v>0.439</v>
      </c>
      <c r="K49">
        <v>1.8</v>
      </c>
      <c r="L49">
        <v>5.5</v>
      </c>
      <c r="M49">
        <v>0.318</v>
      </c>
      <c r="N49">
        <v>4.5</v>
      </c>
      <c r="O49">
        <v>5.8</v>
      </c>
      <c r="P49">
        <v>0.78</v>
      </c>
      <c r="Q49">
        <v>2</v>
      </c>
      <c r="R49">
        <v>8</v>
      </c>
      <c r="S49">
        <v>10</v>
      </c>
      <c r="T49">
        <v>3.2</v>
      </c>
      <c r="U49">
        <v>1.2</v>
      </c>
      <c r="V49">
        <v>0.7</v>
      </c>
      <c r="W49">
        <v>1.7</v>
      </c>
      <c r="X49">
        <v>1.7</v>
      </c>
      <c r="Y49">
        <v>20</v>
      </c>
      <c r="AP49">
        <v>6.9</v>
      </c>
      <c r="AQ49">
        <v>15.7</v>
      </c>
      <c r="AR49">
        <v>1.8</v>
      </c>
      <c r="AS49">
        <v>5.5</v>
      </c>
      <c r="AT49">
        <v>4.5</v>
      </c>
      <c r="AU49">
        <v>5.8</v>
      </c>
      <c r="AV49">
        <v>10</v>
      </c>
      <c r="AW49">
        <v>3.2</v>
      </c>
      <c r="AX49">
        <v>20</v>
      </c>
    </row>
    <row r="50" spans="1:50" x14ac:dyDescent="0.2">
      <c r="A50" s="1" t="s">
        <v>102</v>
      </c>
      <c r="B50" s="1" t="s">
        <v>34</v>
      </c>
      <c r="C50">
        <v>36</v>
      </c>
      <c r="D50" s="1" t="s">
        <v>51</v>
      </c>
      <c r="E50">
        <v>38</v>
      </c>
      <c r="F50">
        <v>38</v>
      </c>
      <c r="G50">
        <v>31.1</v>
      </c>
      <c r="H50">
        <v>6.3</v>
      </c>
      <c r="I50">
        <v>12.2</v>
      </c>
      <c r="J50">
        <v>0.51900000000000002</v>
      </c>
      <c r="K50">
        <v>0.8</v>
      </c>
      <c r="L50">
        <v>2.2000000000000002</v>
      </c>
      <c r="M50">
        <v>0.376</v>
      </c>
      <c r="N50">
        <v>6.5</v>
      </c>
      <c r="O50">
        <v>7.6</v>
      </c>
      <c r="P50">
        <v>0.86399999999999999</v>
      </c>
      <c r="Q50">
        <v>2.2999999999999998</v>
      </c>
      <c r="R50">
        <v>3.2</v>
      </c>
      <c r="S50">
        <v>5.6</v>
      </c>
      <c r="T50">
        <v>4.9000000000000004</v>
      </c>
      <c r="U50">
        <v>1.4</v>
      </c>
      <c r="V50">
        <v>0.2</v>
      </c>
      <c r="W50">
        <v>1.6</v>
      </c>
      <c r="X50">
        <v>1.2</v>
      </c>
      <c r="Y50">
        <v>20</v>
      </c>
      <c r="AP50">
        <v>6.3</v>
      </c>
      <c r="AQ50">
        <v>12.2</v>
      </c>
      <c r="AR50">
        <v>0.8</v>
      </c>
      <c r="AS50">
        <v>2.2000000000000002</v>
      </c>
      <c r="AT50">
        <v>6.5</v>
      </c>
      <c r="AU50">
        <v>7.6</v>
      </c>
      <c r="AV50">
        <v>5.6</v>
      </c>
      <c r="AW50">
        <v>4.9000000000000004</v>
      </c>
      <c r="AX50">
        <v>20</v>
      </c>
    </row>
    <row r="51" spans="1:50" x14ac:dyDescent="0.2">
      <c r="A51" s="1" t="s">
        <v>103</v>
      </c>
      <c r="B51" s="1" t="s">
        <v>31</v>
      </c>
      <c r="C51">
        <v>28</v>
      </c>
      <c r="D51" s="1" t="s">
        <v>104</v>
      </c>
      <c r="E51">
        <v>15</v>
      </c>
      <c r="F51">
        <v>15</v>
      </c>
      <c r="G51">
        <v>22.6</v>
      </c>
      <c r="H51">
        <v>6.8</v>
      </c>
      <c r="I51">
        <v>14.3</v>
      </c>
      <c r="J51">
        <v>0.47399999999999998</v>
      </c>
      <c r="K51">
        <v>2.8</v>
      </c>
      <c r="L51">
        <v>6.7</v>
      </c>
      <c r="M51">
        <v>0.42</v>
      </c>
      <c r="N51">
        <v>3.3</v>
      </c>
      <c r="O51">
        <v>3.7</v>
      </c>
      <c r="P51">
        <v>0.875</v>
      </c>
      <c r="Q51">
        <v>0.7</v>
      </c>
      <c r="R51">
        <v>2.1</v>
      </c>
      <c r="S51">
        <v>2.8</v>
      </c>
      <c r="T51">
        <v>5.7</v>
      </c>
      <c r="U51">
        <v>1.1000000000000001</v>
      </c>
      <c r="V51">
        <v>0.3</v>
      </c>
      <c r="W51">
        <v>1.8</v>
      </c>
      <c r="X51">
        <v>2.1</v>
      </c>
      <c r="Y51">
        <v>19.7</v>
      </c>
      <c r="AP51">
        <v>6.8</v>
      </c>
      <c r="AQ51">
        <v>14.3</v>
      </c>
      <c r="AR51">
        <v>2.8</v>
      </c>
      <c r="AS51">
        <v>6.7</v>
      </c>
      <c r="AT51">
        <v>3.3</v>
      </c>
      <c r="AU51">
        <v>3.7</v>
      </c>
      <c r="AV51">
        <v>2.8</v>
      </c>
      <c r="AW51">
        <v>5.7</v>
      </c>
      <c r="AX51">
        <v>19.7</v>
      </c>
    </row>
    <row r="52" spans="1:50" x14ac:dyDescent="0.2">
      <c r="A52" s="1" t="s">
        <v>105</v>
      </c>
      <c r="B52" s="1" t="s">
        <v>43</v>
      </c>
      <c r="C52">
        <v>22</v>
      </c>
      <c r="D52" s="1" t="s">
        <v>64</v>
      </c>
      <c r="E52">
        <v>70</v>
      </c>
      <c r="F52">
        <v>70</v>
      </c>
      <c r="G52">
        <v>28.2</v>
      </c>
      <c r="H52">
        <v>7.5</v>
      </c>
      <c r="I52">
        <v>11.5</v>
      </c>
      <c r="J52">
        <v>0.65</v>
      </c>
      <c r="K52">
        <v>0</v>
      </c>
      <c r="L52">
        <v>0</v>
      </c>
      <c r="N52">
        <v>4.5999999999999996</v>
      </c>
      <c r="O52">
        <v>6.1</v>
      </c>
      <c r="P52">
        <v>0.747</v>
      </c>
      <c r="Q52">
        <v>3.8</v>
      </c>
      <c r="R52">
        <v>6.7</v>
      </c>
      <c r="S52">
        <v>10.5</v>
      </c>
      <c r="T52">
        <v>2</v>
      </c>
      <c r="U52">
        <v>0.8</v>
      </c>
      <c r="V52">
        <v>0.8</v>
      </c>
      <c r="W52">
        <v>1.9</v>
      </c>
      <c r="X52">
        <v>2.8</v>
      </c>
      <c r="Y52">
        <v>19.5</v>
      </c>
      <c r="AP52">
        <v>7.5</v>
      </c>
      <c r="AQ52">
        <v>11.5</v>
      </c>
      <c r="AR52">
        <v>0</v>
      </c>
      <c r="AS52">
        <v>0</v>
      </c>
      <c r="AT52">
        <v>4.5999999999999996</v>
      </c>
      <c r="AU52">
        <v>6.1</v>
      </c>
      <c r="AV52">
        <v>10.5</v>
      </c>
      <c r="AW52">
        <v>2</v>
      </c>
      <c r="AX52">
        <v>19.5</v>
      </c>
    </row>
    <row r="53" spans="1:50" x14ac:dyDescent="0.2">
      <c r="A53" s="1" t="s">
        <v>106</v>
      </c>
      <c r="B53" s="1" t="s">
        <v>26</v>
      </c>
      <c r="C53">
        <v>26</v>
      </c>
      <c r="D53" s="1" t="s">
        <v>104</v>
      </c>
      <c r="E53">
        <v>20</v>
      </c>
      <c r="F53">
        <v>20</v>
      </c>
      <c r="G53">
        <v>28.5</v>
      </c>
      <c r="H53">
        <v>6.6</v>
      </c>
      <c r="I53">
        <v>16.100000000000001</v>
      </c>
      <c r="J53">
        <v>0.41</v>
      </c>
      <c r="K53">
        <v>1</v>
      </c>
      <c r="L53">
        <v>4.3</v>
      </c>
      <c r="M53">
        <v>0.23499999999999999</v>
      </c>
      <c r="N53">
        <v>5.3</v>
      </c>
      <c r="O53">
        <v>5.9</v>
      </c>
      <c r="P53">
        <v>0.89700000000000002</v>
      </c>
      <c r="Q53">
        <v>0.4</v>
      </c>
      <c r="R53">
        <v>2.9</v>
      </c>
      <c r="S53">
        <v>3.3</v>
      </c>
      <c r="T53">
        <v>8.1</v>
      </c>
      <c r="U53">
        <v>1</v>
      </c>
      <c r="V53">
        <v>0.3</v>
      </c>
      <c r="W53">
        <v>3.6</v>
      </c>
      <c r="X53">
        <v>2</v>
      </c>
      <c r="Y53">
        <v>19.5</v>
      </c>
      <c r="AP53">
        <v>6.6</v>
      </c>
      <c r="AQ53">
        <v>16.100000000000001</v>
      </c>
      <c r="AR53">
        <v>1</v>
      </c>
      <c r="AS53">
        <v>4.3</v>
      </c>
      <c r="AT53">
        <v>5.3</v>
      </c>
      <c r="AU53">
        <v>5.9</v>
      </c>
      <c r="AV53">
        <v>3.3</v>
      </c>
      <c r="AW53">
        <v>8.1</v>
      </c>
      <c r="AX53">
        <v>19.5</v>
      </c>
    </row>
    <row r="54" spans="1:50" x14ac:dyDescent="0.2">
      <c r="A54" s="1" t="s">
        <v>107</v>
      </c>
      <c r="B54" s="1" t="s">
        <v>43</v>
      </c>
      <c r="C54">
        <v>26</v>
      </c>
      <c r="D54" s="1" t="s">
        <v>70</v>
      </c>
      <c r="E54">
        <v>48</v>
      </c>
      <c r="F54">
        <v>48</v>
      </c>
      <c r="G54">
        <v>30.3</v>
      </c>
      <c r="H54">
        <v>7.1</v>
      </c>
      <c r="I54">
        <v>15</v>
      </c>
      <c r="J54">
        <v>0.47599999999999998</v>
      </c>
      <c r="K54">
        <v>1.8</v>
      </c>
      <c r="L54">
        <v>4.9000000000000004</v>
      </c>
      <c r="M54">
        <v>0.35699999999999998</v>
      </c>
      <c r="N54">
        <v>3.4</v>
      </c>
      <c r="O54">
        <v>4.2</v>
      </c>
      <c r="P54">
        <v>0.80300000000000005</v>
      </c>
      <c r="Q54">
        <v>0.9</v>
      </c>
      <c r="R54">
        <v>4.8</v>
      </c>
      <c r="S54">
        <v>5.7</v>
      </c>
      <c r="T54">
        <v>2</v>
      </c>
      <c r="U54">
        <v>1.1000000000000001</v>
      </c>
      <c r="V54">
        <v>1.4</v>
      </c>
      <c r="W54">
        <v>2.2000000000000002</v>
      </c>
      <c r="X54">
        <v>3.7</v>
      </c>
      <c r="Y54">
        <v>19.399999999999999</v>
      </c>
      <c r="AP54">
        <v>7.1</v>
      </c>
      <c r="AQ54">
        <v>15</v>
      </c>
      <c r="AR54">
        <v>1.8</v>
      </c>
      <c r="AS54">
        <v>4.9000000000000004</v>
      </c>
      <c r="AT54">
        <v>3.4</v>
      </c>
      <c r="AU54">
        <v>4.2</v>
      </c>
      <c r="AV54">
        <v>5.7</v>
      </c>
      <c r="AW54">
        <v>2</v>
      </c>
      <c r="AX54">
        <v>19.399999999999999</v>
      </c>
    </row>
    <row r="55" spans="1:50" x14ac:dyDescent="0.2">
      <c r="A55" s="1" t="s">
        <v>107</v>
      </c>
      <c r="B55" s="1" t="s">
        <v>43</v>
      </c>
      <c r="C55">
        <v>26</v>
      </c>
      <c r="D55" s="1" t="s">
        <v>104</v>
      </c>
      <c r="E55">
        <v>45</v>
      </c>
      <c r="F55">
        <v>45</v>
      </c>
      <c r="G55">
        <v>30.7</v>
      </c>
      <c r="H55">
        <v>7.1</v>
      </c>
      <c r="I55">
        <v>14.9</v>
      </c>
      <c r="J55">
        <v>0.47499999999999998</v>
      </c>
      <c r="K55">
        <v>1.8</v>
      </c>
      <c r="L55">
        <v>4.9000000000000004</v>
      </c>
      <c r="M55">
        <v>0.35899999999999999</v>
      </c>
      <c r="N55">
        <v>3.3</v>
      </c>
      <c r="O55">
        <v>4.2</v>
      </c>
      <c r="P55">
        <v>0.79700000000000004</v>
      </c>
      <c r="Q55">
        <v>0.9</v>
      </c>
      <c r="R55">
        <v>4.8</v>
      </c>
      <c r="S55">
        <v>5.8</v>
      </c>
      <c r="T55">
        <v>1.9</v>
      </c>
      <c r="U55">
        <v>1</v>
      </c>
      <c r="V55">
        <v>1.5</v>
      </c>
      <c r="W55">
        <v>2.2000000000000002</v>
      </c>
      <c r="X55">
        <v>3.8</v>
      </c>
      <c r="Y55">
        <v>19.2</v>
      </c>
      <c r="AP55">
        <v>7.1</v>
      </c>
      <c r="AQ55">
        <v>14.9</v>
      </c>
      <c r="AR55">
        <v>1.8</v>
      </c>
      <c r="AS55">
        <v>4.9000000000000004</v>
      </c>
      <c r="AT55">
        <v>3.3</v>
      </c>
      <c r="AU55">
        <v>4.2</v>
      </c>
      <c r="AV55">
        <v>5.8</v>
      </c>
      <c r="AW55">
        <v>1.9</v>
      </c>
      <c r="AX55">
        <v>19.2</v>
      </c>
    </row>
    <row r="56" spans="1:50" x14ac:dyDescent="0.2">
      <c r="A56" s="1" t="s">
        <v>108</v>
      </c>
      <c r="B56" s="1" t="s">
        <v>31</v>
      </c>
      <c r="C56">
        <v>30</v>
      </c>
      <c r="D56" s="1" t="s">
        <v>109</v>
      </c>
      <c r="E56">
        <v>39</v>
      </c>
      <c r="F56">
        <v>37</v>
      </c>
      <c r="G56">
        <v>31.4</v>
      </c>
      <c r="H56">
        <v>6.7</v>
      </c>
      <c r="I56">
        <v>14</v>
      </c>
      <c r="J56">
        <v>0.47899999999999998</v>
      </c>
      <c r="K56">
        <v>2.5</v>
      </c>
      <c r="L56">
        <v>6.5</v>
      </c>
      <c r="M56">
        <v>0.39</v>
      </c>
      <c r="N56">
        <v>3.2</v>
      </c>
      <c r="O56">
        <v>3.6</v>
      </c>
      <c r="P56">
        <v>0.88</v>
      </c>
      <c r="Q56">
        <v>0.2</v>
      </c>
      <c r="R56">
        <v>2.6</v>
      </c>
      <c r="S56">
        <v>2.8</v>
      </c>
      <c r="T56">
        <v>2.2999999999999998</v>
      </c>
      <c r="U56">
        <v>0.7</v>
      </c>
      <c r="V56">
        <v>0.3</v>
      </c>
      <c r="W56">
        <v>1.9</v>
      </c>
      <c r="X56">
        <v>2.1</v>
      </c>
      <c r="Y56">
        <v>19.2</v>
      </c>
      <c r="AP56">
        <v>6.7</v>
      </c>
      <c r="AQ56">
        <v>14</v>
      </c>
      <c r="AR56">
        <v>2.5</v>
      </c>
      <c r="AS56">
        <v>6.5</v>
      </c>
      <c r="AT56">
        <v>3.2</v>
      </c>
      <c r="AU56">
        <v>3.6</v>
      </c>
      <c r="AV56">
        <v>2.8</v>
      </c>
      <c r="AW56">
        <v>2.2999999999999998</v>
      </c>
      <c r="AX56">
        <v>19.2</v>
      </c>
    </row>
    <row r="57" spans="1:50" x14ac:dyDescent="0.2">
      <c r="A57" s="1" t="s">
        <v>110</v>
      </c>
      <c r="B57" s="1" t="s">
        <v>34</v>
      </c>
      <c r="C57">
        <v>25</v>
      </c>
      <c r="D57" s="1" t="s">
        <v>83</v>
      </c>
      <c r="E57">
        <v>56</v>
      </c>
      <c r="F57">
        <v>56</v>
      </c>
      <c r="G57">
        <v>30.3</v>
      </c>
      <c r="H57">
        <v>7</v>
      </c>
      <c r="I57">
        <v>14.3</v>
      </c>
      <c r="J57">
        <v>0.48899999999999999</v>
      </c>
      <c r="K57">
        <v>1.7</v>
      </c>
      <c r="L57">
        <v>5</v>
      </c>
      <c r="M57">
        <v>0.33800000000000002</v>
      </c>
      <c r="N57">
        <v>3.5</v>
      </c>
      <c r="O57">
        <v>4.8</v>
      </c>
      <c r="P57">
        <v>0.71899999999999997</v>
      </c>
      <c r="Q57">
        <v>1</v>
      </c>
      <c r="R57">
        <v>4.3</v>
      </c>
      <c r="S57">
        <v>5.3</v>
      </c>
      <c r="T57">
        <v>3.3</v>
      </c>
      <c r="U57">
        <v>0.8</v>
      </c>
      <c r="V57">
        <v>0.3</v>
      </c>
      <c r="W57">
        <v>1.8</v>
      </c>
      <c r="X57">
        <v>2.5</v>
      </c>
      <c r="Y57">
        <v>19.100000000000001</v>
      </c>
      <c r="AP57">
        <v>7</v>
      </c>
      <c r="AQ57">
        <v>14.3</v>
      </c>
      <c r="AR57">
        <v>1.7</v>
      </c>
      <c r="AS57">
        <v>5</v>
      </c>
      <c r="AT57">
        <v>3.5</v>
      </c>
      <c r="AU57">
        <v>4.8</v>
      </c>
      <c r="AV57">
        <v>5.3</v>
      </c>
      <c r="AW57">
        <v>3.3</v>
      </c>
      <c r="AX57">
        <v>19.100000000000001</v>
      </c>
    </row>
    <row r="58" spans="1:50" x14ac:dyDescent="0.2">
      <c r="A58" s="1" t="s">
        <v>111</v>
      </c>
      <c r="B58" s="1" t="s">
        <v>26</v>
      </c>
      <c r="C58">
        <v>26</v>
      </c>
      <c r="D58" s="1" t="s">
        <v>70</v>
      </c>
      <c r="E58">
        <v>44</v>
      </c>
      <c r="F58">
        <v>42</v>
      </c>
      <c r="G58">
        <v>30</v>
      </c>
      <c r="H58">
        <v>6.9</v>
      </c>
      <c r="I58">
        <v>14.9</v>
      </c>
      <c r="J58">
        <v>0.46300000000000002</v>
      </c>
      <c r="K58">
        <v>2.8</v>
      </c>
      <c r="L58">
        <v>6.9</v>
      </c>
      <c r="M58">
        <v>0.39900000000000002</v>
      </c>
      <c r="N58">
        <v>2.2999999999999998</v>
      </c>
      <c r="O58">
        <v>2.7</v>
      </c>
      <c r="P58">
        <v>0.85799999999999998</v>
      </c>
      <c r="Q58">
        <v>0.4</v>
      </c>
      <c r="R58">
        <v>2</v>
      </c>
      <c r="S58">
        <v>2.4</v>
      </c>
      <c r="T58">
        <v>6.7</v>
      </c>
      <c r="U58">
        <v>1</v>
      </c>
      <c r="V58">
        <v>0.2</v>
      </c>
      <c r="W58">
        <v>2.9</v>
      </c>
      <c r="X58">
        <v>1.9</v>
      </c>
      <c r="Y58">
        <v>18.899999999999999</v>
      </c>
      <c r="AP58">
        <v>6.9</v>
      </c>
      <c r="AQ58">
        <v>14.9</v>
      </c>
      <c r="AR58">
        <v>2.8</v>
      </c>
      <c r="AS58">
        <v>6.9</v>
      </c>
      <c r="AT58">
        <v>2.2999999999999998</v>
      </c>
      <c r="AU58">
        <v>2.7</v>
      </c>
      <c r="AV58">
        <v>2.4</v>
      </c>
      <c r="AW58">
        <v>6.7</v>
      </c>
      <c r="AX58">
        <v>18.899999999999999</v>
      </c>
    </row>
    <row r="59" spans="1:50" x14ac:dyDescent="0.2">
      <c r="A59" s="1" t="s">
        <v>111</v>
      </c>
      <c r="B59" s="1" t="s">
        <v>26</v>
      </c>
      <c r="C59">
        <v>26</v>
      </c>
      <c r="D59" s="1" t="s">
        <v>41</v>
      </c>
      <c r="E59">
        <v>26</v>
      </c>
      <c r="F59">
        <v>26</v>
      </c>
      <c r="G59">
        <v>30.5</v>
      </c>
      <c r="H59">
        <v>6.5</v>
      </c>
      <c r="I59">
        <v>14.5</v>
      </c>
      <c r="J59">
        <v>0.45100000000000001</v>
      </c>
      <c r="K59">
        <v>2.2999999999999998</v>
      </c>
      <c r="L59">
        <v>6.3</v>
      </c>
      <c r="M59">
        <v>0.36</v>
      </c>
      <c r="N59">
        <v>2.6</v>
      </c>
      <c r="O59">
        <v>3</v>
      </c>
      <c r="P59">
        <v>0.86099999999999999</v>
      </c>
      <c r="Q59">
        <v>0.5</v>
      </c>
      <c r="R59">
        <v>2</v>
      </c>
      <c r="S59">
        <v>2.4</v>
      </c>
      <c r="T59">
        <v>6.9</v>
      </c>
      <c r="U59">
        <v>0.8</v>
      </c>
      <c r="V59">
        <v>0.1</v>
      </c>
      <c r="W59">
        <v>2.8</v>
      </c>
      <c r="X59">
        <v>1.8</v>
      </c>
      <c r="Y59">
        <v>18</v>
      </c>
      <c r="AP59">
        <v>6.5</v>
      </c>
      <c r="AQ59">
        <v>14.5</v>
      </c>
      <c r="AR59">
        <v>2.2999999999999998</v>
      </c>
      <c r="AS59">
        <v>6.3</v>
      </c>
      <c r="AT59">
        <v>2.6</v>
      </c>
      <c r="AU59">
        <v>3</v>
      </c>
      <c r="AV59">
        <v>2.4</v>
      </c>
      <c r="AW59">
        <v>6.9</v>
      </c>
      <c r="AX59">
        <v>18</v>
      </c>
    </row>
    <row r="60" spans="1:50" ht="17" thickBot="1" x14ac:dyDescent="0.25">
      <c r="A60" s="1" t="s">
        <v>111</v>
      </c>
      <c r="B60" s="1" t="s">
        <v>26</v>
      </c>
      <c r="C60">
        <v>26</v>
      </c>
      <c r="D60" s="1" t="s">
        <v>39</v>
      </c>
      <c r="E60">
        <v>18</v>
      </c>
      <c r="F60">
        <v>16</v>
      </c>
      <c r="G60">
        <v>29.2</v>
      </c>
      <c r="H60">
        <v>7.4</v>
      </c>
      <c r="I60">
        <v>15.4</v>
      </c>
      <c r="J60">
        <v>0.47799999999999998</v>
      </c>
      <c r="K60">
        <v>3.4</v>
      </c>
      <c r="L60">
        <v>7.7</v>
      </c>
      <c r="M60">
        <v>0.44600000000000001</v>
      </c>
      <c r="N60">
        <v>1.9</v>
      </c>
      <c r="O60">
        <v>2.2999999999999998</v>
      </c>
      <c r="P60">
        <v>0.85399999999999998</v>
      </c>
      <c r="Q60">
        <v>0.3</v>
      </c>
      <c r="R60">
        <v>2.1</v>
      </c>
      <c r="S60">
        <v>2.4</v>
      </c>
      <c r="T60">
        <v>6.4</v>
      </c>
      <c r="U60">
        <v>1.2</v>
      </c>
      <c r="V60">
        <v>0.3</v>
      </c>
      <c r="W60">
        <v>3.1</v>
      </c>
      <c r="X60">
        <v>1.9</v>
      </c>
      <c r="Y60">
        <v>20.2</v>
      </c>
      <c r="AP60">
        <v>7.4</v>
      </c>
      <c r="AQ60">
        <v>15.4</v>
      </c>
      <c r="AR60">
        <v>3.4</v>
      </c>
      <c r="AS60">
        <v>7.7</v>
      </c>
      <c r="AT60">
        <v>1.9</v>
      </c>
      <c r="AU60">
        <v>2.2999999999999998</v>
      </c>
      <c r="AV60">
        <v>2.4</v>
      </c>
      <c r="AW60">
        <v>6.4</v>
      </c>
      <c r="AX60">
        <v>20.2</v>
      </c>
    </row>
    <row r="61" spans="1:50" x14ac:dyDescent="0.2">
      <c r="A61" s="1" t="s">
        <v>112</v>
      </c>
      <c r="B61" s="1" t="s">
        <v>26</v>
      </c>
      <c r="C61">
        <v>34</v>
      </c>
      <c r="D61" s="1" t="s">
        <v>70</v>
      </c>
      <c r="E61">
        <v>76</v>
      </c>
      <c r="F61">
        <v>60</v>
      </c>
      <c r="G61">
        <v>29.8</v>
      </c>
      <c r="H61">
        <v>6.9</v>
      </c>
      <c r="I61">
        <v>15.2</v>
      </c>
      <c r="J61">
        <v>0.45500000000000002</v>
      </c>
      <c r="K61">
        <v>2.5</v>
      </c>
      <c r="L61">
        <v>6.7</v>
      </c>
      <c r="M61">
        <v>0.375</v>
      </c>
      <c r="N61">
        <v>2.4</v>
      </c>
      <c r="O61">
        <v>3.1</v>
      </c>
      <c r="P61">
        <v>0.77200000000000002</v>
      </c>
      <c r="Q61">
        <v>0.8</v>
      </c>
      <c r="R61">
        <v>2.5</v>
      </c>
      <c r="S61">
        <v>3.3</v>
      </c>
      <c r="T61">
        <v>3.9</v>
      </c>
      <c r="U61">
        <v>0.8</v>
      </c>
      <c r="V61">
        <v>0.5</v>
      </c>
      <c r="W61">
        <v>1.8</v>
      </c>
      <c r="X61">
        <v>1.9</v>
      </c>
      <c r="Y61">
        <v>18.7</v>
      </c>
      <c r="AA61" s="5"/>
      <c r="AB61" s="5" t="s">
        <v>7</v>
      </c>
      <c r="AC61" s="5" t="s">
        <v>8</v>
      </c>
      <c r="AD61" s="5" t="s">
        <v>10</v>
      </c>
      <c r="AE61" s="5" t="s">
        <v>11</v>
      </c>
      <c r="AF61" s="5" t="s">
        <v>13</v>
      </c>
      <c r="AG61" s="5" t="s">
        <v>14</v>
      </c>
      <c r="AH61" s="5" t="s">
        <v>18</v>
      </c>
      <c r="AI61" s="5" t="s">
        <v>19</v>
      </c>
      <c r="AJ61" s="5" t="s">
        <v>24</v>
      </c>
      <c r="AP61">
        <v>6.9</v>
      </c>
      <c r="AQ61">
        <v>15.2</v>
      </c>
      <c r="AR61">
        <v>2.5</v>
      </c>
      <c r="AS61">
        <v>6.7</v>
      </c>
      <c r="AT61">
        <v>2.4</v>
      </c>
      <c r="AU61">
        <v>3.1</v>
      </c>
      <c r="AV61">
        <v>3.3</v>
      </c>
      <c r="AW61">
        <v>3.9</v>
      </c>
      <c r="AX61">
        <v>18.7</v>
      </c>
    </row>
    <row r="62" spans="1:50" x14ac:dyDescent="0.2">
      <c r="A62" s="1" t="s">
        <v>112</v>
      </c>
      <c r="B62" s="1" t="s">
        <v>31</v>
      </c>
      <c r="C62">
        <v>34</v>
      </c>
      <c r="D62" s="1" t="s">
        <v>113</v>
      </c>
      <c r="E62">
        <v>35</v>
      </c>
      <c r="F62">
        <v>35</v>
      </c>
      <c r="G62">
        <v>30.9</v>
      </c>
      <c r="H62">
        <v>6.9</v>
      </c>
      <c r="I62">
        <v>15.1</v>
      </c>
      <c r="J62">
        <v>0.45400000000000001</v>
      </c>
      <c r="K62">
        <v>2.7</v>
      </c>
      <c r="L62">
        <v>7</v>
      </c>
      <c r="M62">
        <v>0.39300000000000002</v>
      </c>
      <c r="N62">
        <v>2.2999999999999998</v>
      </c>
      <c r="O62">
        <v>2.9</v>
      </c>
      <c r="P62">
        <v>0.80400000000000005</v>
      </c>
      <c r="Q62">
        <v>0.7</v>
      </c>
      <c r="R62">
        <v>2.9</v>
      </c>
      <c r="S62">
        <v>3.5</v>
      </c>
      <c r="T62">
        <v>3.6</v>
      </c>
      <c r="U62">
        <v>0.7</v>
      </c>
      <c r="V62">
        <v>0.3</v>
      </c>
      <c r="W62">
        <v>1.7</v>
      </c>
      <c r="X62">
        <v>2.1</v>
      </c>
      <c r="Y62">
        <v>18.8</v>
      </c>
      <c r="AA62" t="s">
        <v>7</v>
      </c>
      <c r="AB62" s="3">
        <v>1</v>
      </c>
      <c r="AC62" s="3"/>
      <c r="AD62" s="3"/>
      <c r="AE62" s="3"/>
      <c r="AF62" s="3"/>
      <c r="AG62" s="3"/>
      <c r="AH62" s="3"/>
      <c r="AI62" s="3"/>
      <c r="AJ62" s="3"/>
      <c r="AP62">
        <v>6.9</v>
      </c>
      <c r="AQ62">
        <v>15.1</v>
      </c>
      <c r="AR62">
        <v>2.7</v>
      </c>
      <c r="AS62">
        <v>7</v>
      </c>
      <c r="AT62">
        <v>2.2999999999999998</v>
      </c>
      <c r="AU62">
        <v>2.9</v>
      </c>
      <c r="AV62">
        <v>3.5</v>
      </c>
      <c r="AW62">
        <v>3.6</v>
      </c>
      <c r="AX62">
        <v>18.8</v>
      </c>
    </row>
    <row r="63" spans="1:50" x14ac:dyDescent="0.2">
      <c r="A63" s="1" t="s">
        <v>112</v>
      </c>
      <c r="B63" s="1" t="s">
        <v>26</v>
      </c>
      <c r="C63">
        <v>34</v>
      </c>
      <c r="D63" s="1" t="s">
        <v>74</v>
      </c>
      <c r="E63">
        <v>41</v>
      </c>
      <c r="F63">
        <v>25</v>
      </c>
      <c r="G63">
        <v>28.8</v>
      </c>
      <c r="H63">
        <v>7</v>
      </c>
      <c r="I63">
        <v>15.2</v>
      </c>
      <c r="J63">
        <v>0.45600000000000002</v>
      </c>
      <c r="K63">
        <v>2.2999999999999998</v>
      </c>
      <c r="L63">
        <v>6.5</v>
      </c>
      <c r="M63">
        <v>0.35699999999999998</v>
      </c>
      <c r="N63">
        <v>2.5</v>
      </c>
      <c r="O63">
        <v>3.3</v>
      </c>
      <c r="P63">
        <v>0.748</v>
      </c>
      <c r="Q63">
        <v>1</v>
      </c>
      <c r="R63">
        <v>2.2000000000000002</v>
      </c>
      <c r="S63">
        <v>3.1</v>
      </c>
      <c r="T63">
        <v>4.0999999999999996</v>
      </c>
      <c r="U63">
        <v>1</v>
      </c>
      <c r="V63">
        <v>0.6</v>
      </c>
      <c r="W63">
        <v>1.9</v>
      </c>
      <c r="X63">
        <v>1.7</v>
      </c>
      <c r="Y63">
        <v>18.7</v>
      </c>
      <c r="AA63" t="s">
        <v>8</v>
      </c>
      <c r="AB63" s="6">
        <v>0.97587688483083868</v>
      </c>
      <c r="AC63" s="3">
        <v>1</v>
      </c>
      <c r="AD63" s="3"/>
      <c r="AE63" s="3"/>
      <c r="AF63" s="3"/>
      <c r="AG63" s="3"/>
      <c r="AH63" s="3"/>
      <c r="AI63" s="3"/>
      <c r="AJ63" s="3"/>
      <c r="AP63">
        <v>7</v>
      </c>
      <c r="AQ63">
        <v>15.2</v>
      </c>
      <c r="AR63">
        <v>2.2999999999999998</v>
      </c>
      <c r="AS63">
        <v>6.5</v>
      </c>
      <c r="AT63">
        <v>2.5</v>
      </c>
      <c r="AU63">
        <v>3.3</v>
      </c>
      <c r="AV63">
        <v>3.1</v>
      </c>
      <c r="AW63">
        <v>4.0999999999999996</v>
      </c>
      <c r="AX63">
        <v>18.7</v>
      </c>
    </row>
    <row r="64" spans="1:50" x14ac:dyDescent="0.2">
      <c r="A64" s="1" t="s">
        <v>114</v>
      </c>
      <c r="B64" s="1" t="s">
        <v>23</v>
      </c>
      <c r="C64">
        <v>31</v>
      </c>
      <c r="D64" s="1" t="s">
        <v>62</v>
      </c>
      <c r="E64">
        <v>57</v>
      </c>
      <c r="F64">
        <v>38</v>
      </c>
      <c r="G64">
        <v>29.7</v>
      </c>
      <c r="H64">
        <v>5.8</v>
      </c>
      <c r="I64">
        <v>12.8</v>
      </c>
      <c r="J64">
        <v>0.45300000000000001</v>
      </c>
      <c r="K64">
        <v>2.4</v>
      </c>
      <c r="L64">
        <v>6.1</v>
      </c>
      <c r="M64">
        <v>0.38900000000000001</v>
      </c>
      <c r="N64">
        <v>4.5999999999999996</v>
      </c>
      <c r="O64">
        <v>5.6</v>
      </c>
      <c r="P64">
        <v>0.81399999999999995</v>
      </c>
      <c r="Q64">
        <v>1</v>
      </c>
      <c r="R64">
        <v>2.5</v>
      </c>
      <c r="S64">
        <v>3.5</v>
      </c>
      <c r="T64">
        <v>2.1</v>
      </c>
      <c r="U64">
        <v>0.7</v>
      </c>
      <c r="V64">
        <v>0.6</v>
      </c>
      <c r="W64">
        <v>2.1</v>
      </c>
      <c r="X64">
        <v>2.5</v>
      </c>
      <c r="Y64">
        <v>18.600000000000001</v>
      </c>
      <c r="AA64" t="s">
        <v>10</v>
      </c>
      <c r="AB64" s="6">
        <v>0.6360641036728486</v>
      </c>
      <c r="AC64" s="6">
        <v>0.73031522569749641</v>
      </c>
      <c r="AD64" s="3">
        <v>1</v>
      </c>
      <c r="AE64" s="3"/>
      <c r="AF64" s="3"/>
      <c r="AG64" s="3"/>
      <c r="AH64" s="3"/>
      <c r="AI64" s="3"/>
      <c r="AJ64" s="3"/>
      <c r="AP64">
        <v>5.8</v>
      </c>
      <c r="AQ64">
        <v>12.8</v>
      </c>
      <c r="AR64">
        <v>2.4</v>
      </c>
      <c r="AS64">
        <v>6.1</v>
      </c>
      <c r="AT64">
        <v>4.5999999999999996</v>
      </c>
      <c r="AU64">
        <v>5.6</v>
      </c>
      <c r="AV64">
        <v>3.5</v>
      </c>
      <c r="AW64">
        <v>2.1</v>
      </c>
      <c r="AX64">
        <v>18.600000000000001</v>
      </c>
    </row>
    <row r="65" spans="1:50" x14ac:dyDescent="0.2">
      <c r="A65" s="1" t="s">
        <v>115</v>
      </c>
      <c r="B65" s="1" t="s">
        <v>34</v>
      </c>
      <c r="C65">
        <v>20</v>
      </c>
      <c r="D65" s="1" t="s">
        <v>98</v>
      </c>
      <c r="E65">
        <v>80</v>
      </c>
      <c r="F65">
        <v>79</v>
      </c>
      <c r="G65">
        <v>31.5</v>
      </c>
      <c r="H65">
        <v>6.4</v>
      </c>
      <c r="I65">
        <v>13.4</v>
      </c>
      <c r="J65">
        <v>0.47699999999999998</v>
      </c>
      <c r="K65">
        <v>3.4</v>
      </c>
      <c r="L65">
        <v>7.9</v>
      </c>
      <c r="M65">
        <v>0.42699999999999999</v>
      </c>
      <c r="N65">
        <v>2.4</v>
      </c>
      <c r="O65">
        <v>2.8</v>
      </c>
      <c r="P65">
        <v>0.86199999999999999</v>
      </c>
      <c r="Q65">
        <v>1.2</v>
      </c>
      <c r="R65">
        <v>4.0999999999999996</v>
      </c>
      <c r="S65">
        <v>5.3</v>
      </c>
      <c r="T65">
        <v>3.4</v>
      </c>
      <c r="U65">
        <v>0.7</v>
      </c>
      <c r="V65">
        <v>0.2</v>
      </c>
      <c r="W65">
        <v>2</v>
      </c>
      <c r="X65">
        <v>2.1</v>
      </c>
      <c r="Y65">
        <v>18.600000000000001</v>
      </c>
      <c r="AA65" t="s">
        <v>11</v>
      </c>
      <c r="AB65" s="6">
        <v>0.65082451326374635</v>
      </c>
      <c r="AC65" s="6">
        <v>0.76246619949370786</v>
      </c>
      <c r="AD65" s="6">
        <v>0.98191534968638738</v>
      </c>
      <c r="AE65" s="3">
        <v>1</v>
      </c>
      <c r="AF65" s="3"/>
      <c r="AG65" s="3"/>
      <c r="AH65" s="3"/>
      <c r="AI65" s="3"/>
      <c r="AJ65" s="3"/>
      <c r="AP65">
        <v>6.4</v>
      </c>
      <c r="AQ65">
        <v>13.4</v>
      </c>
      <c r="AR65">
        <v>3.4</v>
      </c>
      <c r="AS65">
        <v>7.9</v>
      </c>
      <c r="AT65">
        <v>2.4</v>
      </c>
      <c r="AU65">
        <v>2.8</v>
      </c>
      <c r="AV65">
        <v>5.3</v>
      </c>
      <c r="AW65">
        <v>3.4</v>
      </c>
      <c r="AX65">
        <v>18.600000000000001</v>
      </c>
    </row>
    <row r="66" spans="1:50" x14ac:dyDescent="0.2">
      <c r="A66" s="1" t="s">
        <v>116</v>
      </c>
      <c r="B66" s="1" t="s">
        <v>26</v>
      </c>
      <c r="C66">
        <v>28</v>
      </c>
      <c r="D66" s="1" t="s">
        <v>60</v>
      </c>
      <c r="E66">
        <v>71</v>
      </c>
      <c r="F66">
        <v>71</v>
      </c>
      <c r="G66">
        <v>31</v>
      </c>
      <c r="H66">
        <v>7.1</v>
      </c>
      <c r="I66">
        <v>14.5</v>
      </c>
      <c r="J66">
        <v>0.48799999999999999</v>
      </c>
      <c r="K66">
        <v>1.8</v>
      </c>
      <c r="L66">
        <v>5.4</v>
      </c>
      <c r="M66">
        <v>0.33300000000000002</v>
      </c>
      <c r="N66">
        <v>2.6</v>
      </c>
      <c r="O66">
        <v>3.4</v>
      </c>
      <c r="P66">
        <v>0.75600000000000001</v>
      </c>
      <c r="Q66">
        <v>0.6</v>
      </c>
      <c r="R66">
        <v>3.1</v>
      </c>
      <c r="S66">
        <v>3.7</v>
      </c>
      <c r="T66">
        <v>6.2</v>
      </c>
      <c r="U66">
        <v>1.3</v>
      </c>
      <c r="V66">
        <v>0.3</v>
      </c>
      <c r="W66">
        <v>2.2999999999999998</v>
      </c>
      <c r="X66">
        <v>2.2999999999999998</v>
      </c>
      <c r="Y66">
        <v>18.5</v>
      </c>
      <c r="AA66" t="s">
        <v>13</v>
      </c>
      <c r="AB66" s="6">
        <v>0.8470448738491887</v>
      </c>
      <c r="AC66" s="6">
        <v>0.83532956482335385</v>
      </c>
      <c r="AD66" s="6">
        <v>0.45276444794180803</v>
      </c>
      <c r="AE66" s="6">
        <v>0.4910610622430483</v>
      </c>
      <c r="AF66" s="3">
        <v>1</v>
      </c>
      <c r="AG66" s="3"/>
      <c r="AH66" s="3"/>
      <c r="AI66" s="3"/>
      <c r="AJ66" s="3"/>
      <c r="AP66">
        <v>7.1</v>
      </c>
      <c r="AQ66">
        <v>14.5</v>
      </c>
      <c r="AR66">
        <v>1.8</v>
      </c>
      <c r="AS66">
        <v>5.4</v>
      </c>
      <c r="AT66">
        <v>2.6</v>
      </c>
      <c r="AU66">
        <v>3.4</v>
      </c>
      <c r="AV66">
        <v>3.7</v>
      </c>
      <c r="AW66">
        <v>6.2</v>
      </c>
      <c r="AX66">
        <v>18.5</v>
      </c>
    </row>
    <row r="67" spans="1:50" x14ac:dyDescent="0.2">
      <c r="A67" s="1" t="s">
        <v>117</v>
      </c>
      <c r="B67" s="1" t="s">
        <v>23</v>
      </c>
      <c r="C67">
        <v>36</v>
      </c>
      <c r="D67" s="1" t="s">
        <v>109</v>
      </c>
      <c r="E67">
        <v>77</v>
      </c>
      <c r="F67">
        <v>77</v>
      </c>
      <c r="G67">
        <v>31.2</v>
      </c>
      <c r="H67">
        <v>6.5</v>
      </c>
      <c r="I67">
        <v>13.1</v>
      </c>
      <c r="J67">
        <v>0.497</v>
      </c>
      <c r="K67">
        <v>0.6</v>
      </c>
      <c r="L67">
        <v>1.9</v>
      </c>
      <c r="M67">
        <v>0.32</v>
      </c>
      <c r="N67">
        <v>4.9000000000000004</v>
      </c>
      <c r="O67">
        <v>5.6</v>
      </c>
      <c r="P67">
        <v>0.86799999999999999</v>
      </c>
      <c r="Q67">
        <v>0.5</v>
      </c>
      <c r="R67">
        <v>2.5</v>
      </c>
      <c r="S67">
        <v>2.9</v>
      </c>
      <c r="T67">
        <v>4.0999999999999996</v>
      </c>
      <c r="U67">
        <v>1</v>
      </c>
      <c r="V67">
        <v>0.3</v>
      </c>
      <c r="W67">
        <v>1.2</v>
      </c>
      <c r="X67">
        <v>1.9</v>
      </c>
      <c r="Y67">
        <v>18.399999999999999</v>
      </c>
      <c r="AA67" t="s">
        <v>14</v>
      </c>
      <c r="AB67" s="6">
        <v>0.84949794018874714</v>
      </c>
      <c r="AC67" s="6">
        <v>0.82327698390209358</v>
      </c>
      <c r="AD67" s="6">
        <v>0.39998884501261839</v>
      </c>
      <c r="AE67" s="6">
        <v>0.43744270173122984</v>
      </c>
      <c r="AF67" s="6">
        <v>0.98972269057289286</v>
      </c>
      <c r="AG67" s="3">
        <v>1</v>
      </c>
      <c r="AH67" s="3"/>
      <c r="AI67" s="3"/>
      <c r="AJ67" s="3"/>
      <c r="AP67">
        <v>6.5</v>
      </c>
      <c r="AQ67">
        <v>13.1</v>
      </c>
      <c r="AR67">
        <v>0.6</v>
      </c>
      <c r="AS67">
        <v>1.9</v>
      </c>
      <c r="AT67">
        <v>4.9000000000000004</v>
      </c>
      <c r="AU67">
        <v>5.6</v>
      </c>
      <c r="AV67">
        <v>2.9</v>
      </c>
      <c r="AW67">
        <v>4.0999999999999996</v>
      </c>
      <c r="AX67">
        <v>18.399999999999999</v>
      </c>
    </row>
    <row r="68" spans="1:50" x14ac:dyDescent="0.2">
      <c r="A68" s="1" t="s">
        <v>118</v>
      </c>
      <c r="B68" s="1" t="s">
        <v>26</v>
      </c>
      <c r="C68">
        <v>23</v>
      </c>
      <c r="D68" s="1" t="s">
        <v>57</v>
      </c>
      <c r="E68">
        <v>79</v>
      </c>
      <c r="F68">
        <v>79</v>
      </c>
      <c r="G68">
        <v>37.4</v>
      </c>
      <c r="H68">
        <v>7.1</v>
      </c>
      <c r="I68">
        <v>13.2</v>
      </c>
      <c r="J68">
        <v>0.53400000000000003</v>
      </c>
      <c r="K68">
        <v>0.3</v>
      </c>
      <c r="L68">
        <v>1.5</v>
      </c>
      <c r="M68">
        <v>0.216</v>
      </c>
      <c r="N68">
        <v>3.8</v>
      </c>
      <c r="O68">
        <v>4.9000000000000004</v>
      </c>
      <c r="P68">
        <v>0.77900000000000003</v>
      </c>
      <c r="Q68">
        <v>3</v>
      </c>
      <c r="R68">
        <v>4.8</v>
      </c>
      <c r="S68">
        <v>7.8</v>
      </c>
      <c r="T68">
        <v>5.3</v>
      </c>
      <c r="U68">
        <v>1.5</v>
      </c>
      <c r="V68">
        <v>0.6</v>
      </c>
      <c r="W68">
        <v>2.4</v>
      </c>
      <c r="X68">
        <v>2.2000000000000002</v>
      </c>
      <c r="Y68">
        <v>18.3</v>
      </c>
      <c r="AA68" t="s">
        <v>18</v>
      </c>
      <c r="AB68" s="6">
        <v>0.618824391586277</v>
      </c>
      <c r="AC68" s="6">
        <v>0.52430917599210636</v>
      </c>
      <c r="AD68" s="6">
        <v>0.10276056527209147</v>
      </c>
      <c r="AE68" s="6">
        <v>0.11302796281803155</v>
      </c>
      <c r="AF68" s="6">
        <v>0.49508045233074427</v>
      </c>
      <c r="AG68" s="6">
        <v>0.55409449975058123</v>
      </c>
      <c r="AH68" s="3">
        <v>1</v>
      </c>
      <c r="AI68" s="3"/>
      <c r="AJ68" s="3"/>
      <c r="AP68">
        <v>7.1</v>
      </c>
      <c r="AQ68">
        <v>13.2</v>
      </c>
      <c r="AR68">
        <v>0.3</v>
      </c>
      <c r="AS68">
        <v>1.5</v>
      </c>
      <c r="AT68">
        <v>3.8</v>
      </c>
      <c r="AU68">
        <v>4.9000000000000004</v>
      </c>
      <c r="AV68">
        <v>7.8</v>
      </c>
      <c r="AW68">
        <v>5.3</v>
      </c>
      <c r="AX68">
        <v>18.3</v>
      </c>
    </row>
    <row r="69" spans="1:50" x14ac:dyDescent="0.2">
      <c r="A69" s="1" t="s">
        <v>119</v>
      </c>
      <c r="B69" s="1" t="s">
        <v>23</v>
      </c>
      <c r="C69">
        <v>24</v>
      </c>
      <c r="D69" s="1" t="s">
        <v>41</v>
      </c>
      <c r="E69">
        <v>65</v>
      </c>
      <c r="F69">
        <v>63</v>
      </c>
      <c r="G69">
        <v>31.9</v>
      </c>
      <c r="H69">
        <v>7.2</v>
      </c>
      <c r="I69">
        <v>13.2</v>
      </c>
      <c r="J69">
        <v>0.54600000000000004</v>
      </c>
      <c r="K69">
        <v>1</v>
      </c>
      <c r="L69">
        <v>3.2</v>
      </c>
      <c r="M69">
        <v>0.29699999999999999</v>
      </c>
      <c r="N69">
        <v>2.8</v>
      </c>
      <c r="O69">
        <v>4.5999999999999996</v>
      </c>
      <c r="P69">
        <v>0.60599999999999998</v>
      </c>
      <c r="Q69">
        <v>2.4</v>
      </c>
      <c r="R69">
        <v>6.6</v>
      </c>
      <c r="S69">
        <v>9</v>
      </c>
      <c r="T69">
        <v>3.6</v>
      </c>
      <c r="U69">
        <v>0.7</v>
      </c>
      <c r="V69">
        <v>1.7</v>
      </c>
      <c r="W69">
        <v>1.9</v>
      </c>
      <c r="X69">
        <v>2.4</v>
      </c>
      <c r="Y69">
        <v>18.2</v>
      </c>
      <c r="AA69" t="s">
        <v>19</v>
      </c>
      <c r="AB69" s="6">
        <v>0.7114328408170747</v>
      </c>
      <c r="AC69" s="6">
        <v>0.74228378493361813</v>
      </c>
      <c r="AD69" s="6">
        <v>0.4980149468421986</v>
      </c>
      <c r="AE69" s="6">
        <v>0.53381037193124381</v>
      </c>
      <c r="AF69" s="6">
        <v>0.6733108294538539</v>
      </c>
      <c r="AG69" s="6">
        <v>0.6605736037804375</v>
      </c>
      <c r="AH69" s="6">
        <v>0.33289636864148286</v>
      </c>
      <c r="AI69" s="3">
        <v>1</v>
      </c>
      <c r="AJ69" s="3"/>
      <c r="AP69">
        <v>7.2</v>
      </c>
      <c r="AQ69">
        <v>13.2</v>
      </c>
      <c r="AR69">
        <v>1</v>
      </c>
      <c r="AS69">
        <v>3.2</v>
      </c>
      <c r="AT69">
        <v>2.8</v>
      </c>
      <c r="AU69">
        <v>4.5999999999999996</v>
      </c>
      <c r="AV69">
        <v>9</v>
      </c>
      <c r="AW69">
        <v>3.6</v>
      </c>
      <c r="AX69">
        <v>18.2</v>
      </c>
    </row>
    <row r="70" spans="1:50" ht="17" thickBot="1" x14ac:dyDescent="0.25">
      <c r="A70" s="1" t="s">
        <v>120</v>
      </c>
      <c r="B70" s="1" t="s">
        <v>23</v>
      </c>
      <c r="C70">
        <v>24</v>
      </c>
      <c r="D70" s="1" t="s">
        <v>83</v>
      </c>
      <c r="E70">
        <v>79</v>
      </c>
      <c r="F70">
        <v>79</v>
      </c>
      <c r="G70">
        <v>33.5</v>
      </c>
      <c r="H70">
        <v>7.1</v>
      </c>
      <c r="I70">
        <v>14.1</v>
      </c>
      <c r="J70">
        <v>0.504</v>
      </c>
      <c r="K70">
        <v>0.9</v>
      </c>
      <c r="L70">
        <v>2.8</v>
      </c>
      <c r="M70">
        <v>0.30399999999999999</v>
      </c>
      <c r="N70">
        <v>3</v>
      </c>
      <c r="O70">
        <v>3.7</v>
      </c>
      <c r="P70">
        <v>0.81399999999999995</v>
      </c>
      <c r="Q70">
        <v>1.9</v>
      </c>
      <c r="R70">
        <v>5.6</v>
      </c>
      <c r="S70">
        <v>7.4</v>
      </c>
      <c r="T70">
        <v>5.8</v>
      </c>
      <c r="U70">
        <v>1.4</v>
      </c>
      <c r="V70">
        <v>1.4</v>
      </c>
      <c r="W70">
        <v>2.6</v>
      </c>
      <c r="X70">
        <v>2.7</v>
      </c>
      <c r="Y70">
        <v>18.100000000000001</v>
      </c>
      <c r="AA70" s="4" t="s">
        <v>24</v>
      </c>
      <c r="AB70" s="7">
        <v>0.98917020438987091</v>
      </c>
      <c r="AC70" s="7">
        <v>0.98259586898289564</v>
      </c>
      <c r="AD70" s="7">
        <v>0.69070510164695298</v>
      </c>
      <c r="AE70" s="7">
        <v>0.70778579075261561</v>
      </c>
      <c r="AF70" s="7">
        <v>0.89270138883677708</v>
      </c>
      <c r="AG70" s="7">
        <v>0.88477299744490723</v>
      </c>
      <c r="AH70" s="7">
        <v>0.56513557115457191</v>
      </c>
      <c r="AI70" s="7">
        <v>0.72672002186930051</v>
      </c>
      <c r="AJ70" s="4">
        <v>1</v>
      </c>
      <c r="AP70">
        <v>7.1</v>
      </c>
      <c r="AQ70">
        <v>14.1</v>
      </c>
      <c r="AR70">
        <v>0.9</v>
      </c>
      <c r="AS70">
        <v>2.8</v>
      </c>
      <c r="AT70">
        <v>3</v>
      </c>
      <c r="AU70">
        <v>3.7</v>
      </c>
      <c r="AV70">
        <v>7.4</v>
      </c>
      <c r="AW70">
        <v>5.8</v>
      </c>
      <c r="AX70">
        <v>18.100000000000001</v>
      </c>
    </row>
    <row r="71" spans="1:50" x14ac:dyDescent="0.2">
      <c r="A71" s="1" t="s">
        <v>121</v>
      </c>
      <c r="B71" s="1" t="s">
        <v>26</v>
      </c>
      <c r="C71">
        <v>27</v>
      </c>
      <c r="D71" s="1" t="s">
        <v>70</v>
      </c>
      <c r="E71">
        <v>15</v>
      </c>
      <c r="F71">
        <v>15</v>
      </c>
      <c r="G71">
        <v>25.6</v>
      </c>
      <c r="H71">
        <v>5.4</v>
      </c>
      <c r="I71">
        <v>11.8</v>
      </c>
      <c r="J71">
        <v>0.45800000000000002</v>
      </c>
      <c r="K71">
        <v>1.8</v>
      </c>
      <c r="L71">
        <v>5.3</v>
      </c>
      <c r="M71">
        <v>0.33800000000000002</v>
      </c>
      <c r="N71">
        <v>5.3</v>
      </c>
      <c r="O71">
        <v>6.5</v>
      </c>
      <c r="P71">
        <v>0.82499999999999996</v>
      </c>
      <c r="Q71">
        <v>0.3</v>
      </c>
      <c r="R71">
        <v>1.7</v>
      </c>
      <c r="S71">
        <v>2</v>
      </c>
      <c r="T71">
        <v>8</v>
      </c>
      <c r="U71">
        <v>0.9</v>
      </c>
      <c r="V71">
        <v>0.1</v>
      </c>
      <c r="W71">
        <v>2.6</v>
      </c>
      <c r="X71">
        <v>2.2000000000000002</v>
      </c>
      <c r="Y71">
        <v>17.899999999999999</v>
      </c>
      <c r="AI71" s="6"/>
      <c r="AP71">
        <v>5.4</v>
      </c>
      <c r="AQ71">
        <v>11.8</v>
      </c>
      <c r="AR71">
        <v>1.8</v>
      </c>
      <c r="AS71">
        <v>5.3</v>
      </c>
      <c r="AT71">
        <v>5.3</v>
      </c>
      <c r="AU71">
        <v>6.5</v>
      </c>
      <c r="AV71">
        <v>2</v>
      </c>
      <c r="AW71">
        <v>8</v>
      </c>
      <c r="AX71">
        <v>17.899999999999999</v>
      </c>
    </row>
    <row r="72" spans="1:50" x14ac:dyDescent="0.2">
      <c r="A72" s="1" t="s">
        <v>121</v>
      </c>
      <c r="B72" s="1" t="s">
        <v>26</v>
      </c>
      <c r="C72">
        <v>27</v>
      </c>
      <c r="D72" s="1" t="s">
        <v>74</v>
      </c>
      <c r="E72">
        <v>10</v>
      </c>
      <c r="F72">
        <v>10</v>
      </c>
      <c r="G72">
        <v>28</v>
      </c>
      <c r="H72">
        <v>5.6</v>
      </c>
      <c r="I72">
        <v>13.5</v>
      </c>
      <c r="J72">
        <v>0.41499999999999998</v>
      </c>
      <c r="K72">
        <v>1.8</v>
      </c>
      <c r="L72">
        <v>5.9</v>
      </c>
      <c r="M72">
        <v>0.30499999999999999</v>
      </c>
      <c r="N72">
        <v>6.3</v>
      </c>
      <c r="O72">
        <v>7.3</v>
      </c>
      <c r="P72">
        <v>0.86299999999999999</v>
      </c>
      <c r="Q72">
        <v>0</v>
      </c>
      <c r="R72">
        <v>1.5</v>
      </c>
      <c r="S72">
        <v>1.5</v>
      </c>
      <c r="T72">
        <v>8.9</v>
      </c>
      <c r="U72">
        <v>1</v>
      </c>
      <c r="V72">
        <v>0.1</v>
      </c>
      <c r="W72">
        <v>2.6</v>
      </c>
      <c r="X72">
        <v>2</v>
      </c>
      <c r="Y72">
        <v>19.3</v>
      </c>
      <c r="AP72">
        <v>5.6</v>
      </c>
      <c r="AQ72">
        <v>13.5</v>
      </c>
      <c r="AR72">
        <v>1.8</v>
      </c>
      <c r="AS72">
        <v>5.9</v>
      </c>
      <c r="AT72">
        <v>6.3</v>
      </c>
      <c r="AU72">
        <v>7.3</v>
      </c>
      <c r="AV72">
        <v>1.5</v>
      </c>
      <c r="AW72">
        <v>8.9</v>
      </c>
      <c r="AX72">
        <v>19.3</v>
      </c>
    </row>
    <row r="73" spans="1:50" x14ac:dyDescent="0.2">
      <c r="A73" s="1" t="s">
        <v>122</v>
      </c>
      <c r="B73" s="1" t="s">
        <v>31</v>
      </c>
      <c r="C73">
        <v>23</v>
      </c>
      <c r="D73" s="1" t="s">
        <v>53</v>
      </c>
      <c r="E73">
        <v>32</v>
      </c>
      <c r="F73">
        <v>27</v>
      </c>
      <c r="G73">
        <v>25.9</v>
      </c>
      <c r="H73">
        <v>6.8</v>
      </c>
      <c r="I73">
        <v>16</v>
      </c>
      <c r="J73">
        <v>0.42199999999999999</v>
      </c>
      <c r="K73">
        <v>2.2000000000000002</v>
      </c>
      <c r="L73">
        <v>7.1</v>
      </c>
      <c r="M73">
        <v>0.313</v>
      </c>
      <c r="N73">
        <v>2</v>
      </c>
      <c r="O73">
        <v>2.7</v>
      </c>
      <c r="P73">
        <v>0.747</v>
      </c>
      <c r="Q73">
        <v>0.5</v>
      </c>
      <c r="R73">
        <v>3.1</v>
      </c>
      <c r="S73">
        <v>3.6</v>
      </c>
      <c r="T73">
        <v>2.8</v>
      </c>
      <c r="U73">
        <v>1.1000000000000001</v>
      </c>
      <c r="V73">
        <v>0.3</v>
      </c>
      <c r="W73">
        <v>2.2999999999999998</v>
      </c>
      <c r="X73">
        <v>1.3</v>
      </c>
      <c r="Y73">
        <v>17.8</v>
      </c>
      <c r="AP73">
        <v>6.8</v>
      </c>
      <c r="AQ73">
        <v>16</v>
      </c>
      <c r="AR73">
        <v>2.2000000000000002</v>
      </c>
      <c r="AS73">
        <v>7.1</v>
      </c>
      <c r="AT73">
        <v>2</v>
      </c>
      <c r="AU73">
        <v>2.7</v>
      </c>
      <c r="AV73">
        <v>3.6</v>
      </c>
      <c r="AW73">
        <v>2.8</v>
      </c>
      <c r="AX73">
        <v>17.8</v>
      </c>
    </row>
    <row r="74" spans="1:50" x14ac:dyDescent="0.2">
      <c r="A74" s="1" t="s">
        <v>123</v>
      </c>
      <c r="B74" s="1" t="s">
        <v>34</v>
      </c>
      <c r="C74">
        <v>26</v>
      </c>
      <c r="D74" s="1" t="s">
        <v>81</v>
      </c>
      <c r="E74">
        <v>72</v>
      </c>
      <c r="F74">
        <v>64</v>
      </c>
      <c r="G74">
        <v>31.2</v>
      </c>
      <c r="H74">
        <v>6.1</v>
      </c>
      <c r="I74">
        <v>13.4</v>
      </c>
      <c r="J74">
        <v>0.45100000000000001</v>
      </c>
      <c r="K74">
        <v>2.1</v>
      </c>
      <c r="L74">
        <v>5.7</v>
      </c>
      <c r="M74">
        <v>0.36699999999999999</v>
      </c>
      <c r="N74">
        <v>3.4</v>
      </c>
      <c r="O74">
        <v>4.0999999999999996</v>
      </c>
      <c r="P74">
        <v>0.84099999999999997</v>
      </c>
      <c r="Q74">
        <v>1.7</v>
      </c>
      <c r="R74">
        <v>3.9</v>
      </c>
      <c r="S74">
        <v>5.6</v>
      </c>
      <c r="T74">
        <v>2.5</v>
      </c>
      <c r="U74">
        <v>0.9</v>
      </c>
      <c r="V74">
        <v>0.1</v>
      </c>
      <c r="W74">
        <v>0.9</v>
      </c>
      <c r="X74">
        <v>1.3</v>
      </c>
      <c r="Y74">
        <v>17.7</v>
      </c>
      <c r="AP74">
        <v>6.1</v>
      </c>
      <c r="AQ74">
        <v>13.4</v>
      </c>
      <c r="AR74">
        <v>2.1</v>
      </c>
      <c r="AS74">
        <v>5.7</v>
      </c>
      <c r="AT74">
        <v>3.4</v>
      </c>
      <c r="AU74">
        <v>4.0999999999999996</v>
      </c>
      <c r="AV74">
        <v>5.6</v>
      </c>
      <c r="AW74">
        <v>2.5</v>
      </c>
      <c r="AX74">
        <v>17.7</v>
      </c>
    </row>
    <row r="75" spans="1:50" x14ac:dyDescent="0.2">
      <c r="A75" s="1" t="s">
        <v>124</v>
      </c>
      <c r="B75" s="1" t="s">
        <v>34</v>
      </c>
      <c r="C75">
        <v>23</v>
      </c>
      <c r="D75" s="1" t="s">
        <v>70</v>
      </c>
      <c r="E75">
        <v>53</v>
      </c>
      <c r="F75">
        <v>25</v>
      </c>
      <c r="G75">
        <v>30</v>
      </c>
      <c r="H75">
        <v>5.4</v>
      </c>
      <c r="I75">
        <v>12.5</v>
      </c>
      <c r="J75">
        <v>0.43</v>
      </c>
      <c r="K75">
        <v>1.4</v>
      </c>
      <c r="L75">
        <v>4.4000000000000004</v>
      </c>
      <c r="M75">
        <v>0.316</v>
      </c>
      <c r="N75">
        <v>5.4</v>
      </c>
      <c r="O75">
        <v>6.2</v>
      </c>
      <c r="P75">
        <v>0.873</v>
      </c>
      <c r="Q75">
        <v>1</v>
      </c>
      <c r="R75">
        <v>4.4000000000000004</v>
      </c>
      <c r="S75">
        <v>5.4</v>
      </c>
      <c r="T75">
        <v>2.2999999999999998</v>
      </c>
      <c r="U75">
        <v>0.8</v>
      </c>
      <c r="V75">
        <v>0.2</v>
      </c>
      <c r="W75">
        <v>2.2000000000000002</v>
      </c>
      <c r="X75">
        <v>2.5</v>
      </c>
      <c r="Y75">
        <v>17.5</v>
      </c>
      <c r="AP75">
        <v>5.4</v>
      </c>
      <c r="AQ75">
        <v>12.5</v>
      </c>
      <c r="AR75">
        <v>1.4</v>
      </c>
      <c r="AS75">
        <v>4.4000000000000004</v>
      </c>
      <c r="AT75">
        <v>5.4</v>
      </c>
      <c r="AU75">
        <v>6.2</v>
      </c>
      <c r="AV75">
        <v>5.4</v>
      </c>
      <c r="AW75">
        <v>2.2999999999999998</v>
      </c>
      <c r="AX75">
        <v>17.5</v>
      </c>
    </row>
    <row r="76" spans="1:50" x14ac:dyDescent="0.2">
      <c r="A76" s="1" t="s">
        <v>124</v>
      </c>
      <c r="B76" s="1" t="s">
        <v>34</v>
      </c>
      <c r="C76">
        <v>23</v>
      </c>
      <c r="D76" s="1" t="s">
        <v>68</v>
      </c>
      <c r="E76">
        <v>28</v>
      </c>
      <c r="F76">
        <v>24</v>
      </c>
      <c r="G76">
        <v>31.8</v>
      </c>
      <c r="H76">
        <v>5.5</v>
      </c>
      <c r="I76">
        <v>12.8</v>
      </c>
      <c r="J76">
        <v>0.433</v>
      </c>
      <c r="K76">
        <v>2.1</v>
      </c>
      <c r="L76">
        <v>5.6</v>
      </c>
      <c r="M76">
        <v>0.372</v>
      </c>
      <c r="N76">
        <v>4.5999999999999996</v>
      </c>
      <c r="O76">
        <v>5.2</v>
      </c>
      <c r="P76">
        <v>0.88400000000000001</v>
      </c>
      <c r="Q76">
        <v>0.8</v>
      </c>
      <c r="R76">
        <v>4.5999999999999996</v>
      </c>
      <c r="S76">
        <v>5.4</v>
      </c>
      <c r="T76">
        <v>2.2999999999999998</v>
      </c>
      <c r="U76">
        <v>0.6</v>
      </c>
      <c r="V76">
        <v>0.1</v>
      </c>
      <c r="W76">
        <v>2.2999999999999998</v>
      </c>
      <c r="X76">
        <v>2.7</v>
      </c>
      <c r="Y76">
        <v>17.8</v>
      </c>
      <c r="AP76">
        <v>5.5</v>
      </c>
      <c r="AQ76">
        <v>12.8</v>
      </c>
      <c r="AR76">
        <v>2.1</v>
      </c>
      <c r="AS76">
        <v>5.6</v>
      </c>
      <c r="AT76">
        <v>4.5999999999999996</v>
      </c>
      <c r="AU76">
        <v>5.2</v>
      </c>
      <c r="AV76">
        <v>5.4</v>
      </c>
      <c r="AW76">
        <v>2.2999999999999998</v>
      </c>
      <c r="AX76">
        <v>17.8</v>
      </c>
    </row>
    <row r="77" spans="1:50" x14ac:dyDescent="0.2">
      <c r="A77" s="1" t="s">
        <v>124</v>
      </c>
      <c r="B77" s="1" t="s">
        <v>34</v>
      </c>
      <c r="C77">
        <v>23</v>
      </c>
      <c r="D77" s="1" t="s">
        <v>39</v>
      </c>
      <c r="E77">
        <v>25</v>
      </c>
      <c r="F77">
        <v>1</v>
      </c>
      <c r="G77">
        <v>27.9</v>
      </c>
      <c r="H77">
        <v>5.2</v>
      </c>
      <c r="I77">
        <v>12.1</v>
      </c>
      <c r="J77">
        <v>0.42699999999999999</v>
      </c>
      <c r="K77">
        <v>0.6</v>
      </c>
      <c r="L77">
        <v>3</v>
      </c>
      <c r="M77">
        <v>0.2</v>
      </c>
      <c r="N77">
        <v>6.4</v>
      </c>
      <c r="O77">
        <v>7.4</v>
      </c>
      <c r="P77">
        <v>0.86399999999999999</v>
      </c>
      <c r="Q77">
        <v>1.2</v>
      </c>
      <c r="R77">
        <v>4.2</v>
      </c>
      <c r="S77">
        <v>5.3</v>
      </c>
      <c r="T77">
        <v>2.2999999999999998</v>
      </c>
      <c r="U77">
        <v>1</v>
      </c>
      <c r="V77">
        <v>0.3</v>
      </c>
      <c r="W77">
        <v>2.1</v>
      </c>
      <c r="X77">
        <v>2.2999999999999998</v>
      </c>
      <c r="Y77">
        <v>17.3</v>
      </c>
      <c r="AP77">
        <v>5.2</v>
      </c>
      <c r="AQ77">
        <v>12.1</v>
      </c>
      <c r="AR77">
        <v>0.6</v>
      </c>
      <c r="AS77">
        <v>3</v>
      </c>
      <c r="AT77">
        <v>6.4</v>
      </c>
      <c r="AU77">
        <v>7.4</v>
      </c>
      <c r="AV77">
        <v>5.3</v>
      </c>
      <c r="AW77">
        <v>2.2999999999999998</v>
      </c>
      <c r="AX77">
        <v>17.3</v>
      </c>
    </row>
    <row r="78" spans="1:50" x14ac:dyDescent="0.2">
      <c r="A78" s="1" t="s">
        <v>125</v>
      </c>
      <c r="B78" s="1" t="s">
        <v>23</v>
      </c>
      <c r="C78">
        <v>35</v>
      </c>
      <c r="D78" s="1" t="s">
        <v>37</v>
      </c>
      <c r="E78">
        <v>36</v>
      </c>
      <c r="F78">
        <v>36</v>
      </c>
      <c r="G78">
        <v>30.9</v>
      </c>
      <c r="H78">
        <v>6.1</v>
      </c>
      <c r="I78">
        <v>14.1</v>
      </c>
      <c r="J78">
        <v>0.437</v>
      </c>
      <c r="K78">
        <v>2.8</v>
      </c>
      <c r="L78">
        <v>7</v>
      </c>
      <c r="M78">
        <v>0.39400000000000002</v>
      </c>
      <c r="N78">
        <v>2.5</v>
      </c>
      <c r="O78">
        <v>3</v>
      </c>
      <c r="P78">
        <v>0.81699999999999995</v>
      </c>
      <c r="Q78">
        <v>0.6</v>
      </c>
      <c r="R78">
        <v>4.8</v>
      </c>
      <c r="S78">
        <v>5.3</v>
      </c>
      <c r="T78">
        <v>3.6</v>
      </c>
      <c r="U78">
        <v>1.7</v>
      </c>
      <c r="V78">
        <v>0.4</v>
      </c>
      <c r="W78">
        <v>1.8</v>
      </c>
      <c r="X78">
        <v>2.2999999999999998</v>
      </c>
      <c r="Y78">
        <v>17.5</v>
      </c>
      <c r="AP78">
        <v>6.1</v>
      </c>
      <c r="AQ78">
        <v>14.1</v>
      </c>
      <c r="AR78">
        <v>2.8</v>
      </c>
      <c r="AS78">
        <v>7</v>
      </c>
      <c r="AT78">
        <v>2.5</v>
      </c>
      <c r="AU78">
        <v>3</v>
      </c>
      <c r="AV78">
        <v>5.3</v>
      </c>
      <c r="AW78">
        <v>3.6</v>
      </c>
      <c r="AX78">
        <v>17.5</v>
      </c>
    </row>
    <row r="79" spans="1:50" x14ac:dyDescent="0.2">
      <c r="A79" s="1" t="s">
        <v>126</v>
      </c>
      <c r="B79" s="1" t="s">
        <v>26</v>
      </c>
      <c r="C79">
        <v>25</v>
      </c>
      <c r="D79" s="1" t="s">
        <v>46</v>
      </c>
      <c r="E79">
        <v>38</v>
      </c>
      <c r="F79">
        <v>36</v>
      </c>
      <c r="G79">
        <v>33.200000000000003</v>
      </c>
      <c r="H79">
        <v>6.3</v>
      </c>
      <c r="I79">
        <v>13.5</v>
      </c>
      <c r="J79">
        <v>0.46500000000000002</v>
      </c>
      <c r="K79">
        <v>1.2</v>
      </c>
      <c r="L79">
        <v>3.8</v>
      </c>
      <c r="M79">
        <v>0.32200000000000001</v>
      </c>
      <c r="N79">
        <v>3.6</v>
      </c>
      <c r="O79">
        <v>4.0999999999999996</v>
      </c>
      <c r="P79">
        <v>0.878</v>
      </c>
      <c r="Q79">
        <v>0.9</v>
      </c>
      <c r="R79">
        <v>4.3</v>
      </c>
      <c r="S79">
        <v>5.2</v>
      </c>
      <c r="T79">
        <v>7.4</v>
      </c>
      <c r="U79">
        <v>2.2000000000000002</v>
      </c>
      <c r="V79">
        <v>0.5</v>
      </c>
      <c r="W79">
        <v>2.9</v>
      </c>
      <c r="X79">
        <v>2.2999999999999998</v>
      </c>
      <c r="Y79">
        <v>17.399999999999999</v>
      </c>
      <c r="AP79">
        <v>6.3</v>
      </c>
      <c r="AQ79">
        <v>13.5</v>
      </c>
      <c r="AR79">
        <v>1.2</v>
      </c>
      <c r="AS79">
        <v>3.8</v>
      </c>
      <c r="AT79">
        <v>3.6</v>
      </c>
      <c r="AU79">
        <v>4.0999999999999996</v>
      </c>
      <c r="AV79">
        <v>5.2</v>
      </c>
      <c r="AW79">
        <v>7.4</v>
      </c>
      <c r="AX79">
        <v>17.399999999999999</v>
      </c>
    </row>
    <row r="80" spans="1:50" x14ac:dyDescent="0.2">
      <c r="A80" s="1" t="s">
        <v>127</v>
      </c>
      <c r="B80" s="1" t="s">
        <v>31</v>
      </c>
      <c r="C80">
        <v>25</v>
      </c>
      <c r="D80" s="1" t="s">
        <v>70</v>
      </c>
      <c r="E80">
        <v>49</v>
      </c>
      <c r="F80">
        <v>26</v>
      </c>
      <c r="G80">
        <v>25.2</v>
      </c>
      <c r="H80">
        <v>5.6</v>
      </c>
      <c r="I80">
        <v>12.5</v>
      </c>
      <c r="J80">
        <v>0.44400000000000001</v>
      </c>
      <c r="K80">
        <v>2.2999999999999998</v>
      </c>
      <c r="L80">
        <v>6.4</v>
      </c>
      <c r="M80">
        <v>0.35899999999999999</v>
      </c>
      <c r="N80">
        <v>3.9</v>
      </c>
      <c r="O80">
        <v>4.8</v>
      </c>
      <c r="P80">
        <v>0.82099999999999995</v>
      </c>
      <c r="Q80">
        <v>0.3</v>
      </c>
      <c r="R80">
        <v>3.1</v>
      </c>
      <c r="S80">
        <v>3.4</v>
      </c>
      <c r="T80">
        <v>4</v>
      </c>
      <c r="U80">
        <v>0.5</v>
      </c>
      <c r="V80">
        <v>0.1</v>
      </c>
      <c r="W80">
        <v>2.6</v>
      </c>
      <c r="X80">
        <v>2.2000000000000002</v>
      </c>
      <c r="Y80">
        <v>17.3</v>
      </c>
      <c r="AP80">
        <v>5.6</v>
      </c>
      <c r="AQ80">
        <v>12.5</v>
      </c>
      <c r="AR80">
        <v>2.2999999999999998</v>
      </c>
      <c r="AS80">
        <v>6.4</v>
      </c>
      <c r="AT80">
        <v>3.9</v>
      </c>
      <c r="AU80">
        <v>4.8</v>
      </c>
      <c r="AV80">
        <v>3.4</v>
      </c>
      <c r="AW80">
        <v>4</v>
      </c>
      <c r="AX80">
        <v>17.3</v>
      </c>
    </row>
    <row r="81" spans="1:50" x14ac:dyDescent="0.2">
      <c r="A81" s="1" t="s">
        <v>127</v>
      </c>
      <c r="B81" s="1" t="s">
        <v>31</v>
      </c>
      <c r="C81">
        <v>25</v>
      </c>
      <c r="D81" s="1" t="s">
        <v>128</v>
      </c>
      <c r="E81">
        <v>29</v>
      </c>
      <c r="F81">
        <v>26</v>
      </c>
      <c r="G81">
        <v>29.1</v>
      </c>
      <c r="H81">
        <v>5.9</v>
      </c>
      <c r="I81">
        <v>13.6</v>
      </c>
      <c r="J81">
        <v>0.438</v>
      </c>
      <c r="K81">
        <v>2.5</v>
      </c>
      <c r="L81">
        <v>7.2</v>
      </c>
      <c r="M81">
        <v>0.34599999999999997</v>
      </c>
      <c r="N81">
        <v>4.3</v>
      </c>
      <c r="O81">
        <v>5.3</v>
      </c>
      <c r="P81">
        <v>0.80500000000000005</v>
      </c>
      <c r="Q81">
        <v>0.2</v>
      </c>
      <c r="R81">
        <v>3.5</v>
      </c>
      <c r="S81">
        <v>3.7</v>
      </c>
      <c r="T81">
        <v>4.7</v>
      </c>
      <c r="U81">
        <v>0.7</v>
      </c>
      <c r="V81">
        <v>0.1</v>
      </c>
      <c r="W81">
        <v>3</v>
      </c>
      <c r="X81">
        <v>2.4</v>
      </c>
      <c r="Y81">
        <v>18.600000000000001</v>
      </c>
      <c r="AP81">
        <v>5.9</v>
      </c>
      <c r="AQ81">
        <v>13.6</v>
      </c>
      <c r="AR81">
        <v>2.5</v>
      </c>
      <c r="AS81">
        <v>7.2</v>
      </c>
      <c r="AT81">
        <v>4.3</v>
      </c>
      <c r="AU81">
        <v>5.3</v>
      </c>
      <c r="AV81">
        <v>3.7</v>
      </c>
      <c r="AW81">
        <v>4.7</v>
      </c>
      <c r="AX81">
        <v>18.600000000000001</v>
      </c>
    </row>
    <row r="82" spans="1:50" x14ac:dyDescent="0.2">
      <c r="A82" s="1" t="s">
        <v>127</v>
      </c>
      <c r="B82" s="1" t="s">
        <v>31</v>
      </c>
      <c r="C82">
        <v>25</v>
      </c>
      <c r="D82" s="1" t="s">
        <v>98</v>
      </c>
      <c r="E82">
        <v>20</v>
      </c>
      <c r="F82">
        <v>0</v>
      </c>
      <c r="G82">
        <v>19.5</v>
      </c>
      <c r="H82">
        <v>5</v>
      </c>
      <c r="I82">
        <v>11</v>
      </c>
      <c r="J82">
        <v>0.45500000000000002</v>
      </c>
      <c r="K82">
        <v>2</v>
      </c>
      <c r="L82">
        <v>5.2</v>
      </c>
      <c r="M82">
        <v>0.38500000000000001</v>
      </c>
      <c r="N82">
        <v>3.5</v>
      </c>
      <c r="O82">
        <v>4.0999999999999996</v>
      </c>
      <c r="P82">
        <v>0.85199999999999998</v>
      </c>
      <c r="Q82">
        <v>0.5</v>
      </c>
      <c r="R82">
        <v>2.6</v>
      </c>
      <c r="S82">
        <v>3.1</v>
      </c>
      <c r="T82">
        <v>3.1</v>
      </c>
      <c r="U82">
        <v>0.3</v>
      </c>
      <c r="V82">
        <v>0.2</v>
      </c>
      <c r="W82">
        <v>1.9</v>
      </c>
      <c r="X82">
        <v>2</v>
      </c>
      <c r="Y82">
        <v>15.5</v>
      </c>
      <c r="AP82">
        <v>5</v>
      </c>
      <c r="AQ82">
        <v>11</v>
      </c>
      <c r="AR82">
        <v>2</v>
      </c>
      <c r="AS82">
        <v>5.2</v>
      </c>
      <c r="AT82">
        <v>3.5</v>
      </c>
      <c r="AU82">
        <v>4.0999999999999996</v>
      </c>
      <c r="AV82">
        <v>3.1</v>
      </c>
      <c r="AW82">
        <v>3.1</v>
      </c>
      <c r="AX82">
        <v>15.5</v>
      </c>
    </row>
    <row r="83" spans="1:50" x14ac:dyDescent="0.2">
      <c r="A83" s="1" t="s">
        <v>129</v>
      </c>
      <c r="B83" s="1" t="s">
        <v>26</v>
      </c>
      <c r="C83">
        <v>23</v>
      </c>
      <c r="D83" s="1" t="s">
        <v>46</v>
      </c>
      <c r="E83">
        <v>74</v>
      </c>
      <c r="F83">
        <v>67</v>
      </c>
      <c r="G83">
        <v>32.1</v>
      </c>
      <c r="H83">
        <v>6.6</v>
      </c>
      <c r="I83">
        <v>13.9</v>
      </c>
      <c r="J83">
        <v>0.47199999999999998</v>
      </c>
      <c r="K83">
        <v>2.5</v>
      </c>
      <c r="L83">
        <v>6.1</v>
      </c>
      <c r="M83">
        <v>0.40600000000000003</v>
      </c>
      <c r="N83">
        <v>1.7</v>
      </c>
      <c r="O83">
        <v>2.1</v>
      </c>
      <c r="P83">
        <v>0.79600000000000004</v>
      </c>
      <c r="Q83">
        <v>0.7</v>
      </c>
      <c r="R83">
        <v>3.8</v>
      </c>
      <c r="S83">
        <v>4.5999999999999996</v>
      </c>
      <c r="T83">
        <v>5.6</v>
      </c>
      <c r="U83">
        <v>1.5</v>
      </c>
      <c r="V83">
        <v>0.4</v>
      </c>
      <c r="W83">
        <v>2.7</v>
      </c>
      <c r="X83">
        <v>2.6</v>
      </c>
      <c r="Y83">
        <v>17.3</v>
      </c>
      <c r="AP83">
        <v>6.6</v>
      </c>
      <c r="AQ83">
        <v>13.9</v>
      </c>
      <c r="AR83">
        <v>2.5</v>
      </c>
      <c r="AS83">
        <v>6.1</v>
      </c>
      <c r="AT83">
        <v>1.7</v>
      </c>
      <c r="AU83">
        <v>2.1</v>
      </c>
      <c r="AV83">
        <v>4.5999999999999996</v>
      </c>
      <c r="AW83">
        <v>5.6</v>
      </c>
      <c r="AX83">
        <v>17.3</v>
      </c>
    </row>
    <row r="84" spans="1:50" x14ac:dyDescent="0.2">
      <c r="A84" s="1" t="s">
        <v>130</v>
      </c>
      <c r="B84" s="1" t="s">
        <v>23</v>
      </c>
      <c r="C84">
        <v>27</v>
      </c>
      <c r="D84" s="1" t="s">
        <v>98</v>
      </c>
      <c r="E84">
        <v>76</v>
      </c>
      <c r="F84">
        <v>76</v>
      </c>
      <c r="G84">
        <v>31.1</v>
      </c>
      <c r="H84">
        <v>6.3</v>
      </c>
      <c r="I84">
        <v>13.6</v>
      </c>
      <c r="J84">
        <v>0.46</v>
      </c>
      <c r="K84">
        <v>1.9</v>
      </c>
      <c r="L84">
        <v>5.8</v>
      </c>
      <c r="M84">
        <v>0.33400000000000002</v>
      </c>
      <c r="N84">
        <v>2.7</v>
      </c>
      <c r="O84">
        <v>3.3</v>
      </c>
      <c r="P84">
        <v>0.82499999999999996</v>
      </c>
      <c r="Q84">
        <v>1</v>
      </c>
      <c r="R84">
        <v>4.9000000000000004</v>
      </c>
      <c r="S84">
        <v>5.9</v>
      </c>
      <c r="T84">
        <v>3.2</v>
      </c>
      <c r="U84">
        <v>0.6</v>
      </c>
      <c r="V84">
        <v>0.4</v>
      </c>
      <c r="W84">
        <v>1.4</v>
      </c>
      <c r="X84">
        <v>1.7</v>
      </c>
      <c r="Y84">
        <v>17.2</v>
      </c>
      <c r="AP84">
        <v>6.3</v>
      </c>
      <c r="AQ84">
        <v>13.6</v>
      </c>
      <c r="AR84">
        <v>1.9</v>
      </c>
      <c r="AS84">
        <v>5.8</v>
      </c>
      <c r="AT84">
        <v>2.7</v>
      </c>
      <c r="AU84">
        <v>3.3</v>
      </c>
      <c r="AV84">
        <v>5.9</v>
      </c>
      <c r="AW84">
        <v>3.2</v>
      </c>
      <c r="AX84">
        <v>17.2</v>
      </c>
    </row>
    <row r="85" spans="1:50" x14ac:dyDescent="0.2">
      <c r="A85" s="1" t="s">
        <v>131</v>
      </c>
      <c r="B85" s="1" t="s">
        <v>23</v>
      </c>
      <c r="C85">
        <v>23</v>
      </c>
      <c r="D85" s="1" t="s">
        <v>29</v>
      </c>
      <c r="E85">
        <v>69</v>
      </c>
      <c r="F85">
        <v>69</v>
      </c>
      <c r="G85">
        <v>28.9</v>
      </c>
      <c r="H85">
        <v>6.3</v>
      </c>
      <c r="I85">
        <v>11.3</v>
      </c>
      <c r="J85">
        <v>0.55700000000000005</v>
      </c>
      <c r="K85">
        <v>1.3</v>
      </c>
      <c r="L85">
        <v>3.5</v>
      </c>
      <c r="M85">
        <v>0.36199999999999999</v>
      </c>
      <c r="N85">
        <v>3.3</v>
      </c>
      <c r="O85">
        <v>4.0999999999999996</v>
      </c>
      <c r="P85">
        <v>0.79200000000000004</v>
      </c>
      <c r="Q85">
        <v>1.9</v>
      </c>
      <c r="R85">
        <v>7</v>
      </c>
      <c r="S85">
        <v>8.9</v>
      </c>
      <c r="T85">
        <v>1.7</v>
      </c>
      <c r="U85">
        <v>0.6</v>
      </c>
      <c r="V85">
        <v>1.9</v>
      </c>
      <c r="W85">
        <v>1.6</v>
      </c>
      <c r="X85">
        <v>2.2999999999999998</v>
      </c>
      <c r="Y85">
        <v>17.100000000000001</v>
      </c>
      <c r="AP85">
        <v>6.3</v>
      </c>
      <c r="AQ85">
        <v>11.3</v>
      </c>
      <c r="AR85">
        <v>1.3</v>
      </c>
      <c r="AS85">
        <v>3.5</v>
      </c>
      <c r="AT85">
        <v>3.3</v>
      </c>
      <c r="AU85">
        <v>4.0999999999999996</v>
      </c>
      <c r="AV85">
        <v>8.9</v>
      </c>
      <c r="AW85">
        <v>1.7</v>
      </c>
      <c r="AX85">
        <v>17.100000000000001</v>
      </c>
    </row>
    <row r="86" spans="1:50" x14ac:dyDescent="0.2">
      <c r="A86" s="1" t="s">
        <v>132</v>
      </c>
      <c r="B86" s="1" t="s">
        <v>31</v>
      </c>
      <c r="C86">
        <v>24</v>
      </c>
      <c r="D86" s="1" t="s">
        <v>29</v>
      </c>
      <c r="E86">
        <v>33</v>
      </c>
      <c r="F86">
        <v>33</v>
      </c>
      <c r="G86">
        <v>28.4</v>
      </c>
      <c r="H86">
        <v>6.5</v>
      </c>
      <c r="I86">
        <v>13.5</v>
      </c>
      <c r="J86">
        <v>0.48399999999999999</v>
      </c>
      <c r="K86">
        <v>0.7</v>
      </c>
      <c r="L86">
        <v>2.2999999999999998</v>
      </c>
      <c r="M86">
        <v>0.29899999999999999</v>
      </c>
      <c r="N86">
        <v>3.3</v>
      </c>
      <c r="O86">
        <v>3.9</v>
      </c>
      <c r="P86">
        <v>0.83699999999999997</v>
      </c>
      <c r="Q86">
        <v>0.8</v>
      </c>
      <c r="R86">
        <v>3.8</v>
      </c>
      <c r="S86">
        <v>4.5999999999999996</v>
      </c>
      <c r="T86">
        <v>5.5</v>
      </c>
      <c r="U86">
        <v>1.2</v>
      </c>
      <c r="V86">
        <v>0.3</v>
      </c>
      <c r="W86">
        <v>1.9</v>
      </c>
      <c r="X86">
        <v>2</v>
      </c>
      <c r="Y86">
        <v>17.100000000000001</v>
      </c>
      <c r="AP86">
        <v>6.5</v>
      </c>
      <c r="AQ86">
        <v>13.5</v>
      </c>
      <c r="AR86">
        <v>0.7</v>
      </c>
      <c r="AS86">
        <v>2.2999999999999998</v>
      </c>
      <c r="AT86">
        <v>3.3</v>
      </c>
      <c r="AU86">
        <v>3.9</v>
      </c>
      <c r="AV86">
        <v>4.5999999999999996</v>
      </c>
      <c r="AW86">
        <v>5.5</v>
      </c>
      <c r="AX86">
        <v>17.100000000000001</v>
      </c>
    </row>
    <row r="87" spans="1:50" x14ac:dyDescent="0.2">
      <c r="A87" s="1" t="s">
        <v>133</v>
      </c>
      <c r="B87" s="1" t="s">
        <v>26</v>
      </c>
      <c r="C87">
        <v>23</v>
      </c>
      <c r="D87" s="1" t="s">
        <v>128</v>
      </c>
      <c r="E87">
        <v>54</v>
      </c>
      <c r="F87">
        <v>51</v>
      </c>
      <c r="G87">
        <v>32.1</v>
      </c>
      <c r="H87">
        <v>5.9</v>
      </c>
      <c r="I87">
        <v>13.3</v>
      </c>
      <c r="J87">
        <v>0.44800000000000001</v>
      </c>
      <c r="K87">
        <v>1.9</v>
      </c>
      <c r="L87">
        <v>5.2</v>
      </c>
      <c r="M87">
        <v>0.36399999999999999</v>
      </c>
      <c r="N87">
        <v>3.2</v>
      </c>
      <c r="O87">
        <v>4.2</v>
      </c>
      <c r="P87">
        <v>0.76300000000000001</v>
      </c>
      <c r="Q87">
        <v>1.2</v>
      </c>
      <c r="R87">
        <v>7.1</v>
      </c>
      <c r="S87">
        <v>8.3000000000000007</v>
      </c>
      <c r="T87">
        <v>9.1</v>
      </c>
      <c r="U87">
        <v>1</v>
      </c>
      <c r="V87">
        <v>0.5</v>
      </c>
      <c r="W87">
        <v>3.6</v>
      </c>
      <c r="X87">
        <v>1.7</v>
      </c>
      <c r="Y87">
        <v>17</v>
      </c>
      <c r="AP87">
        <v>5.9</v>
      </c>
      <c r="AQ87">
        <v>13.3</v>
      </c>
      <c r="AR87">
        <v>1.9</v>
      </c>
      <c r="AS87">
        <v>5.2</v>
      </c>
      <c r="AT87">
        <v>3.2</v>
      </c>
      <c r="AU87">
        <v>4.2</v>
      </c>
      <c r="AV87">
        <v>8.3000000000000007</v>
      </c>
      <c r="AW87">
        <v>9.1</v>
      </c>
      <c r="AX87">
        <v>17</v>
      </c>
    </row>
    <row r="88" spans="1:50" x14ac:dyDescent="0.2">
      <c r="A88" s="1" t="s">
        <v>134</v>
      </c>
      <c r="B88" s="1" t="s">
        <v>26</v>
      </c>
      <c r="C88">
        <v>28</v>
      </c>
      <c r="D88" s="1" t="s">
        <v>35</v>
      </c>
      <c r="E88">
        <v>79</v>
      </c>
      <c r="F88">
        <v>50</v>
      </c>
      <c r="G88">
        <v>32.4</v>
      </c>
      <c r="H88">
        <v>6.4</v>
      </c>
      <c r="I88">
        <v>13.8</v>
      </c>
      <c r="J88">
        <v>0.46400000000000002</v>
      </c>
      <c r="K88">
        <v>2.7</v>
      </c>
      <c r="L88">
        <v>7.1</v>
      </c>
      <c r="M88">
        <v>0.377</v>
      </c>
      <c r="N88">
        <v>1.5</v>
      </c>
      <c r="O88">
        <v>1.7</v>
      </c>
      <c r="P88">
        <v>0.89</v>
      </c>
      <c r="Q88">
        <v>0.9</v>
      </c>
      <c r="R88">
        <v>3.1</v>
      </c>
      <c r="S88">
        <v>3.9</v>
      </c>
      <c r="T88">
        <v>5.2</v>
      </c>
      <c r="U88">
        <v>0.7</v>
      </c>
      <c r="V88">
        <v>0.1</v>
      </c>
      <c r="W88">
        <v>1.4</v>
      </c>
      <c r="X88">
        <v>1.5</v>
      </c>
      <c r="Y88">
        <v>17</v>
      </c>
      <c r="AP88">
        <v>6.4</v>
      </c>
      <c r="AQ88">
        <v>13.8</v>
      </c>
      <c r="AR88">
        <v>2.7</v>
      </c>
      <c r="AS88">
        <v>7.1</v>
      </c>
      <c r="AT88">
        <v>1.5</v>
      </c>
      <c r="AU88">
        <v>1.7</v>
      </c>
      <c r="AV88">
        <v>3.9</v>
      </c>
      <c r="AW88">
        <v>5.2</v>
      </c>
      <c r="AX88">
        <v>17</v>
      </c>
    </row>
    <row r="89" spans="1:50" x14ac:dyDescent="0.2">
      <c r="A89" s="1" t="s">
        <v>135</v>
      </c>
      <c r="B89" s="1" t="s">
        <v>26</v>
      </c>
      <c r="C89">
        <v>26</v>
      </c>
      <c r="D89" s="1" t="s">
        <v>68</v>
      </c>
      <c r="E89">
        <v>57</v>
      </c>
      <c r="F89">
        <v>57</v>
      </c>
      <c r="G89">
        <v>31.3</v>
      </c>
      <c r="H89">
        <v>5.8</v>
      </c>
      <c r="I89">
        <v>13.2</v>
      </c>
      <c r="J89">
        <v>0.442</v>
      </c>
      <c r="K89">
        <v>1.9</v>
      </c>
      <c r="L89">
        <v>5.2</v>
      </c>
      <c r="M89">
        <v>0.36099999999999999</v>
      </c>
      <c r="N89">
        <v>3.4</v>
      </c>
      <c r="O89">
        <v>4.0999999999999996</v>
      </c>
      <c r="P89">
        <v>0.82499999999999996</v>
      </c>
      <c r="Q89">
        <v>0.4</v>
      </c>
      <c r="R89">
        <v>2.4</v>
      </c>
      <c r="S89">
        <v>2.8</v>
      </c>
      <c r="T89">
        <v>7.7</v>
      </c>
      <c r="U89">
        <v>0.9</v>
      </c>
      <c r="V89">
        <v>0.1</v>
      </c>
      <c r="W89">
        <v>2.4</v>
      </c>
      <c r="X89">
        <v>2.2000000000000002</v>
      </c>
      <c r="Y89">
        <v>16.899999999999999</v>
      </c>
      <c r="AP89">
        <v>5.8</v>
      </c>
      <c r="AQ89">
        <v>13.2</v>
      </c>
      <c r="AR89">
        <v>1.9</v>
      </c>
      <c r="AS89">
        <v>5.2</v>
      </c>
      <c r="AT89">
        <v>3.4</v>
      </c>
      <c r="AU89">
        <v>4.0999999999999996</v>
      </c>
      <c r="AV89">
        <v>2.8</v>
      </c>
      <c r="AW89">
        <v>7.7</v>
      </c>
      <c r="AX89">
        <v>16.899999999999999</v>
      </c>
    </row>
    <row r="90" spans="1:50" x14ac:dyDescent="0.2">
      <c r="A90" s="1" t="s">
        <v>136</v>
      </c>
      <c r="B90" s="1" t="s">
        <v>43</v>
      </c>
      <c r="C90">
        <v>30</v>
      </c>
      <c r="D90" s="1" t="s">
        <v>70</v>
      </c>
      <c r="E90">
        <v>31</v>
      </c>
      <c r="F90">
        <v>22</v>
      </c>
      <c r="G90">
        <v>24</v>
      </c>
      <c r="H90">
        <v>5.5</v>
      </c>
      <c r="I90">
        <v>12.3</v>
      </c>
      <c r="J90">
        <v>0.44700000000000001</v>
      </c>
      <c r="K90">
        <v>1.7</v>
      </c>
      <c r="L90">
        <v>5</v>
      </c>
      <c r="M90">
        <v>0.34599999999999997</v>
      </c>
      <c r="N90">
        <v>4.0999999999999996</v>
      </c>
      <c r="O90">
        <v>4.9000000000000004</v>
      </c>
      <c r="P90">
        <v>0.83599999999999997</v>
      </c>
      <c r="Q90">
        <v>1.2</v>
      </c>
      <c r="R90">
        <v>3.9</v>
      </c>
      <c r="S90">
        <v>5.0999999999999996</v>
      </c>
      <c r="T90">
        <v>2.6</v>
      </c>
      <c r="U90">
        <v>0.6</v>
      </c>
      <c r="V90">
        <v>1.2</v>
      </c>
      <c r="W90">
        <v>1.3</v>
      </c>
      <c r="X90">
        <v>2.8</v>
      </c>
      <c r="Y90">
        <v>16.8</v>
      </c>
      <c r="AP90">
        <v>5.5</v>
      </c>
      <c r="AQ90">
        <v>12.3</v>
      </c>
      <c r="AR90">
        <v>1.7</v>
      </c>
      <c r="AS90">
        <v>5</v>
      </c>
      <c r="AT90">
        <v>4.0999999999999996</v>
      </c>
      <c r="AU90">
        <v>4.9000000000000004</v>
      </c>
      <c r="AV90">
        <v>5.0999999999999996</v>
      </c>
      <c r="AW90">
        <v>2.6</v>
      </c>
      <c r="AX90">
        <v>16.8</v>
      </c>
    </row>
    <row r="91" spans="1:50" x14ac:dyDescent="0.2">
      <c r="A91" s="1" t="s">
        <v>136</v>
      </c>
      <c r="B91" s="1" t="s">
        <v>43</v>
      </c>
      <c r="C91">
        <v>30</v>
      </c>
      <c r="D91" s="1" t="s">
        <v>74</v>
      </c>
      <c r="E91">
        <v>17</v>
      </c>
      <c r="F91">
        <v>12</v>
      </c>
      <c r="G91">
        <v>24.3</v>
      </c>
      <c r="H91">
        <v>5.6</v>
      </c>
      <c r="I91">
        <v>12.4</v>
      </c>
      <c r="J91">
        <v>0.45700000000000002</v>
      </c>
      <c r="K91">
        <v>1.8</v>
      </c>
      <c r="L91">
        <v>5.0999999999999996</v>
      </c>
      <c r="M91">
        <v>0.36</v>
      </c>
      <c r="N91">
        <v>4</v>
      </c>
      <c r="O91">
        <v>4.8</v>
      </c>
      <c r="P91">
        <v>0.84</v>
      </c>
      <c r="Q91">
        <v>1.2</v>
      </c>
      <c r="R91">
        <v>3.9</v>
      </c>
      <c r="S91">
        <v>5.0999999999999996</v>
      </c>
      <c r="T91">
        <v>2.7</v>
      </c>
      <c r="U91">
        <v>0.5</v>
      </c>
      <c r="V91">
        <v>1.3</v>
      </c>
      <c r="W91">
        <v>0.9</v>
      </c>
      <c r="X91">
        <v>3.2</v>
      </c>
      <c r="Y91">
        <v>17.100000000000001</v>
      </c>
      <c r="AP91">
        <v>5.6</v>
      </c>
      <c r="AQ91">
        <v>12.4</v>
      </c>
      <c r="AR91">
        <v>1.8</v>
      </c>
      <c r="AS91">
        <v>5.0999999999999996</v>
      </c>
      <c r="AT91">
        <v>4</v>
      </c>
      <c r="AU91">
        <v>4.8</v>
      </c>
      <c r="AV91">
        <v>5.0999999999999996</v>
      </c>
      <c r="AW91">
        <v>2.7</v>
      </c>
      <c r="AX91">
        <v>17.100000000000001</v>
      </c>
    </row>
    <row r="92" spans="1:50" x14ac:dyDescent="0.2">
      <c r="A92" s="1" t="s">
        <v>136</v>
      </c>
      <c r="B92" s="1" t="s">
        <v>43</v>
      </c>
      <c r="C92">
        <v>30</v>
      </c>
      <c r="D92" s="1" t="s">
        <v>51</v>
      </c>
      <c r="E92">
        <v>14</v>
      </c>
      <c r="F92">
        <v>10</v>
      </c>
      <c r="G92">
        <v>23.7</v>
      </c>
      <c r="H92">
        <v>5.3</v>
      </c>
      <c r="I92">
        <v>12.1</v>
      </c>
      <c r="J92">
        <v>0.435</v>
      </c>
      <c r="K92">
        <v>1.6</v>
      </c>
      <c r="L92">
        <v>5</v>
      </c>
      <c r="M92">
        <v>0.32900000000000001</v>
      </c>
      <c r="N92">
        <v>4.2</v>
      </c>
      <c r="O92">
        <v>5.0999999999999996</v>
      </c>
      <c r="P92">
        <v>0.83099999999999996</v>
      </c>
      <c r="Q92">
        <v>1.2</v>
      </c>
      <c r="R92">
        <v>3.9</v>
      </c>
      <c r="S92">
        <v>5.0999999999999996</v>
      </c>
      <c r="T92">
        <v>2.4</v>
      </c>
      <c r="U92">
        <v>0.6</v>
      </c>
      <c r="V92">
        <v>1.1000000000000001</v>
      </c>
      <c r="W92">
        <v>1.8</v>
      </c>
      <c r="X92">
        <v>2.4</v>
      </c>
      <c r="Y92">
        <v>16.399999999999999</v>
      </c>
      <c r="AP92">
        <v>5.3</v>
      </c>
      <c r="AQ92">
        <v>12.1</v>
      </c>
      <c r="AR92">
        <v>1.6</v>
      </c>
      <c r="AS92">
        <v>5</v>
      </c>
      <c r="AT92">
        <v>4.2</v>
      </c>
      <c r="AU92">
        <v>5.0999999999999996</v>
      </c>
      <c r="AV92">
        <v>5.0999999999999996</v>
      </c>
      <c r="AW92">
        <v>2.4</v>
      </c>
      <c r="AX92">
        <v>16.399999999999999</v>
      </c>
    </row>
    <row r="93" spans="1:50" x14ac:dyDescent="0.2">
      <c r="A93" s="1" t="s">
        <v>137</v>
      </c>
      <c r="B93" s="1" t="s">
        <v>26</v>
      </c>
      <c r="C93">
        <v>21</v>
      </c>
      <c r="D93" s="1" t="s">
        <v>60</v>
      </c>
      <c r="E93">
        <v>67</v>
      </c>
      <c r="F93">
        <v>66</v>
      </c>
      <c r="G93">
        <v>30</v>
      </c>
      <c r="H93">
        <v>5.7</v>
      </c>
      <c r="I93">
        <v>12</v>
      </c>
      <c r="J93">
        <v>0.47299999999999998</v>
      </c>
      <c r="K93">
        <v>1.2</v>
      </c>
      <c r="L93">
        <v>3.6</v>
      </c>
      <c r="M93">
        <v>0.32800000000000001</v>
      </c>
      <c r="N93">
        <v>4.2</v>
      </c>
      <c r="O93">
        <v>5.7</v>
      </c>
      <c r="P93">
        <v>0.73699999999999999</v>
      </c>
      <c r="Q93">
        <v>1.4</v>
      </c>
      <c r="R93">
        <v>3.8</v>
      </c>
      <c r="S93">
        <v>5.2</v>
      </c>
      <c r="T93">
        <v>7.4</v>
      </c>
      <c r="U93">
        <v>1.1000000000000001</v>
      </c>
      <c r="V93">
        <v>0.3</v>
      </c>
      <c r="W93">
        <v>3.2</v>
      </c>
      <c r="X93">
        <v>3.3</v>
      </c>
      <c r="Y93">
        <v>16.8</v>
      </c>
      <c r="AP93">
        <v>5.7</v>
      </c>
      <c r="AQ93">
        <v>12</v>
      </c>
      <c r="AR93">
        <v>1.2</v>
      </c>
      <c r="AS93">
        <v>3.6</v>
      </c>
      <c r="AT93">
        <v>4.2</v>
      </c>
      <c r="AU93">
        <v>5.7</v>
      </c>
      <c r="AV93">
        <v>5.2</v>
      </c>
      <c r="AW93">
        <v>7.4</v>
      </c>
      <c r="AX93">
        <v>16.8</v>
      </c>
    </row>
    <row r="94" spans="1:50" x14ac:dyDescent="0.2">
      <c r="A94" s="1" t="s">
        <v>138</v>
      </c>
      <c r="B94" s="1" t="s">
        <v>23</v>
      </c>
      <c r="C94">
        <v>28</v>
      </c>
      <c r="D94" s="1" t="s">
        <v>55</v>
      </c>
      <c r="E94">
        <v>67</v>
      </c>
      <c r="F94">
        <v>67</v>
      </c>
      <c r="G94">
        <v>33.200000000000003</v>
      </c>
      <c r="H94">
        <v>5.8</v>
      </c>
      <c r="I94">
        <v>12</v>
      </c>
      <c r="J94">
        <v>0.48399999999999999</v>
      </c>
      <c r="K94">
        <v>2.2999999999999998</v>
      </c>
      <c r="L94">
        <v>6.1</v>
      </c>
      <c r="M94">
        <v>0.38600000000000001</v>
      </c>
      <c r="N94">
        <v>2.7</v>
      </c>
      <c r="O94">
        <v>3.3</v>
      </c>
      <c r="P94">
        <v>0.82799999999999996</v>
      </c>
      <c r="Q94">
        <v>1.3</v>
      </c>
      <c r="R94">
        <v>4</v>
      </c>
      <c r="S94">
        <v>5.2</v>
      </c>
      <c r="T94">
        <v>2.2000000000000002</v>
      </c>
      <c r="U94">
        <v>1.6</v>
      </c>
      <c r="V94">
        <v>0.7</v>
      </c>
      <c r="W94">
        <v>1.8</v>
      </c>
      <c r="X94">
        <v>2.4</v>
      </c>
      <c r="Y94">
        <v>16.7</v>
      </c>
      <c r="AP94">
        <v>5.8</v>
      </c>
      <c r="AQ94">
        <v>12</v>
      </c>
      <c r="AR94">
        <v>2.2999999999999998</v>
      </c>
      <c r="AS94">
        <v>6.1</v>
      </c>
      <c r="AT94">
        <v>2.7</v>
      </c>
      <c r="AU94">
        <v>3.3</v>
      </c>
      <c r="AV94">
        <v>5.2</v>
      </c>
      <c r="AW94">
        <v>2.2000000000000002</v>
      </c>
      <c r="AX94">
        <v>16.7</v>
      </c>
    </row>
    <row r="95" spans="1:50" x14ac:dyDescent="0.2">
      <c r="A95" s="1" t="s">
        <v>139</v>
      </c>
      <c r="B95" s="1" t="s">
        <v>26</v>
      </c>
      <c r="C95">
        <v>29</v>
      </c>
      <c r="D95" s="1" t="s">
        <v>81</v>
      </c>
      <c r="E95">
        <v>14</v>
      </c>
      <c r="F95">
        <v>14</v>
      </c>
      <c r="G95">
        <v>27.8</v>
      </c>
      <c r="H95">
        <v>6.3</v>
      </c>
      <c r="I95">
        <v>13</v>
      </c>
      <c r="J95">
        <v>0.48399999999999999</v>
      </c>
      <c r="K95">
        <v>1.4</v>
      </c>
      <c r="L95">
        <v>4.4000000000000004</v>
      </c>
      <c r="M95">
        <v>0.30599999999999999</v>
      </c>
      <c r="N95">
        <v>2.8</v>
      </c>
      <c r="O95">
        <v>3.2</v>
      </c>
      <c r="P95">
        <v>0.86699999999999999</v>
      </c>
      <c r="Q95">
        <v>0.3</v>
      </c>
      <c r="R95">
        <v>5.0999999999999996</v>
      </c>
      <c r="S95">
        <v>5.4</v>
      </c>
      <c r="T95">
        <v>6.4</v>
      </c>
      <c r="U95">
        <v>1.6</v>
      </c>
      <c r="V95">
        <v>0.2</v>
      </c>
      <c r="W95">
        <v>3.4</v>
      </c>
      <c r="X95">
        <v>2.4</v>
      </c>
      <c r="Y95">
        <v>16.7</v>
      </c>
      <c r="AP95">
        <v>6.3</v>
      </c>
      <c r="AQ95">
        <v>13</v>
      </c>
      <c r="AR95">
        <v>1.4</v>
      </c>
      <c r="AS95">
        <v>4.4000000000000004</v>
      </c>
      <c r="AT95">
        <v>2.8</v>
      </c>
      <c r="AU95">
        <v>3.2</v>
      </c>
      <c r="AV95">
        <v>5.4</v>
      </c>
      <c r="AW95">
        <v>6.4</v>
      </c>
      <c r="AX95">
        <v>16.7</v>
      </c>
    </row>
    <row r="96" spans="1:50" x14ac:dyDescent="0.2">
      <c r="A96" s="1" t="s">
        <v>140</v>
      </c>
      <c r="B96" s="1" t="s">
        <v>26</v>
      </c>
      <c r="C96">
        <v>26</v>
      </c>
      <c r="D96" s="1" t="s">
        <v>83</v>
      </c>
      <c r="E96">
        <v>69</v>
      </c>
      <c r="F96">
        <v>69</v>
      </c>
      <c r="G96">
        <v>32.1</v>
      </c>
      <c r="H96">
        <v>5.8</v>
      </c>
      <c r="I96">
        <v>13</v>
      </c>
      <c r="J96">
        <v>0.44400000000000001</v>
      </c>
      <c r="K96">
        <v>2.6</v>
      </c>
      <c r="L96">
        <v>6.9</v>
      </c>
      <c r="M96">
        <v>0.376</v>
      </c>
      <c r="N96">
        <v>2.5</v>
      </c>
      <c r="O96">
        <v>3</v>
      </c>
      <c r="P96">
        <v>0.82099999999999995</v>
      </c>
      <c r="Q96">
        <v>0.6</v>
      </c>
      <c r="R96">
        <v>3.5</v>
      </c>
      <c r="S96">
        <v>4.0999999999999996</v>
      </c>
      <c r="T96">
        <v>5.9</v>
      </c>
      <c r="U96">
        <v>1.3</v>
      </c>
      <c r="V96">
        <v>0.1</v>
      </c>
      <c r="W96">
        <v>1.5</v>
      </c>
      <c r="X96">
        <v>2</v>
      </c>
      <c r="Y96">
        <v>16.600000000000001</v>
      </c>
      <c r="AP96">
        <v>5.8</v>
      </c>
      <c r="AQ96">
        <v>13</v>
      </c>
      <c r="AR96">
        <v>2.6</v>
      </c>
      <c r="AS96">
        <v>6.9</v>
      </c>
      <c r="AT96">
        <v>2.5</v>
      </c>
      <c r="AU96">
        <v>3</v>
      </c>
      <c r="AV96">
        <v>4.0999999999999996</v>
      </c>
      <c r="AW96">
        <v>5.9</v>
      </c>
      <c r="AX96">
        <v>16.600000000000001</v>
      </c>
    </row>
    <row r="97" spans="1:50" x14ac:dyDescent="0.2">
      <c r="A97" s="1" t="s">
        <v>141</v>
      </c>
      <c r="B97" s="1" t="s">
        <v>31</v>
      </c>
      <c r="C97">
        <v>30</v>
      </c>
      <c r="D97" s="1" t="s">
        <v>53</v>
      </c>
      <c r="E97">
        <v>51</v>
      </c>
      <c r="F97">
        <v>27</v>
      </c>
      <c r="G97">
        <v>28.8</v>
      </c>
      <c r="H97">
        <v>5.3</v>
      </c>
      <c r="I97">
        <v>13.1</v>
      </c>
      <c r="J97">
        <v>0.40300000000000002</v>
      </c>
      <c r="K97">
        <v>3.1</v>
      </c>
      <c r="L97">
        <v>8.9</v>
      </c>
      <c r="M97">
        <v>0.34899999999999998</v>
      </c>
      <c r="N97">
        <v>2.8</v>
      </c>
      <c r="O97">
        <v>3.3</v>
      </c>
      <c r="P97">
        <v>0.85699999999999998</v>
      </c>
      <c r="Q97">
        <v>0.7</v>
      </c>
      <c r="R97">
        <v>2.2999999999999998</v>
      </c>
      <c r="S97">
        <v>3</v>
      </c>
      <c r="T97">
        <v>3.8</v>
      </c>
      <c r="U97">
        <v>1.4</v>
      </c>
      <c r="V97">
        <v>0.3</v>
      </c>
      <c r="W97">
        <v>1.6</v>
      </c>
      <c r="X97">
        <v>2.2999999999999998</v>
      </c>
      <c r="Y97">
        <v>16.5</v>
      </c>
      <c r="AP97">
        <v>5.3</v>
      </c>
      <c r="AQ97">
        <v>13.1</v>
      </c>
      <c r="AR97">
        <v>3.1</v>
      </c>
      <c r="AS97">
        <v>8.9</v>
      </c>
      <c r="AT97">
        <v>2.8</v>
      </c>
      <c r="AU97">
        <v>3.3</v>
      </c>
      <c r="AV97">
        <v>3</v>
      </c>
      <c r="AW97">
        <v>3.8</v>
      </c>
      <c r="AX97">
        <v>16.5</v>
      </c>
    </row>
    <row r="98" spans="1:50" x14ac:dyDescent="0.2">
      <c r="A98" s="1" t="s">
        <v>142</v>
      </c>
      <c r="B98" s="1" t="s">
        <v>31</v>
      </c>
      <c r="C98">
        <v>31</v>
      </c>
      <c r="D98" s="1" t="s">
        <v>35</v>
      </c>
      <c r="E98">
        <v>77</v>
      </c>
      <c r="F98">
        <v>77</v>
      </c>
      <c r="G98">
        <v>34.1</v>
      </c>
      <c r="H98">
        <v>5.7</v>
      </c>
      <c r="I98">
        <v>14.4</v>
      </c>
      <c r="J98">
        <v>0.39400000000000002</v>
      </c>
      <c r="K98">
        <v>2.7</v>
      </c>
      <c r="L98">
        <v>8.3000000000000007</v>
      </c>
      <c r="M98">
        <v>0.32700000000000001</v>
      </c>
      <c r="N98">
        <v>2.4</v>
      </c>
      <c r="O98">
        <v>2.6</v>
      </c>
      <c r="P98">
        <v>0.90200000000000002</v>
      </c>
      <c r="Q98">
        <v>1.1000000000000001</v>
      </c>
      <c r="R98">
        <v>3.3</v>
      </c>
      <c r="S98">
        <v>4.4000000000000004</v>
      </c>
      <c r="T98">
        <v>5.4</v>
      </c>
      <c r="U98">
        <v>1.1000000000000001</v>
      </c>
      <c r="V98">
        <v>1.3</v>
      </c>
      <c r="W98">
        <v>1.7</v>
      </c>
      <c r="X98">
        <v>1.5</v>
      </c>
      <c r="Y98">
        <v>16.5</v>
      </c>
      <c r="AP98">
        <v>5.7</v>
      </c>
      <c r="AQ98">
        <v>14.4</v>
      </c>
      <c r="AR98">
        <v>2.7</v>
      </c>
      <c r="AS98">
        <v>8.3000000000000007</v>
      </c>
      <c r="AT98">
        <v>2.4</v>
      </c>
      <c r="AU98">
        <v>2.6</v>
      </c>
      <c r="AV98">
        <v>4.4000000000000004</v>
      </c>
      <c r="AW98">
        <v>5.4</v>
      </c>
      <c r="AX98">
        <v>16.5</v>
      </c>
    </row>
    <row r="99" spans="1:50" x14ac:dyDescent="0.2">
      <c r="A99" s="1" t="s">
        <v>143</v>
      </c>
      <c r="B99" s="1" t="s">
        <v>23</v>
      </c>
      <c r="C99">
        <v>21</v>
      </c>
      <c r="D99" s="1" t="s">
        <v>128</v>
      </c>
      <c r="E99">
        <v>77</v>
      </c>
      <c r="F99">
        <v>77</v>
      </c>
      <c r="G99">
        <v>29.2</v>
      </c>
      <c r="H99">
        <v>5.8</v>
      </c>
      <c r="I99">
        <v>12.5</v>
      </c>
      <c r="J99">
        <v>0.46300000000000002</v>
      </c>
      <c r="K99">
        <v>2.2000000000000002</v>
      </c>
      <c r="L99">
        <v>6.4</v>
      </c>
      <c r="M99">
        <v>0.34899999999999998</v>
      </c>
      <c r="N99">
        <v>2.4</v>
      </c>
      <c r="O99">
        <v>3.1</v>
      </c>
      <c r="P99">
        <v>0.78600000000000003</v>
      </c>
      <c r="Q99">
        <v>1</v>
      </c>
      <c r="R99">
        <v>4.8</v>
      </c>
      <c r="S99">
        <v>5.8</v>
      </c>
      <c r="T99">
        <v>2.1</v>
      </c>
      <c r="U99">
        <v>0.7</v>
      </c>
      <c r="V99">
        <v>1.5</v>
      </c>
      <c r="W99">
        <v>2.1</v>
      </c>
      <c r="X99">
        <v>2.2999999999999998</v>
      </c>
      <c r="Y99">
        <v>16.3</v>
      </c>
      <c r="AP99">
        <v>5.8</v>
      </c>
      <c r="AQ99">
        <v>12.5</v>
      </c>
      <c r="AR99">
        <v>2.2000000000000002</v>
      </c>
      <c r="AS99">
        <v>6.4</v>
      </c>
      <c r="AT99">
        <v>2.4</v>
      </c>
      <c r="AU99">
        <v>3.1</v>
      </c>
      <c r="AV99">
        <v>5.8</v>
      </c>
      <c r="AW99">
        <v>2.1</v>
      </c>
      <c r="AX99">
        <v>16.3</v>
      </c>
    </row>
    <row r="100" spans="1:50" x14ac:dyDescent="0.2">
      <c r="A100" s="1" t="s">
        <v>144</v>
      </c>
      <c r="B100" s="1" t="s">
        <v>43</v>
      </c>
      <c r="C100">
        <v>20</v>
      </c>
      <c r="D100" s="1" t="s">
        <v>113</v>
      </c>
      <c r="E100">
        <v>48</v>
      </c>
      <c r="F100">
        <v>48</v>
      </c>
      <c r="G100">
        <v>27.2</v>
      </c>
      <c r="H100">
        <v>6.6</v>
      </c>
      <c r="I100">
        <v>13.7</v>
      </c>
      <c r="J100">
        <v>0.48199999999999998</v>
      </c>
      <c r="K100">
        <v>1</v>
      </c>
      <c r="L100">
        <v>3.1</v>
      </c>
      <c r="M100">
        <v>0.33300000000000002</v>
      </c>
      <c r="N100">
        <v>2.1</v>
      </c>
      <c r="O100">
        <v>3</v>
      </c>
      <c r="P100">
        <v>0.69199999999999995</v>
      </c>
      <c r="Q100">
        <v>2.2000000000000002</v>
      </c>
      <c r="R100">
        <v>5.2</v>
      </c>
      <c r="S100">
        <v>7.4</v>
      </c>
      <c r="T100">
        <v>2.7</v>
      </c>
      <c r="U100">
        <v>0.8</v>
      </c>
      <c r="V100">
        <v>2</v>
      </c>
      <c r="W100">
        <v>1.7</v>
      </c>
      <c r="X100">
        <v>2.2000000000000002</v>
      </c>
      <c r="Y100">
        <v>16.3</v>
      </c>
      <c r="AP100">
        <v>6.6</v>
      </c>
      <c r="AQ100">
        <v>13.7</v>
      </c>
      <c r="AR100">
        <v>1</v>
      </c>
      <c r="AS100">
        <v>3.1</v>
      </c>
      <c r="AT100">
        <v>2.1</v>
      </c>
      <c r="AU100">
        <v>3</v>
      </c>
      <c r="AV100">
        <v>7.4</v>
      </c>
      <c r="AW100">
        <v>2.7</v>
      </c>
      <c r="AX100">
        <v>16.3</v>
      </c>
    </row>
    <row r="101" spans="1:50" x14ac:dyDescent="0.2">
      <c r="A101" s="1" t="s">
        <v>145</v>
      </c>
      <c r="B101" s="1" t="s">
        <v>23</v>
      </c>
      <c r="C101">
        <v>30</v>
      </c>
      <c r="D101" s="1" t="s">
        <v>44</v>
      </c>
      <c r="E101">
        <v>36</v>
      </c>
      <c r="F101">
        <v>33</v>
      </c>
      <c r="G101">
        <v>27.9</v>
      </c>
      <c r="H101">
        <v>5.5</v>
      </c>
      <c r="I101">
        <v>11.1</v>
      </c>
      <c r="J101">
        <v>0.497</v>
      </c>
      <c r="K101">
        <v>1.7</v>
      </c>
      <c r="L101">
        <v>4.4000000000000004</v>
      </c>
      <c r="M101">
        <v>0.38900000000000001</v>
      </c>
      <c r="N101">
        <v>3.5</v>
      </c>
      <c r="O101">
        <v>4.5</v>
      </c>
      <c r="P101">
        <v>0.76700000000000002</v>
      </c>
      <c r="Q101">
        <v>1.4</v>
      </c>
      <c r="R101">
        <v>4.4000000000000004</v>
      </c>
      <c r="S101">
        <v>5.8</v>
      </c>
      <c r="T101">
        <v>2.7</v>
      </c>
      <c r="U101">
        <v>0.6</v>
      </c>
      <c r="V101">
        <v>0.3</v>
      </c>
      <c r="W101">
        <v>1.1000000000000001</v>
      </c>
      <c r="X101">
        <v>1.7</v>
      </c>
      <c r="Y101">
        <v>16.2</v>
      </c>
      <c r="AP101">
        <v>5.5</v>
      </c>
      <c r="AQ101">
        <v>11.1</v>
      </c>
      <c r="AR101">
        <v>1.7</v>
      </c>
      <c r="AS101">
        <v>4.4000000000000004</v>
      </c>
      <c r="AT101">
        <v>3.5</v>
      </c>
      <c r="AU101">
        <v>4.5</v>
      </c>
      <c r="AV101">
        <v>5.8</v>
      </c>
      <c r="AW101">
        <v>2.7</v>
      </c>
      <c r="AX101">
        <v>16.2</v>
      </c>
    </row>
    <row r="102" spans="1:50" x14ac:dyDescent="0.2">
      <c r="A102" s="1" t="s">
        <v>146</v>
      </c>
      <c r="B102" s="1" t="s">
        <v>26</v>
      </c>
      <c r="C102">
        <v>35</v>
      </c>
      <c r="D102" s="1" t="s">
        <v>62</v>
      </c>
      <c r="E102">
        <v>52</v>
      </c>
      <c r="F102">
        <v>50</v>
      </c>
      <c r="G102">
        <v>29.4</v>
      </c>
      <c r="H102">
        <v>6</v>
      </c>
      <c r="I102">
        <v>13.3</v>
      </c>
      <c r="J102">
        <v>0.45200000000000001</v>
      </c>
      <c r="K102">
        <v>2.6</v>
      </c>
      <c r="L102">
        <v>6.8</v>
      </c>
      <c r="M102">
        <v>0.38100000000000001</v>
      </c>
      <c r="N102">
        <v>1.6</v>
      </c>
      <c r="O102">
        <v>1.9</v>
      </c>
      <c r="P102">
        <v>0.83799999999999997</v>
      </c>
      <c r="Q102">
        <v>1.3</v>
      </c>
      <c r="R102">
        <v>3.3</v>
      </c>
      <c r="S102">
        <v>4.5999999999999996</v>
      </c>
      <c r="T102">
        <v>6.1</v>
      </c>
      <c r="U102">
        <v>1</v>
      </c>
      <c r="V102">
        <v>0.1</v>
      </c>
      <c r="W102">
        <v>2.7</v>
      </c>
      <c r="X102">
        <v>1.5</v>
      </c>
      <c r="Y102">
        <v>16.2</v>
      </c>
      <c r="AP102">
        <v>6</v>
      </c>
      <c r="AQ102">
        <v>13.3</v>
      </c>
      <c r="AR102">
        <v>2.6</v>
      </c>
      <c r="AS102">
        <v>6.8</v>
      </c>
      <c r="AT102">
        <v>1.6</v>
      </c>
      <c r="AU102">
        <v>1.9</v>
      </c>
      <c r="AV102">
        <v>4.5999999999999996</v>
      </c>
      <c r="AW102">
        <v>6.1</v>
      </c>
      <c r="AX102">
        <v>16.2</v>
      </c>
    </row>
    <row r="103" spans="1:50" x14ac:dyDescent="0.2">
      <c r="A103" s="1" t="s">
        <v>147</v>
      </c>
      <c r="B103" s="1" t="s">
        <v>31</v>
      </c>
      <c r="C103">
        <v>20</v>
      </c>
      <c r="D103" s="1" t="s">
        <v>37</v>
      </c>
      <c r="E103">
        <v>74</v>
      </c>
      <c r="F103">
        <v>74</v>
      </c>
      <c r="G103">
        <v>35</v>
      </c>
      <c r="H103">
        <v>6</v>
      </c>
      <c r="I103">
        <v>13.8</v>
      </c>
      <c r="J103">
        <v>0.439</v>
      </c>
      <c r="K103">
        <v>2</v>
      </c>
      <c r="L103">
        <v>5.6</v>
      </c>
      <c r="M103">
        <v>0.35599999999999998</v>
      </c>
      <c r="N103">
        <v>2</v>
      </c>
      <c r="O103">
        <v>2.4</v>
      </c>
      <c r="P103">
        <v>0.81799999999999995</v>
      </c>
      <c r="Q103">
        <v>1.6</v>
      </c>
      <c r="R103">
        <v>4</v>
      </c>
      <c r="S103">
        <v>5.6</v>
      </c>
      <c r="T103">
        <v>4.0999999999999996</v>
      </c>
      <c r="U103">
        <v>1.4</v>
      </c>
      <c r="V103">
        <v>0.5</v>
      </c>
      <c r="W103">
        <v>1.8</v>
      </c>
      <c r="X103">
        <v>2.9</v>
      </c>
      <c r="Y103">
        <v>16.100000000000001</v>
      </c>
      <c r="AP103">
        <v>6</v>
      </c>
      <c r="AQ103">
        <v>13.8</v>
      </c>
      <c r="AR103">
        <v>2</v>
      </c>
      <c r="AS103">
        <v>5.6</v>
      </c>
      <c r="AT103">
        <v>2</v>
      </c>
      <c r="AU103">
        <v>2.4</v>
      </c>
      <c r="AV103">
        <v>5.6</v>
      </c>
      <c r="AW103">
        <v>4.0999999999999996</v>
      </c>
      <c r="AX103">
        <v>16.100000000000001</v>
      </c>
    </row>
    <row r="104" spans="1:50" x14ac:dyDescent="0.2">
      <c r="A104" s="1" t="s">
        <v>148</v>
      </c>
      <c r="B104" s="1" t="s">
        <v>43</v>
      </c>
      <c r="C104">
        <v>29</v>
      </c>
      <c r="D104" s="1" t="s">
        <v>109</v>
      </c>
      <c r="E104">
        <v>19</v>
      </c>
      <c r="F104">
        <v>15</v>
      </c>
      <c r="G104">
        <v>29.7</v>
      </c>
      <c r="H104">
        <v>6.3</v>
      </c>
      <c r="I104">
        <v>11.6</v>
      </c>
      <c r="J104">
        <v>0.54300000000000004</v>
      </c>
      <c r="K104">
        <v>0.3</v>
      </c>
      <c r="L104">
        <v>1.4</v>
      </c>
      <c r="M104">
        <v>0.185</v>
      </c>
      <c r="N104">
        <v>2.9</v>
      </c>
      <c r="O104">
        <v>4.0999999999999996</v>
      </c>
      <c r="P104">
        <v>0.72699999999999998</v>
      </c>
      <c r="Q104">
        <v>3.4</v>
      </c>
      <c r="R104">
        <v>8</v>
      </c>
      <c r="S104">
        <v>11.4</v>
      </c>
      <c r="T104">
        <v>4.0999999999999996</v>
      </c>
      <c r="U104">
        <v>0.9</v>
      </c>
      <c r="V104">
        <v>0.2</v>
      </c>
      <c r="W104">
        <v>2.7</v>
      </c>
      <c r="X104">
        <v>3.5</v>
      </c>
      <c r="Y104">
        <v>15.8</v>
      </c>
      <c r="AP104">
        <v>6.3</v>
      </c>
      <c r="AQ104">
        <v>11.6</v>
      </c>
      <c r="AR104">
        <v>0.3</v>
      </c>
      <c r="AS104">
        <v>1.4</v>
      </c>
      <c r="AT104">
        <v>2.9</v>
      </c>
      <c r="AU104">
        <v>4.0999999999999996</v>
      </c>
      <c r="AV104">
        <v>11.4</v>
      </c>
      <c r="AW104">
        <v>4.0999999999999996</v>
      </c>
      <c r="AX104">
        <v>15.8</v>
      </c>
    </row>
    <row r="105" spans="1:50" x14ac:dyDescent="0.2">
      <c r="A105" s="1" t="s">
        <v>149</v>
      </c>
      <c r="B105" s="1" t="s">
        <v>23</v>
      </c>
      <c r="C105">
        <v>22</v>
      </c>
      <c r="D105" s="1" t="s">
        <v>57</v>
      </c>
      <c r="E105">
        <v>77</v>
      </c>
      <c r="F105">
        <v>77</v>
      </c>
      <c r="G105">
        <v>35.1</v>
      </c>
      <c r="H105">
        <v>5.7</v>
      </c>
      <c r="I105">
        <v>12.6</v>
      </c>
      <c r="J105">
        <v>0.45</v>
      </c>
      <c r="K105">
        <v>2.2999999999999998</v>
      </c>
      <c r="L105">
        <v>6.3</v>
      </c>
      <c r="M105">
        <v>0.36299999999999999</v>
      </c>
      <c r="N105">
        <v>2.1</v>
      </c>
      <c r="O105">
        <v>2.7</v>
      </c>
      <c r="P105">
        <v>0.77500000000000002</v>
      </c>
      <c r="Q105">
        <v>1.4</v>
      </c>
      <c r="R105">
        <v>5.5</v>
      </c>
      <c r="S105">
        <v>6.9</v>
      </c>
      <c r="T105">
        <v>1.9</v>
      </c>
      <c r="U105">
        <v>0.7</v>
      </c>
      <c r="V105">
        <v>0.9</v>
      </c>
      <c r="W105">
        <v>1.4</v>
      </c>
      <c r="X105">
        <v>2.5</v>
      </c>
      <c r="Y105">
        <v>15.8</v>
      </c>
      <c r="AP105">
        <v>5.7</v>
      </c>
      <c r="AQ105">
        <v>12.6</v>
      </c>
      <c r="AR105">
        <v>2.2999999999999998</v>
      </c>
      <c r="AS105">
        <v>6.3</v>
      </c>
      <c r="AT105">
        <v>2.1</v>
      </c>
      <c r="AU105">
        <v>2.7</v>
      </c>
      <c r="AV105">
        <v>6.9</v>
      </c>
      <c r="AW105">
        <v>1.9</v>
      </c>
      <c r="AX105">
        <v>15.8</v>
      </c>
    </row>
    <row r="106" spans="1:50" x14ac:dyDescent="0.2">
      <c r="A106" s="1" t="s">
        <v>150</v>
      </c>
      <c r="B106" s="1" t="s">
        <v>34</v>
      </c>
      <c r="C106">
        <v>30</v>
      </c>
      <c r="D106" s="1" t="s">
        <v>79</v>
      </c>
      <c r="E106">
        <v>67</v>
      </c>
      <c r="F106">
        <v>67</v>
      </c>
      <c r="G106">
        <v>30.4</v>
      </c>
      <c r="H106">
        <v>5.8</v>
      </c>
      <c r="I106">
        <v>12.1</v>
      </c>
      <c r="J106">
        <v>0.47899999999999998</v>
      </c>
      <c r="K106">
        <v>2.1</v>
      </c>
      <c r="L106">
        <v>4.9000000000000004</v>
      </c>
      <c r="M106">
        <v>0.41899999999999998</v>
      </c>
      <c r="N106">
        <v>1.9</v>
      </c>
      <c r="O106">
        <v>2.4</v>
      </c>
      <c r="P106">
        <v>0.78100000000000003</v>
      </c>
      <c r="Q106">
        <v>1.7</v>
      </c>
      <c r="R106">
        <v>3.2</v>
      </c>
      <c r="S106">
        <v>4.9000000000000004</v>
      </c>
      <c r="T106">
        <v>2.7</v>
      </c>
      <c r="U106">
        <v>1.1000000000000001</v>
      </c>
      <c r="V106">
        <v>1</v>
      </c>
      <c r="W106">
        <v>1.5</v>
      </c>
      <c r="X106">
        <v>2.2999999999999998</v>
      </c>
      <c r="Y106">
        <v>15.5</v>
      </c>
      <c r="AP106">
        <v>5.8</v>
      </c>
      <c r="AQ106">
        <v>12.1</v>
      </c>
      <c r="AR106">
        <v>2.1</v>
      </c>
      <c r="AS106">
        <v>4.9000000000000004</v>
      </c>
      <c r="AT106">
        <v>1.9</v>
      </c>
      <c r="AU106">
        <v>2.4</v>
      </c>
      <c r="AV106">
        <v>4.9000000000000004</v>
      </c>
      <c r="AW106">
        <v>2.7</v>
      </c>
      <c r="AX106">
        <v>15.5</v>
      </c>
    </row>
    <row r="107" spans="1:50" x14ac:dyDescent="0.2">
      <c r="A107" s="1" t="s">
        <v>151</v>
      </c>
      <c r="B107" s="1" t="s">
        <v>31</v>
      </c>
      <c r="C107">
        <v>27</v>
      </c>
      <c r="D107" s="1" t="s">
        <v>70</v>
      </c>
      <c r="E107">
        <v>67</v>
      </c>
      <c r="F107">
        <v>21</v>
      </c>
      <c r="G107">
        <v>23.7</v>
      </c>
      <c r="H107">
        <v>5.3</v>
      </c>
      <c r="I107">
        <v>10.8</v>
      </c>
      <c r="J107">
        <v>0.48499999999999999</v>
      </c>
      <c r="K107">
        <v>1.7</v>
      </c>
      <c r="L107">
        <v>4.0999999999999996</v>
      </c>
      <c r="M107">
        <v>0.39900000000000002</v>
      </c>
      <c r="N107">
        <v>3.2</v>
      </c>
      <c r="O107">
        <v>3.8</v>
      </c>
      <c r="P107">
        <v>0.85399999999999998</v>
      </c>
      <c r="Q107">
        <v>0.6</v>
      </c>
      <c r="R107">
        <v>1.7</v>
      </c>
      <c r="S107">
        <v>2.2999999999999998</v>
      </c>
      <c r="T107">
        <v>3.3</v>
      </c>
      <c r="U107">
        <v>1.1000000000000001</v>
      </c>
      <c r="V107">
        <v>0.1</v>
      </c>
      <c r="W107">
        <v>2.1</v>
      </c>
      <c r="X107">
        <v>2.1</v>
      </c>
      <c r="Y107">
        <v>15.4</v>
      </c>
      <c r="AP107">
        <v>5.3</v>
      </c>
      <c r="AQ107">
        <v>10.8</v>
      </c>
      <c r="AR107">
        <v>1.7</v>
      </c>
      <c r="AS107">
        <v>4.0999999999999996</v>
      </c>
      <c r="AT107">
        <v>3.2</v>
      </c>
      <c r="AU107">
        <v>3.8</v>
      </c>
      <c r="AV107">
        <v>2.2999999999999998</v>
      </c>
      <c r="AW107">
        <v>3.3</v>
      </c>
      <c r="AX107">
        <v>15.4</v>
      </c>
    </row>
    <row r="108" spans="1:50" x14ac:dyDescent="0.2">
      <c r="A108" s="1" t="s">
        <v>151</v>
      </c>
      <c r="B108" s="1" t="s">
        <v>31</v>
      </c>
      <c r="C108">
        <v>27</v>
      </c>
      <c r="D108" s="1" t="s">
        <v>98</v>
      </c>
      <c r="E108">
        <v>42</v>
      </c>
      <c r="F108">
        <v>12</v>
      </c>
      <c r="G108">
        <v>22.3</v>
      </c>
      <c r="H108">
        <v>4.8</v>
      </c>
      <c r="I108">
        <v>9.9</v>
      </c>
      <c r="J108">
        <v>0.48799999999999999</v>
      </c>
      <c r="K108">
        <v>1.4</v>
      </c>
      <c r="L108">
        <v>3.5</v>
      </c>
      <c r="M108">
        <v>0.39300000000000002</v>
      </c>
      <c r="N108">
        <v>3.2</v>
      </c>
      <c r="O108">
        <v>3.7</v>
      </c>
      <c r="P108">
        <v>0.877</v>
      </c>
      <c r="Q108">
        <v>0.4</v>
      </c>
      <c r="R108">
        <v>1.5</v>
      </c>
      <c r="S108">
        <v>1.9</v>
      </c>
      <c r="T108">
        <v>3.7</v>
      </c>
      <c r="U108">
        <v>0.9</v>
      </c>
      <c r="V108">
        <v>0.2</v>
      </c>
      <c r="W108">
        <v>2.1</v>
      </c>
      <c r="X108">
        <v>1.8</v>
      </c>
      <c r="Y108">
        <v>14.2</v>
      </c>
      <c r="AP108">
        <v>4.8</v>
      </c>
      <c r="AQ108">
        <v>9.9</v>
      </c>
      <c r="AR108">
        <v>1.4</v>
      </c>
      <c r="AS108">
        <v>3.5</v>
      </c>
      <c r="AT108">
        <v>3.2</v>
      </c>
      <c r="AU108">
        <v>3.7</v>
      </c>
      <c r="AV108">
        <v>1.9</v>
      </c>
      <c r="AW108">
        <v>3.7</v>
      </c>
      <c r="AX108">
        <v>14.2</v>
      </c>
    </row>
    <row r="109" spans="1:50" x14ac:dyDescent="0.2">
      <c r="A109" s="1" t="s">
        <v>151</v>
      </c>
      <c r="B109" s="1" t="s">
        <v>31</v>
      </c>
      <c r="C109">
        <v>27</v>
      </c>
      <c r="D109" s="1" t="s">
        <v>128</v>
      </c>
      <c r="E109">
        <v>25</v>
      </c>
      <c r="F109">
        <v>9</v>
      </c>
      <c r="G109">
        <v>25.9</v>
      </c>
      <c r="H109">
        <v>6</v>
      </c>
      <c r="I109">
        <v>12.5</v>
      </c>
      <c r="J109">
        <v>0.48099999999999998</v>
      </c>
      <c r="K109">
        <v>2.2000000000000002</v>
      </c>
      <c r="L109">
        <v>5.3</v>
      </c>
      <c r="M109">
        <v>0.40600000000000003</v>
      </c>
      <c r="N109">
        <v>3.2</v>
      </c>
      <c r="O109">
        <v>4</v>
      </c>
      <c r="P109">
        <v>0.81799999999999995</v>
      </c>
      <c r="Q109">
        <v>0.9</v>
      </c>
      <c r="R109">
        <v>2</v>
      </c>
      <c r="S109">
        <v>2.9</v>
      </c>
      <c r="T109">
        <v>2.6</v>
      </c>
      <c r="U109">
        <v>1.6</v>
      </c>
      <c r="V109">
        <v>0.1</v>
      </c>
      <c r="W109">
        <v>2.1</v>
      </c>
      <c r="X109">
        <v>2.6</v>
      </c>
      <c r="Y109">
        <v>17.399999999999999</v>
      </c>
      <c r="AP109">
        <v>6</v>
      </c>
      <c r="AQ109">
        <v>12.5</v>
      </c>
      <c r="AR109">
        <v>2.2000000000000002</v>
      </c>
      <c r="AS109">
        <v>5.3</v>
      </c>
      <c r="AT109">
        <v>3.2</v>
      </c>
      <c r="AU109">
        <v>4</v>
      </c>
      <c r="AV109">
        <v>2.9</v>
      </c>
      <c r="AW109">
        <v>2.6</v>
      </c>
      <c r="AX109">
        <v>17.399999999999999</v>
      </c>
    </row>
    <row r="110" spans="1:50" x14ac:dyDescent="0.2">
      <c r="A110" s="1" t="s">
        <v>152</v>
      </c>
      <c r="B110" s="1" t="s">
        <v>43</v>
      </c>
      <c r="C110">
        <v>27</v>
      </c>
      <c r="D110" s="1" t="s">
        <v>41</v>
      </c>
      <c r="E110">
        <v>56</v>
      </c>
      <c r="F110">
        <v>56</v>
      </c>
      <c r="G110">
        <v>27.1</v>
      </c>
      <c r="H110">
        <v>6</v>
      </c>
      <c r="I110">
        <v>9.4</v>
      </c>
      <c r="J110">
        <v>0.63800000000000001</v>
      </c>
      <c r="K110">
        <v>0</v>
      </c>
      <c r="L110">
        <v>0.2</v>
      </c>
      <c r="M110">
        <v>0.1</v>
      </c>
      <c r="N110">
        <v>3.3</v>
      </c>
      <c r="O110">
        <v>4.7</v>
      </c>
      <c r="P110">
        <v>0.70899999999999996</v>
      </c>
      <c r="Q110">
        <v>2.6</v>
      </c>
      <c r="R110">
        <v>5.9</v>
      </c>
      <c r="S110">
        <v>8.5</v>
      </c>
      <c r="T110">
        <v>1.8</v>
      </c>
      <c r="U110">
        <v>1</v>
      </c>
      <c r="V110">
        <v>0.8</v>
      </c>
      <c r="W110">
        <v>1.3</v>
      </c>
      <c r="X110">
        <v>1.7</v>
      </c>
      <c r="Y110">
        <v>15.4</v>
      </c>
      <c r="AP110">
        <v>6</v>
      </c>
      <c r="AQ110">
        <v>9.4</v>
      </c>
      <c r="AR110">
        <v>0</v>
      </c>
      <c r="AS110">
        <v>0.2</v>
      </c>
      <c r="AT110">
        <v>3.3</v>
      </c>
      <c r="AU110">
        <v>4.7</v>
      </c>
      <c r="AV110">
        <v>8.5</v>
      </c>
      <c r="AW110">
        <v>1.8</v>
      </c>
      <c r="AX110">
        <v>15.4</v>
      </c>
    </row>
    <row r="111" spans="1:50" x14ac:dyDescent="0.2">
      <c r="A111" s="1" t="s">
        <v>153</v>
      </c>
      <c r="B111" s="1" t="s">
        <v>34</v>
      </c>
      <c r="C111">
        <v>24</v>
      </c>
      <c r="D111" s="1" t="s">
        <v>79</v>
      </c>
      <c r="E111">
        <v>74</v>
      </c>
      <c r="F111">
        <v>1</v>
      </c>
      <c r="G111">
        <v>28.3</v>
      </c>
      <c r="H111">
        <v>6.1</v>
      </c>
      <c r="I111">
        <v>12.1</v>
      </c>
      <c r="J111">
        <v>0.503</v>
      </c>
      <c r="K111">
        <v>0.8</v>
      </c>
      <c r="L111">
        <v>2.4</v>
      </c>
      <c r="M111">
        <v>0.317</v>
      </c>
      <c r="N111">
        <v>2.2000000000000002</v>
      </c>
      <c r="O111">
        <v>2.9</v>
      </c>
      <c r="P111">
        <v>0.77100000000000002</v>
      </c>
      <c r="Q111">
        <v>1.3</v>
      </c>
      <c r="R111">
        <v>3.8</v>
      </c>
      <c r="S111">
        <v>5.0999999999999996</v>
      </c>
      <c r="T111">
        <v>4.7</v>
      </c>
      <c r="U111">
        <v>0.7</v>
      </c>
      <c r="V111">
        <v>0.3</v>
      </c>
      <c r="W111">
        <v>2.1</v>
      </c>
      <c r="X111">
        <v>1.9</v>
      </c>
      <c r="Y111">
        <v>15.2</v>
      </c>
      <c r="AP111">
        <v>6.1</v>
      </c>
      <c r="AQ111">
        <v>12.1</v>
      </c>
      <c r="AR111">
        <v>0.8</v>
      </c>
      <c r="AS111">
        <v>2.4</v>
      </c>
      <c r="AT111">
        <v>2.2000000000000002</v>
      </c>
      <c r="AU111">
        <v>2.9</v>
      </c>
      <c r="AV111">
        <v>5.0999999999999996</v>
      </c>
      <c r="AW111">
        <v>4.7</v>
      </c>
      <c r="AX111">
        <v>15.2</v>
      </c>
    </row>
    <row r="112" spans="1:50" x14ac:dyDescent="0.2">
      <c r="A112" s="1" t="s">
        <v>154</v>
      </c>
      <c r="B112" s="1" t="s">
        <v>34</v>
      </c>
      <c r="C112">
        <v>28</v>
      </c>
      <c r="D112" s="1" t="s">
        <v>85</v>
      </c>
      <c r="E112">
        <v>74</v>
      </c>
      <c r="F112">
        <v>47</v>
      </c>
      <c r="G112">
        <v>29.5</v>
      </c>
      <c r="H112">
        <v>5.7</v>
      </c>
      <c r="I112">
        <v>11.1</v>
      </c>
      <c r="J112">
        <v>0.51</v>
      </c>
      <c r="K112">
        <v>0.8</v>
      </c>
      <c r="L112">
        <v>2.9</v>
      </c>
      <c r="M112">
        <v>0.29099999999999998</v>
      </c>
      <c r="N112">
        <v>3.1</v>
      </c>
      <c r="O112">
        <v>4.0999999999999996</v>
      </c>
      <c r="P112">
        <v>0.76</v>
      </c>
      <c r="Q112">
        <v>0.9</v>
      </c>
      <c r="R112">
        <v>3.8</v>
      </c>
      <c r="S112">
        <v>4.7</v>
      </c>
      <c r="T112">
        <v>3.3</v>
      </c>
      <c r="U112">
        <v>1.1000000000000001</v>
      </c>
      <c r="V112">
        <v>0.1</v>
      </c>
      <c r="W112">
        <v>1.6</v>
      </c>
      <c r="X112">
        <v>1.9</v>
      </c>
      <c r="Y112">
        <v>15.2</v>
      </c>
      <c r="AP112">
        <v>5.7</v>
      </c>
      <c r="AQ112">
        <v>11.1</v>
      </c>
      <c r="AR112">
        <v>0.8</v>
      </c>
      <c r="AS112">
        <v>2.9</v>
      </c>
      <c r="AT112">
        <v>3.1</v>
      </c>
      <c r="AU112">
        <v>4.0999999999999996</v>
      </c>
      <c r="AV112">
        <v>4.7</v>
      </c>
      <c r="AW112">
        <v>3.3</v>
      </c>
      <c r="AX112">
        <v>15.2</v>
      </c>
    </row>
    <row r="113" spans="1:50" x14ac:dyDescent="0.2">
      <c r="A113" s="1" t="s">
        <v>155</v>
      </c>
      <c r="B113" s="1" t="s">
        <v>43</v>
      </c>
      <c r="C113">
        <v>25</v>
      </c>
      <c r="D113" s="1" t="s">
        <v>74</v>
      </c>
      <c r="E113">
        <v>74</v>
      </c>
      <c r="F113">
        <v>63</v>
      </c>
      <c r="G113">
        <v>31</v>
      </c>
      <c r="H113">
        <v>5.6</v>
      </c>
      <c r="I113">
        <v>11.6</v>
      </c>
      <c r="J113">
        <v>0.48</v>
      </c>
      <c r="K113">
        <v>1.9</v>
      </c>
      <c r="L113">
        <v>5.2</v>
      </c>
      <c r="M113">
        <v>0.376</v>
      </c>
      <c r="N113">
        <v>2.1</v>
      </c>
      <c r="O113">
        <v>2.7</v>
      </c>
      <c r="P113">
        <v>0.75700000000000001</v>
      </c>
      <c r="Q113">
        <v>1.9</v>
      </c>
      <c r="R113">
        <v>5.7</v>
      </c>
      <c r="S113">
        <v>7.6</v>
      </c>
      <c r="T113">
        <v>3.1</v>
      </c>
      <c r="U113">
        <v>1.1000000000000001</v>
      </c>
      <c r="V113">
        <v>1.1000000000000001</v>
      </c>
      <c r="W113">
        <v>1.7</v>
      </c>
      <c r="X113">
        <v>3.3</v>
      </c>
      <c r="Y113">
        <v>15.2</v>
      </c>
      <c r="AP113">
        <v>5.6</v>
      </c>
      <c r="AQ113">
        <v>11.6</v>
      </c>
      <c r="AR113">
        <v>1.9</v>
      </c>
      <c r="AS113">
        <v>5.2</v>
      </c>
      <c r="AT113">
        <v>2.1</v>
      </c>
      <c r="AU113">
        <v>2.7</v>
      </c>
      <c r="AV113">
        <v>7.6</v>
      </c>
      <c r="AW113">
        <v>3.1</v>
      </c>
      <c r="AX113">
        <v>15.2</v>
      </c>
    </row>
    <row r="114" spans="1:50" x14ac:dyDescent="0.2">
      <c r="A114" s="1" t="s">
        <v>156</v>
      </c>
      <c r="B114" s="1" t="s">
        <v>34</v>
      </c>
      <c r="C114">
        <v>37</v>
      </c>
      <c r="D114" s="1" t="s">
        <v>109</v>
      </c>
      <c r="E114">
        <v>64</v>
      </c>
      <c r="F114">
        <v>58</v>
      </c>
      <c r="G114">
        <v>29</v>
      </c>
      <c r="H114">
        <v>5.6</v>
      </c>
      <c r="I114">
        <v>13.1</v>
      </c>
      <c r="J114">
        <v>0.42699999999999999</v>
      </c>
      <c r="K114">
        <v>2</v>
      </c>
      <c r="L114">
        <v>5.9</v>
      </c>
      <c r="M114">
        <v>0.33800000000000002</v>
      </c>
      <c r="N114">
        <v>2</v>
      </c>
      <c r="O114">
        <v>2.9</v>
      </c>
      <c r="P114">
        <v>0.69399999999999995</v>
      </c>
      <c r="Q114">
        <v>1.3</v>
      </c>
      <c r="R114">
        <v>4.2</v>
      </c>
      <c r="S114">
        <v>5.4</v>
      </c>
      <c r="T114">
        <v>6.7</v>
      </c>
      <c r="U114">
        <v>1.3</v>
      </c>
      <c r="V114">
        <v>0.2</v>
      </c>
      <c r="W114">
        <v>3.3</v>
      </c>
      <c r="X114">
        <v>2.2999999999999998</v>
      </c>
      <c r="Y114">
        <v>15.2</v>
      </c>
      <c r="AP114">
        <v>5.6</v>
      </c>
      <c r="AQ114">
        <v>13.1</v>
      </c>
      <c r="AR114">
        <v>2</v>
      </c>
      <c r="AS114">
        <v>5.9</v>
      </c>
      <c r="AT114">
        <v>2</v>
      </c>
      <c r="AU114">
        <v>2.9</v>
      </c>
      <c r="AV114">
        <v>5.4</v>
      </c>
      <c r="AW114">
        <v>6.7</v>
      </c>
      <c r="AX114">
        <v>15.2</v>
      </c>
    </row>
    <row r="115" spans="1:50" x14ac:dyDescent="0.2">
      <c r="A115" s="1" t="s">
        <v>157</v>
      </c>
      <c r="B115" s="1" t="s">
        <v>43</v>
      </c>
      <c r="C115">
        <v>35</v>
      </c>
      <c r="D115" s="1" t="s">
        <v>70</v>
      </c>
      <c r="E115">
        <v>64</v>
      </c>
      <c r="F115">
        <v>49</v>
      </c>
      <c r="G115">
        <v>28.4</v>
      </c>
      <c r="H115">
        <v>6.2</v>
      </c>
      <c r="I115">
        <v>12.5</v>
      </c>
      <c r="J115">
        <v>0.49299999999999999</v>
      </c>
      <c r="K115">
        <v>1.6</v>
      </c>
      <c r="L115">
        <v>4.2</v>
      </c>
      <c r="M115">
        <v>0.36899999999999999</v>
      </c>
      <c r="N115">
        <v>1.2</v>
      </c>
      <c r="O115">
        <v>1.5</v>
      </c>
      <c r="P115">
        <v>0.82799999999999996</v>
      </c>
      <c r="Q115">
        <v>2</v>
      </c>
      <c r="R115">
        <v>6.4</v>
      </c>
      <c r="S115">
        <v>8.4</v>
      </c>
      <c r="T115">
        <v>3.3</v>
      </c>
      <c r="U115">
        <v>0.6</v>
      </c>
      <c r="V115">
        <v>0.6</v>
      </c>
      <c r="W115">
        <v>1.3</v>
      </c>
      <c r="X115">
        <v>2</v>
      </c>
      <c r="Y115">
        <v>15.1</v>
      </c>
      <c r="AP115">
        <v>6.2</v>
      </c>
      <c r="AQ115">
        <v>12.5</v>
      </c>
      <c r="AR115">
        <v>1.6</v>
      </c>
      <c r="AS115">
        <v>4.2</v>
      </c>
      <c r="AT115">
        <v>1.2</v>
      </c>
      <c r="AU115">
        <v>1.5</v>
      </c>
      <c r="AV115">
        <v>8.4</v>
      </c>
      <c r="AW115">
        <v>3.3</v>
      </c>
      <c r="AX115">
        <v>15.1</v>
      </c>
    </row>
    <row r="116" spans="1:50" x14ac:dyDescent="0.2">
      <c r="A116" s="1" t="s">
        <v>157</v>
      </c>
      <c r="B116" s="1" t="s">
        <v>43</v>
      </c>
      <c r="C116">
        <v>35</v>
      </c>
      <c r="D116" s="1" t="s">
        <v>128</v>
      </c>
      <c r="E116">
        <v>48</v>
      </c>
      <c r="F116">
        <v>48</v>
      </c>
      <c r="G116">
        <v>30.8</v>
      </c>
      <c r="H116">
        <v>6.9</v>
      </c>
      <c r="I116">
        <v>13.8</v>
      </c>
      <c r="J116">
        <v>0.505</v>
      </c>
      <c r="K116">
        <v>1.7</v>
      </c>
      <c r="L116">
        <v>4.5</v>
      </c>
      <c r="M116">
        <v>0.376</v>
      </c>
      <c r="N116">
        <v>1.3</v>
      </c>
      <c r="O116">
        <v>1.5</v>
      </c>
      <c r="P116">
        <v>0.83799999999999997</v>
      </c>
      <c r="Q116">
        <v>2.1</v>
      </c>
      <c r="R116">
        <v>6.9</v>
      </c>
      <c r="S116">
        <v>9</v>
      </c>
      <c r="T116">
        <v>3.8</v>
      </c>
      <c r="U116">
        <v>0.7</v>
      </c>
      <c r="V116">
        <v>0.6</v>
      </c>
      <c r="W116">
        <v>1.4</v>
      </c>
      <c r="X116">
        <v>2</v>
      </c>
      <c r="Y116">
        <v>16.899999999999999</v>
      </c>
      <c r="AP116">
        <v>6.9</v>
      </c>
      <c r="AQ116">
        <v>13.8</v>
      </c>
      <c r="AR116">
        <v>1.7</v>
      </c>
      <c r="AS116">
        <v>4.5</v>
      </c>
      <c r="AT116">
        <v>1.3</v>
      </c>
      <c r="AU116">
        <v>1.5</v>
      </c>
      <c r="AV116">
        <v>9</v>
      </c>
      <c r="AW116">
        <v>3.8</v>
      </c>
      <c r="AX116">
        <v>16.899999999999999</v>
      </c>
    </row>
    <row r="117" spans="1:50" x14ac:dyDescent="0.2">
      <c r="A117" s="1" t="s">
        <v>157</v>
      </c>
      <c r="B117" s="1" t="s">
        <v>43</v>
      </c>
      <c r="C117">
        <v>35</v>
      </c>
      <c r="D117" s="1" t="s">
        <v>35</v>
      </c>
      <c r="E117">
        <v>16</v>
      </c>
      <c r="F117">
        <v>1</v>
      </c>
      <c r="G117">
        <v>21.1</v>
      </c>
      <c r="H117">
        <v>3.8</v>
      </c>
      <c r="I117">
        <v>8.6999999999999993</v>
      </c>
      <c r="J117">
        <v>0.439</v>
      </c>
      <c r="K117">
        <v>1.1000000000000001</v>
      </c>
      <c r="L117">
        <v>3.3</v>
      </c>
      <c r="M117">
        <v>0.34</v>
      </c>
      <c r="N117">
        <v>0.9</v>
      </c>
      <c r="O117">
        <v>1.2</v>
      </c>
      <c r="P117">
        <v>0.78900000000000003</v>
      </c>
      <c r="Q117">
        <v>1.6</v>
      </c>
      <c r="R117">
        <v>5.0999999999999996</v>
      </c>
      <c r="S117">
        <v>6.6</v>
      </c>
      <c r="T117">
        <v>2</v>
      </c>
      <c r="U117">
        <v>0.4</v>
      </c>
      <c r="V117">
        <v>0.6</v>
      </c>
      <c r="W117">
        <v>1</v>
      </c>
      <c r="X117">
        <v>1.9</v>
      </c>
      <c r="Y117">
        <v>9.6999999999999993</v>
      </c>
      <c r="AP117">
        <v>3.8</v>
      </c>
      <c r="AQ117">
        <v>8.6999999999999993</v>
      </c>
      <c r="AR117">
        <v>1.1000000000000001</v>
      </c>
      <c r="AS117">
        <v>3.3</v>
      </c>
      <c r="AT117">
        <v>0.9</v>
      </c>
      <c r="AU117">
        <v>1.2</v>
      </c>
      <c r="AV117">
        <v>6.6</v>
      </c>
      <c r="AW117">
        <v>2</v>
      </c>
      <c r="AX117">
        <v>9.6999999999999993</v>
      </c>
    </row>
    <row r="118" spans="1:50" x14ac:dyDescent="0.2">
      <c r="A118" s="1" t="s">
        <v>158</v>
      </c>
      <c r="B118" s="1" t="s">
        <v>26</v>
      </c>
      <c r="C118">
        <v>22</v>
      </c>
      <c r="D118" s="1" t="s">
        <v>76</v>
      </c>
      <c r="E118">
        <v>63</v>
      </c>
      <c r="F118">
        <v>40</v>
      </c>
      <c r="G118">
        <v>30</v>
      </c>
      <c r="H118">
        <v>5.4</v>
      </c>
      <c r="I118">
        <v>12.1</v>
      </c>
      <c r="J118">
        <v>0.44600000000000001</v>
      </c>
      <c r="K118">
        <v>1.6</v>
      </c>
      <c r="L118">
        <v>4.7</v>
      </c>
      <c r="M118">
        <v>0.33400000000000002</v>
      </c>
      <c r="N118">
        <v>2.7</v>
      </c>
      <c r="O118">
        <v>3.6</v>
      </c>
      <c r="P118">
        <v>0.73199999999999998</v>
      </c>
      <c r="Q118">
        <v>0.7</v>
      </c>
      <c r="R118">
        <v>3.1</v>
      </c>
      <c r="S118">
        <v>3.8</v>
      </c>
      <c r="T118">
        <v>3.7</v>
      </c>
      <c r="U118">
        <v>1.4</v>
      </c>
      <c r="V118">
        <v>0.7</v>
      </c>
      <c r="W118">
        <v>2.1</v>
      </c>
      <c r="X118">
        <v>2.6</v>
      </c>
      <c r="Y118">
        <v>15</v>
      </c>
      <c r="AP118">
        <v>5.4</v>
      </c>
      <c r="AQ118">
        <v>12.1</v>
      </c>
      <c r="AR118">
        <v>1.6</v>
      </c>
      <c r="AS118">
        <v>4.7</v>
      </c>
      <c r="AT118">
        <v>2.7</v>
      </c>
      <c r="AU118">
        <v>3.6</v>
      </c>
      <c r="AV118">
        <v>3.8</v>
      </c>
      <c r="AW118">
        <v>3.7</v>
      </c>
      <c r="AX118">
        <v>15</v>
      </c>
    </row>
    <row r="119" spans="1:50" x14ac:dyDescent="0.2">
      <c r="A119" s="1" t="s">
        <v>159</v>
      </c>
      <c r="B119" s="1" t="s">
        <v>26</v>
      </c>
      <c r="C119">
        <v>23</v>
      </c>
      <c r="D119" s="1" t="s">
        <v>49</v>
      </c>
      <c r="E119">
        <v>11</v>
      </c>
      <c r="F119">
        <v>2</v>
      </c>
      <c r="G119">
        <v>32.299999999999997</v>
      </c>
      <c r="H119">
        <v>5.5</v>
      </c>
      <c r="I119">
        <v>12.5</v>
      </c>
      <c r="J119">
        <v>0.44500000000000001</v>
      </c>
      <c r="K119">
        <v>1.4</v>
      </c>
      <c r="L119">
        <v>3.5</v>
      </c>
      <c r="M119">
        <v>0.39500000000000002</v>
      </c>
      <c r="N119">
        <v>2.5</v>
      </c>
      <c r="O119">
        <v>3.9</v>
      </c>
      <c r="P119">
        <v>0.65100000000000002</v>
      </c>
      <c r="Q119">
        <v>0.5</v>
      </c>
      <c r="R119">
        <v>2.8</v>
      </c>
      <c r="S119">
        <v>3.4</v>
      </c>
      <c r="T119">
        <v>6.7</v>
      </c>
      <c r="U119">
        <v>1</v>
      </c>
      <c r="V119">
        <v>0.2</v>
      </c>
      <c r="W119">
        <v>2.1</v>
      </c>
      <c r="X119">
        <v>2.1</v>
      </c>
      <c r="Y119">
        <v>15</v>
      </c>
      <c r="AP119">
        <v>5.5</v>
      </c>
      <c r="AQ119">
        <v>12.5</v>
      </c>
      <c r="AR119">
        <v>1.4</v>
      </c>
      <c r="AS119">
        <v>3.5</v>
      </c>
      <c r="AT119">
        <v>2.5</v>
      </c>
      <c r="AU119">
        <v>3.9</v>
      </c>
      <c r="AV119">
        <v>3.4</v>
      </c>
      <c r="AW119">
        <v>6.7</v>
      </c>
      <c r="AX119">
        <v>15</v>
      </c>
    </row>
    <row r="120" spans="1:50" x14ac:dyDescent="0.2">
      <c r="A120" s="1" t="s">
        <v>160</v>
      </c>
      <c r="B120" s="1" t="s">
        <v>34</v>
      </c>
      <c r="C120">
        <v>22</v>
      </c>
      <c r="D120" s="1" t="s">
        <v>49</v>
      </c>
      <c r="E120">
        <v>74</v>
      </c>
      <c r="F120">
        <v>22</v>
      </c>
      <c r="G120">
        <v>23.6</v>
      </c>
      <c r="H120">
        <v>5.3</v>
      </c>
      <c r="I120">
        <v>11.4</v>
      </c>
      <c r="J120">
        <v>0.46</v>
      </c>
      <c r="K120">
        <v>2.1</v>
      </c>
      <c r="L120">
        <v>5.9</v>
      </c>
      <c r="M120">
        <v>0.36599999999999999</v>
      </c>
      <c r="N120">
        <v>2.2000000000000002</v>
      </c>
      <c r="O120">
        <v>2.6</v>
      </c>
      <c r="P120">
        <v>0.83099999999999996</v>
      </c>
      <c r="Q120">
        <v>0.8</v>
      </c>
      <c r="R120">
        <v>2.2999999999999998</v>
      </c>
      <c r="S120">
        <v>3.1</v>
      </c>
      <c r="T120">
        <v>1.9</v>
      </c>
      <c r="U120">
        <v>0.7</v>
      </c>
      <c r="V120">
        <v>0.2</v>
      </c>
      <c r="W120">
        <v>1.6</v>
      </c>
      <c r="X120">
        <v>1.9</v>
      </c>
      <c r="Y120">
        <v>14.9</v>
      </c>
      <c r="AP120">
        <v>5.3</v>
      </c>
      <c r="AQ120">
        <v>11.4</v>
      </c>
      <c r="AR120">
        <v>2.1</v>
      </c>
      <c r="AS120">
        <v>5.9</v>
      </c>
      <c r="AT120">
        <v>2.2000000000000002</v>
      </c>
      <c r="AU120">
        <v>2.6</v>
      </c>
      <c r="AV120">
        <v>3.1</v>
      </c>
      <c r="AW120">
        <v>1.9</v>
      </c>
      <c r="AX120">
        <v>14.9</v>
      </c>
    </row>
    <row r="121" spans="1:50" x14ac:dyDescent="0.2">
      <c r="A121" s="1" t="s">
        <v>161</v>
      </c>
      <c r="B121" s="1" t="s">
        <v>31</v>
      </c>
      <c r="C121">
        <v>26</v>
      </c>
      <c r="D121" s="1" t="s">
        <v>70</v>
      </c>
      <c r="E121">
        <v>69</v>
      </c>
      <c r="F121">
        <v>19</v>
      </c>
      <c r="G121">
        <v>27.3</v>
      </c>
      <c r="H121">
        <v>5.6</v>
      </c>
      <c r="I121">
        <v>10.8</v>
      </c>
      <c r="J121">
        <v>0.51700000000000002</v>
      </c>
      <c r="K121">
        <v>1.8</v>
      </c>
      <c r="L121">
        <v>4.0999999999999996</v>
      </c>
      <c r="M121">
        <v>0.439</v>
      </c>
      <c r="N121">
        <v>1.8</v>
      </c>
      <c r="O121">
        <v>2.1</v>
      </c>
      <c r="P121">
        <v>0.876</v>
      </c>
      <c r="Q121">
        <v>0.7</v>
      </c>
      <c r="R121">
        <v>2.8</v>
      </c>
      <c r="S121">
        <v>3.4</v>
      </c>
      <c r="T121">
        <v>3.6</v>
      </c>
      <c r="U121">
        <v>0.8</v>
      </c>
      <c r="V121">
        <v>0.3</v>
      </c>
      <c r="W121">
        <v>1.4</v>
      </c>
      <c r="X121">
        <v>1.9</v>
      </c>
      <c r="Y121">
        <v>14.8</v>
      </c>
      <c r="AP121">
        <v>5.6</v>
      </c>
      <c r="AQ121">
        <v>10.8</v>
      </c>
      <c r="AR121">
        <v>1.8</v>
      </c>
      <c r="AS121">
        <v>4.0999999999999996</v>
      </c>
      <c r="AT121">
        <v>1.8</v>
      </c>
      <c r="AU121">
        <v>2.1</v>
      </c>
      <c r="AV121">
        <v>3.4</v>
      </c>
      <c r="AW121">
        <v>3.6</v>
      </c>
      <c r="AX121">
        <v>14.8</v>
      </c>
    </row>
    <row r="122" spans="1:50" x14ac:dyDescent="0.2">
      <c r="A122" s="1" t="s">
        <v>161</v>
      </c>
      <c r="B122" s="1" t="s">
        <v>31</v>
      </c>
      <c r="C122">
        <v>26</v>
      </c>
      <c r="D122" s="1" t="s">
        <v>128</v>
      </c>
      <c r="E122">
        <v>45</v>
      </c>
      <c r="F122">
        <v>10</v>
      </c>
      <c r="G122">
        <v>26.4</v>
      </c>
      <c r="H122">
        <v>5.6</v>
      </c>
      <c r="I122">
        <v>10.8</v>
      </c>
      <c r="J122">
        <v>0.51400000000000001</v>
      </c>
      <c r="K122">
        <v>1.9</v>
      </c>
      <c r="L122">
        <v>4.3</v>
      </c>
      <c r="M122">
        <v>0.45100000000000001</v>
      </c>
      <c r="N122">
        <v>2</v>
      </c>
      <c r="O122">
        <v>2.2999999999999998</v>
      </c>
      <c r="P122">
        <v>0.85699999999999998</v>
      </c>
      <c r="Q122">
        <v>0.7</v>
      </c>
      <c r="R122">
        <v>2.2999999999999998</v>
      </c>
      <c r="S122">
        <v>3</v>
      </c>
      <c r="T122">
        <v>3.6</v>
      </c>
      <c r="U122">
        <v>0.8</v>
      </c>
      <c r="V122">
        <v>0.3</v>
      </c>
      <c r="W122">
        <v>1.4</v>
      </c>
      <c r="X122">
        <v>1.7</v>
      </c>
      <c r="Y122">
        <v>15</v>
      </c>
      <c r="AP122">
        <v>5.6</v>
      </c>
      <c r="AQ122">
        <v>10.8</v>
      </c>
      <c r="AR122">
        <v>1.9</v>
      </c>
      <c r="AS122">
        <v>4.3</v>
      </c>
      <c r="AT122">
        <v>2</v>
      </c>
      <c r="AU122">
        <v>2.2999999999999998</v>
      </c>
      <c r="AV122">
        <v>3</v>
      </c>
      <c r="AW122">
        <v>3.6</v>
      </c>
      <c r="AX122">
        <v>15</v>
      </c>
    </row>
    <row r="123" spans="1:50" x14ac:dyDescent="0.2">
      <c r="A123" s="1" t="s">
        <v>161</v>
      </c>
      <c r="B123" s="1" t="s">
        <v>31</v>
      </c>
      <c r="C123">
        <v>26</v>
      </c>
      <c r="D123" s="1" t="s">
        <v>32</v>
      </c>
      <c r="E123">
        <v>24</v>
      </c>
      <c r="F123">
        <v>9</v>
      </c>
      <c r="G123">
        <v>28.9</v>
      </c>
      <c r="H123">
        <v>5.7</v>
      </c>
      <c r="I123">
        <v>10.9</v>
      </c>
      <c r="J123">
        <v>0.52100000000000002</v>
      </c>
      <c r="K123">
        <v>1.5</v>
      </c>
      <c r="L123">
        <v>3.6</v>
      </c>
      <c r="M123">
        <v>0.41399999999999998</v>
      </c>
      <c r="N123">
        <v>1.5</v>
      </c>
      <c r="O123">
        <v>1.7</v>
      </c>
      <c r="P123">
        <v>0.92500000000000004</v>
      </c>
      <c r="Q123">
        <v>0.6</v>
      </c>
      <c r="R123">
        <v>3.6</v>
      </c>
      <c r="S123">
        <v>4.2</v>
      </c>
      <c r="T123">
        <v>3.5</v>
      </c>
      <c r="U123">
        <v>1</v>
      </c>
      <c r="V123">
        <v>0.3</v>
      </c>
      <c r="W123">
        <v>1.5</v>
      </c>
      <c r="X123">
        <v>2.2000000000000002</v>
      </c>
      <c r="Y123">
        <v>14.4</v>
      </c>
      <c r="AP123">
        <v>5.7</v>
      </c>
      <c r="AQ123">
        <v>10.9</v>
      </c>
      <c r="AR123">
        <v>1.5</v>
      </c>
      <c r="AS123">
        <v>3.6</v>
      </c>
      <c r="AT123">
        <v>1.5</v>
      </c>
      <c r="AU123">
        <v>1.7</v>
      </c>
      <c r="AV123">
        <v>4.2</v>
      </c>
      <c r="AW123">
        <v>3.5</v>
      </c>
      <c r="AX123">
        <v>14.4</v>
      </c>
    </row>
    <row r="124" spans="1:50" x14ac:dyDescent="0.2">
      <c r="A124" s="1" t="s">
        <v>162</v>
      </c>
      <c r="B124" s="1" t="s">
        <v>34</v>
      </c>
      <c r="C124">
        <v>22</v>
      </c>
      <c r="D124" s="1" t="s">
        <v>113</v>
      </c>
      <c r="E124">
        <v>48</v>
      </c>
      <c r="F124">
        <v>48</v>
      </c>
      <c r="G124">
        <v>29</v>
      </c>
      <c r="H124">
        <v>5.3</v>
      </c>
      <c r="I124">
        <v>12</v>
      </c>
      <c r="J124">
        <v>0.438</v>
      </c>
      <c r="K124">
        <v>2.1</v>
      </c>
      <c r="L124">
        <v>5.4</v>
      </c>
      <c r="M124">
        <v>0.38100000000000001</v>
      </c>
      <c r="N124">
        <v>2.2000000000000002</v>
      </c>
      <c r="O124">
        <v>2.7</v>
      </c>
      <c r="P124">
        <v>0.80200000000000005</v>
      </c>
      <c r="Q124">
        <v>0.9</v>
      </c>
      <c r="R124">
        <v>4.2</v>
      </c>
      <c r="S124">
        <v>5.0999999999999996</v>
      </c>
      <c r="T124">
        <v>4.5</v>
      </c>
      <c r="U124">
        <v>1</v>
      </c>
      <c r="V124">
        <v>0.9</v>
      </c>
      <c r="W124">
        <v>2.6</v>
      </c>
      <c r="X124">
        <v>3.5</v>
      </c>
      <c r="Y124">
        <v>14.8</v>
      </c>
      <c r="AP124">
        <v>5.3</v>
      </c>
      <c r="AQ124">
        <v>12</v>
      </c>
      <c r="AR124">
        <v>2.1</v>
      </c>
      <c r="AS124">
        <v>5.4</v>
      </c>
      <c r="AT124">
        <v>2.2000000000000002</v>
      </c>
      <c r="AU124">
        <v>2.7</v>
      </c>
      <c r="AV124">
        <v>5.0999999999999996</v>
      </c>
      <c r="AW124">
        <v>4.5</v>
      </c>
      <c r="AX124">
        <v>14.8</v>
      </c>
    </row>
    <row r="125" spans="1:50" x14ac:dyDescent="0.2">
      <c r="A125" s="1" t="s">
        <v>163</v>
      </c>
      <c r="B125" s="1" t="s">
        <v>23</v>
      </c>
      <c r="C125">
        <v>25</v>
      </c>
      <c r="D125" s="1" t="s">
        <v>32</v>
      </c>
      <c r="E125">
        <v>73</v>
      </c>
      <c r="F125">
        <v>73</v>
      </c>
      <c r="G125">
        <v>31.7</v>
      </c>
      <c r="H125">
        <v>5.7</v>
      </c>
      <c r="I125">
        <v>11.1</v>
      </c>
      <c r="J125">
        <v>0.51500000000000001</v>
      </c>
      <c r="K125">
        <v>1.4</v>
      </c>
      <c r="L125">
        <v>3.4</v>
      </c>
      <c r="M125">
        <v>0.41199999999999998</v>
      </c>
      <c r="N125">
        <v>2</v>
      </c>
      <c r="O125">
        <v>2.4</v>
      </c>
      <c r="P125">
        <v>0.83499999999999996</v>
      </c>
      <c r="Q125">
        <v>1</v>
      </c>
      <c r="R125">
        <v>3.2</v>
      </c>
      <c r="S125">
        <v>4.2</v>
      </c>
      <c r="T125">
        <v>2.7</v>
      </c>
      <c r="U125">
        <v>1.1000000000000001</v>
      </c>
      <c r="V125">
        <v>1</v>
      </c>
      <c r="W125">
        <v>1.8</v>
      </c>
      <c r="X125">
        <v>3.3</v>
      </c>
      <c r="Y125">
        <v>14.8</v>
      </c>
      <c r="AP125">
        <v>5.7</v>
      </c>
      <c r="AQ125">
        <v>11.1</v>
      </c>
      <c r="AR125">
        <v>1.4</v>
      </c>
      <c r="AS125">
        <v>3.4</v>
      </c>
      <c r="AT125">
        <v>2</v>
      </c>
      <c r="AU125">
        <v>2.4</v>
      </c>
      <c r="AV125">
        <v>4.2</v>
      </c>
      <c r="AW125">
        <v>2.7</v>
      </c>
      <c r="AX125">
        <v>14.8</v>
      </c>
    </row>
    <row r="126" spans="1:50" x14ac:dyDescent="0.2">
      <c r="A126" s="1" t="s">
        <v>164</v>
      </c>
      <c r="B126" s="1" t="s">
        <v>34</v>
      </c>
      <c r="C126">
        <v>29</v>
      </c>
      <c r="D126" s="1" t="s">
        <v>55</v>
      </c>
      <c r="E126">
        <v>81</v>
      </c>
      <c r="F126">
        <v>81</v>
      </c>
      <c r="G126">
        <v>33.200000000000003</v>
      </c>
      <c r="H126">
        <v>5.8</v>
      </c>
      <c r="I126">
        <v>11.9</v>
      </c>
      <c r="J126">
        <v>0.49</v>
      </c>
      <c r="K126">
        <v>1.9</v>
      </c>
      <c r="L126">
        <v>5.2</v>
      </c>
      <c r="M126">
        <v>0.371</v>
      </c>
      <c r="N126">
        <v>1</v>
      </c>
      <c r="O126">
        <v>1.2</v>
      </c>
      <c r="P126">
        <v>0.82699999999999996</v>
      </c>
      <c r="Q126">
        <v>1</v>
      </c>
      <c r="R126">
        <v>2.9</v>
      </c>
      <c r="S126">
        <v>3.9</v>
      </c>
      <c r="T126">
        <v>3.8</v>
      </c>
      <c r="U126">
        <v>1.3</v>
      </c>
      <c r="V126">
        <v>0.8</v>
      </c>
      <c r="W126">
        <v>1</v>
      </c>
      <c r="X126">
        <v>2</v>
      </c>
      <c r="Y126">
        <v>14.6</v>
      </c>
      <c r="AP126">
        <v>5.8</v>
      </c>
      <c r="AQ126">
        <v>11.9</v>
      </c>
      <c r="AR126">
        <v>1.9</v>
      </c>
      <c r="AS126">
        <v>5.2</v>
      </c>
      <c r="AT126">
        <v>1</v>
      </c>
      <c r="AU126">
        <v>1.2</v>
      </c>
      <c r="AV126">
        <v>3.9</v>
      </c>
      <c r="AW126">
        <v>3.8</v>
      </c>
      <c r="AX126">
        <v>14.6</v>
      </c>
    </row>
    <row r="127" spans="1:50" x14ac:dyDescent="0.2">
      <c r="A127" s="1" t="s">
        <v>165</v>
      </c>
      <c r="B127" s="1" t="s">
        <v>34</v>
      </c>
      <c r="C127">
        <v>23</v>
      </c>
      <c r="D127" s="1" t="s">
        <v>44</v>
      </c>
      <c r="E127">
        <v>54</v>
      </c>
      <c r="F127">
        <v>40</v>
      </c>
      <c r="G127">
        <v>29.6</v>
      </c>
      <c r="H127">
        <v>5.3</v>
      </c>
      <c r="I127">
        <v>10.8</v>
      </c>
      <c r="J127">
        <v>0.49099999999999999</v>
      </c>
      <c r="K127">
        <v>1.5</v>
      </c>
      <c r="L127">
        <v>3.6</v>
      </c>
      <c r="M127">
        <v>0.41099999999999998</v>
      </c>
      <c r="N127">
        <v>2.6</v>
      </c>
      <c r="O127">
        <v>3.5</v>
      </c>
      <c r="P127">
        <v>0.73</v>
      </c>
      <c r="Q127">
        <v>0.9</v>
      </c>
      <c r="R127">
        <v>4</v>
      </c>
      <c r="S127">
        <v>4.9000000000000004</v>
      </c>
      <c r="T127">
        <v>2.1</v>
      </c>
      <c r="U127">
        <v>0.9</v>
      </c>
      <c r="V127">
        <v>1.1000000000000001</v>
      </c>
      <c r="W127">
        <v>1.7</v>
      </c>
      <c r="X127">
        <v>2.5</v>
      </c>
      <c r="Y127">
        <v>14.6</v>
      </c>
      <c r="AP127">
        <v>5.3</v>
      </c>
      <c r="AQ127">
        <v>10.8</v>
      </c>
      <c r="AR127">
        <v>1.5</v>
      </c>
      <c r="AS127">
        <v>3.6</v>
      </c>
      <c r="AT127">
        <v>2.6</v>
      </c>
      <c r="AU127">
        <v>3.5</v>
      </c>
      <c r="AV127">
        <v>4.9000000000000004</v>
      </c>
      <c r="AW127">
        <v>2.1</v>
      </c>
      <c r="AX127">
        <v>14.6</v>
      </c>
    </row>
    <row r="128" spans="1:50" x14ac:dyDescent="0.2">
      <c r="A128" s="1" t="s">
        <v>166</v>
      </c>
      <c r="B128" s="1" t="s">
        <v>31</v>
      </c>
      <c r="C128">
        <v>26</v>
      </c>
      <c r="D128" s="1" t="s">
        <v>70</v>
      </c>
      <c r="E128">
        <v>55</v>
      </c>
      <c r="F128">
        <v>5</v>
      </c>
      <c r="G128">
        <v>24.9</v>
      </c>
      <c r="H128">
        <v>5.2</v>
      </c>
      <c r="I128">
        <v>11.8</v>
      </c>
      <c r="J128">
        <v>0.44</v>
      </c>
      <c r="K128">
        <v>2.7</v>
      </c>
      <c r="L128">
        <v>6.9</v>
      </c>
      <c r="M128">
        <v>0.38500000000000001</v>
      </c>
      <c r="N128">
        <v>1.3</v>
      </c>
      <c r="O128">
        <v>1.4</v>
      </c>
      <c r="P128">
        <v>0.89600000000000002</v>
      </c>
      <c r="Q128">
        <v>0.6</v>
      </c>
      <c r="R128">
        <v>1.9</v>
      </c>
      <c r="S128">
        <v>2.5</v>
      </c>
      <c r="T128">
        <v>2.4</v>
      </c>
      <c r="U128">
        <v>0.5</v>
      </c>
      <c r="V128">
        <v>0.1</v>
      </c>
      <c r="W128">
        <v>1.2</v>
      </c>
      <c r="X128">
        <v>1.7</v>
      </c>
      <c r="Y128">
        <v>14.3</v>
      </c>
      <c r="AP128">
        <v>5.2</v>
      </c>
      <c r="AQ128">
        <v>11.8</v>
      </c>
      <c r="AR128">
        <v>2.7</v>
      </c>
      <c r="AS128">
        <v>6.9</v>
      </c>
      <c r="AT128">
        <v>1.3</v>
      </c>
      <c r="AU128">
        <v>1.4</v>
      </c>
      <c r="AV128">
        <v>2.5</v>
      </c>
      <c r="AW128">
        <v>2.4</v>
      </c>
      <c r="AX128">
        <v>14.3</v>
      </c>
    </row>
    <row r="129" spans="1:50" x14ac:dyDescent="0.2">
      <c r="A129" s="1" t="s">
        <v>166</v>
      </c>
      <c r="B129" s="1" t="s">
        <v>31</v>
      </c>
      <c r="C129">
        <v>26</v>
      </c>
      <c r="D129" s="1" t="s">
        <v>35</v>
      </c>
      <c r="E129">
        <v>49</v>
      </c>
      <c r="F129">
        <v>0</v>
      </c>
      <c r="G129">
        <v>24.5</v>
      </c>
      <c r="H129">
        <v>5.0999999999999996</v>
      </c>
      <c r="I129">
        <v>11.6</v>
      </c>
      <c r="J129">
        <v>0.44</v>
      </c>
      <c r="K129">
        <v>2.7</v>
      </c>
      <c r="L129">
        <v>6.7</v>
      </c>
      <c r="M129">
        <v>0.39500000000000002</v>
      </c>
      <c r="N129">
        <v>1.3</v>
      </c>
      <c r="O129">
        <v>1.5</v>
      </c>
      <c r="P129">
        <v>0.88900000000000001</v>
      </c>
      <c r="Q129">
        <v>0.5</v>
      </c>
      <c r="R129">
        <v>1.9</v>
      </c>
      <c r="S129">
        <v>2.4</v>
      </c>
      <c r="T129">
        <v>2.4</v>
      </c>
      <c r="U129">
        <v>0.6</v>
      </c>
      <c r="V129">
        <v>0.1</v>
      </c>
      <c r="W129">
        <v>1.1000000000000001</v>
      </c>
      <c r="X129">
        <v>1.7</v>
      </c>
      <c r="Y129">
        <v>14.2</v>
      </c>
      <c r="AP129">
        <v>5.0999999999999996</v>
      </c>
      <c r="AQ129">
        <v>11.6</v>
      </c>
      <c r="AR129">
        <v>2.7</v>
      </c>
      <c r="AS129">
        <v>6.7</v>
      </c>
      <c r="AT129">
        <v>1.3</v>
      </c>
      <c r="AU129">
        <v>1.5</v>
      </c>
      <c r="AV129">
        <v>2.4</v>
      </c>
      <c r="AW129">
        <v>2.4</v>
      </c>
      <c r="AX129">
        <v>14.2</v>
      </c>
    </row>
    <row r="130" spans="1:50" x14ac:dyDescent="0.2">
      <c r="A130" s="1" t="s">
        <v>167</v>
      </c>
      <c r="B130" s="1" t="s">
        <v>26</v>
      </c>
      <c r="C130">
        <v>21</v>
      </c>
      <c r="D130" s="1" t="s">
        <v>62</v>
      </c>
      <c r="E130">
        <v>29</v>
      </c>
      <c r="F130">
        <v>9</v>
      </c>
      <c r="G130">
        <v>24.9</v>
      </c>
      <c r="H130">
        <v>4.7</v>
      </c>
      <c r="I130">
        <v>11.4</v>
      </c>
      <c r="J130">
        <v>0.41499999999999998</v>
      </c>
      <c r="K130">
        <v>1.9</v>
      </c>
      <c r="L130">
        <v>5.3</v>
      </c>
      <c r="M130">
        <v>0.35499999999999998</v>
      </c>
      <c r="N130">
        <v>2.9</v>
      </c>
      <c r="O130">
        <v>3.4</v>
      </c>
      <c r="P130">
        <v>0.83799999999999997</v>
      </c>
      <c r="Q130">
        <v>0.6</v>
      </c>
      <c r="R130">
        <v>2.1</v>
      </c>
      <c r="S130">
        <v>2.7</v>
      </c>
      <c r="T130">
        <v>3.7</v>
      </c>
      <c r="U130">
        <v>0.9</v>
      </c>
      <c r="V130">
        <v>0.3</v>
      </c>
      <c r="W130">
        <v>2.4</v>
      </c>
      <c r="X130">
        <v>2.8</v>
      </c>
      <c r="Y130">
        <v>14.2</v>
      </c>
      <c r="AP130">
        <v>4.7</v>
      </c>
      <c r="AQ130">
        <v>11.4</v>
      </c>
      <c r="AR130">
        <v>1.9</v>
      </c>
      <c r="AS130">
        <v>5.3</v>
      </c>
      <c r="AT130">
        <v>2.9</v>
      </c>
      <c r="AU130">
        <v>3.4</v>
      </c>
      <c r="AV130">
        <v>2.7</v>
      </c>
      <c r="AW130">
        <v>3.7</v>
      </c>
      <c r="AX130">
        <v>14.2</v>
      </c>
    </row>
    <row r="131" spans="1:50" x14ac:dyDescent="0.2">
      <c r="A131" s="1" t="s">
        <v>168</v>
      </c>
      <c r="B131" s="1" t="s">
        <v>26</v>
      </c>
      <c r="C131">
        <v>26</v>
      </c>
      <c r="D131" s="1" t="s">
        <v>128</v>
      </c>
      <c r="E131">
        <v>64</v>
      </c>
      <c r="F131">
        <v>40</v>
      </c>
      <c r="G131">
        <v>27.1</v>
      </c>
      <c r="H131">
        <v>5.3</v>
      </c>
      <c r="I131">
        <v>9.5</v>
      </c>
      <c r="J131">
        <v>0.55800000000000005</v>
      </c>
      <c r="K131">
        <v>0.6</v>
      </c>
      <c r="L131">
        <v>2</v>
      </c>
      <c r="M131">
        <v>0.32300000000000001</v>
      </c>
      <c r="N131">
        <v>3</v>
      </c>
      <c r="O131">
        <v>3.5</v>
      </c>
      <c r="P131">
        <v>0.84099999999999997</v>
      </c>
      <c r="Q131">
        <v>0.6</v>
      </c>
      <c r="R131">
        <v>2.6</v>
      </c>
      <c r="S131">
        <v>3.1</v>
      </c>
      <c r="T131">
        <v>5.4</v>
      </c>
      <c r="U131">
        <v>1.2</v>
      </c>
      <c r="V131">
        <v>0.2</v>
      </c>
      <c r="W131">
        <v>1.4</v>
      </c>
      <c r="X131">
        <v>1.5</v>
      </c>
      <c r="Y131">
        <v>14.2</v>
      </c>
      <c r="AP131">
        <v>5.3</v>
      </c>
      <c r="AQ131">
        <v>9.5</v>
      </c>
      <c r="AR131">
        <v>0.6</v>
      </c>
      <c r="AS131">
        <v>2</v>
      </c>
      <c r="AT131">
        <v>3</v>
      </c>
      <c r="AU131">
        <v>3.5</v>
      </c>
      <c r="AV131">
        <v>3.1</v>
      </c>
      <c r="AW131">
        <v>5.4</v>
      </c>
      <c r="AX131">
        <v>14.2</v>
      </c>
    </row>
    <row r="132" spans="1:50" x14ac:dyDescent="0.2">
      <c r="A132" s="1" t="s">
        <v>169</v>
      </c>
      <c r="B132" s="1" t="s">
        <v>34</v>
      </c>
      <c r="C132">
        <v>30</v>
      </c>
      <c r="D132" s="1" t="s">
        <v>37</v>
      </c>
      <c r="E132">
        <v>49</v>
      </c>
      <c r="F132">
        <v>40</v>
      </c>
      <c r="G132">
        <v>31.7</v>
      </c>
      <c r="H132">
        <v>5.0999999999999996</v>
      </c>
      <c r="I132">
        <v>10.9</v>
      </c>
      <c r="J132">
        <v>0.46600000000000003</v>
      </c>
      <c r="K132">
        <v>1.8</v>
      </c>
      <c r="L132">
        <v>4.8</v>
      </c>
      <c r="M132">
        <v>0.36399999999999999</v>
      </c>
      <c r="N132">
        <v>2.2000000000000002</v>
      </c>
      <c r="O132">
        <v>2.9</v>
      </c>
      <c r="P132">
        <v>0.76100000000000001</v>
      </c>
      <c r="Q132">
        <v>1</v>
      </c>
      <c r="R132">
        <v>4</v>
      </c>
      <c r="S132">
        <v>5</v>
      </c>
      <c r="T132">
        <v>1.6</v>
      </c>
      <c r="U132">
        <v>1.3</v>
      </c>
      <c r="V132">
        <v>0.5</v>
      </c>
      <c r="W132">
        <v>1.4</v>
      </c>
      <c r="X132">
        <v>2.5</v>
      </c>
      <c r="Y132">
        <v>14.2</v>
      </c>
      <c r="AP132">
        <v>5.0999999999999996</v>
      </c>
      <c r="AQ132">
        <v>10.9</v>
      </c>
      <c r="AR132">
        <v>1.8</v>
      </c>
      <c r="AS132">
        <v>4.8</v>
      </c>
      <c r="AT132">
        <v>2.2000000000000002</v>
      </c>
      <c r="AU132">
        <v>2.9</v>
      </c>
      <c r="AV132">
        <v>5</v>
      </c>
      <c r="AW132">
        <v>1.6</v>
      </c>
      <c r="AX132">
        <v>14.2</v>
      </c>
    </row>
    <row r="133" spans="1:50" x14ac:dyDescent="0.2">
      <c r="A133" s="1" t="s">
        <v>170</v>
      </c>
      <c r="B133" s="1" t="s">
        <v>23</v>
      </c>
      <c r="C133">
        <v>27</v>
      </c>
      <c r="D133" s="1" t="s">
        <v>85</v>
      </c>
      <c r="E133">
        <v>56</v>
      </c>
      <c r="F133">
        <v>53</v>
      </c>
      <c r="G133">
        <v>31</v>
      </c>
      <c r="H133">
        <v>5.3</v>
      </c>
      <c r="I133">
        <v>11.8</v>
      </c>
      <c r="J133">
        <v>0.45</v>
      </c>
      <c r="K133">
        <v>1.4</v>
      </c>
      <c r="L133">
        <v>4.2</v>
      </c>
      <c r="M133">
        <v>0.32500000000000001</v>
      </c>
      <c r="N133">
        <v>2.2000000000000002</v>
      </c>
      <c r="O133">
        <v>3.3</v>
      </c>
      <c r="P133">
        <v>0.68700000000000006</v>
      </c>
      <c r="Q133">
        <v>1.5</v>
      </c>
      <c r="R133">
        <v>5.5</v>
      </c>
      <c r="S133">
        <v>7</v>
      </c>
      <c r="T133">
        <v>1.8</v>
      </c>
      <c r="U133">
        <v>1</v>
      </c>
      <c r="V133">
        <v>1.1000000000000001</v>
      </c>
      <c r="W133">
        <v>1.7</v>
      </c>
      <c r="X133">
        <v>2.1</v>
      </c>
      <c r="Y133">
        <v>14.2</v>
      </c>
      <c r="AP133">
        <v>5.3</v>
      </c>
      <c r="AQ133">
        <v>11.8</v>
      </c>
      <c r="AR133">
        <v>1.4</v>
      </c>
      <c r="AS133">
        <v>4.2</v>
      </c>
      <c r="AT133">
        <v>2.2000000000000002</v>
      </c>
      <c r="AU133">
        <v>3.3</v>
      </c>
      <c r="AV133">
        <v>7</v>
      </c>
      <c r="AW133">
        <v>1.8</v>
      </c>
      <c r="AX133">
        <v>14.2</v>
      </c>
    </row>
    <row r="134" spans="1:50" x14ac:dyDescent="0.2">
      <c r="A134" s="1" t="s">
        <v>171</v>
      </c>
      <c r="B134" s="1" t="s">
        <v>43</v>
      </c>
      <c r="C134">
        <v>28</v>
      </c>
      <c r="D134" s="1" t="s">
        <v>70</v>
      </c>
      <c r="E134">
        <v>48</v>
      </c>
      <c r="F134">
        <v>47</v>
      </c>
      <c r="G134">
        <v>30.1</v>
      </c>
      <c r="H134">
        <v>6</v>
      </c>
      <c r="I134">
        <v>10</v>
      </c>
      <c r="J134">
        <v>0.59799999999999998</v>
      </c>
      <c r="K134">
        <v>0</v>
      </c>
      <c r="L134">
        <v>0</v>
      </c>
      <c r="N134">
        <v>2.1</v>
      </c>
      <c r="O134">
        <v>3</v>
      </c>
      <c r="P134">
        <v>0.71099999999999997</v>
      </c>
      <c r="Q134">
        <v>3.4</v>
      </c>
      <c r="R134">
        <v>7.2</v>
      </c>
      <c r="S134">
        <v>10.6</v>
      </c>
      <c r="T134">
        <v>2.2000000000000002</v>
      </c>
      <c r="U134">
        <v>0.4</v>
      </c>
      <c r="V134">
        <v>0.8</v>
      </c>
      <c r="W134">
        <v>1.8</v>
      </c>
      <c r="X134">
        <v>2.2999999999999998</v>
      </c>
      <c r="Y134">
        <v>14.1</v>
      </c>
      <c r="AP134">
        <v>6</v>
      </c>
      <c r="AQ134">
        <v>10</v>
      </c>
      <c r="AR134">
        <v>0</v>
      </c>
      <c r="AS134">
        <v>0</v>
      </c>
      <c r="AT134">
        <v>2.1</v>
      </c>
      <c r="AU134">
        <v>3</v>
      </c>
      <c r="AV134">
        <v>10.6</v>
      </c>
      <c r="AW134">
        <v>2.2000000000000002</v>
      </c>
      <c r="AX134">
        <v>14.1</v>
      </c>
    </row>
    <row r="135" spans="1:50" x14ac:dyDescent="0.2">
      <c r="A135" s="1" t="s">
        <v>171</v>
      </c>
      <c r="B135" s="1" t="s">
        <v>43</v>
      </c>
      <c r="C135">
        <v>28</v>
      </c>
      <c r="D135" s="1" t="s">
        <v>39</v>
      </c>
      <c r="E135">
        <v>43</v>
      </c>
      <c r="F135">
        <v>42</v>
      </c>
      <c r="G135">
        <v>30.9</v>
      </c>
      <c r="H135">
        <v>6.1</v>
      </c>
      <c r="I135">
        <v>10</v>
      </c>
      <c r="J135">
        <v>0.61299999999999999</v>
      </c>
      <c r="K135">
        <v>0</v>
      </c>
      <c r="L135">
        <v>0</v>
      </c>
      <c r="N135">
        <v>2.2000000000000002</v>
      </c>
      <c r="O135">
        <v>3.1</v>
      </c>
      <c r="P135">
        <v>0.70499999999999996</v>
      </c>
      <c r="Q135">
        <v>3.4</v>
      </c>
      <c r="R135">
        <v>7.6</v>
      </c>
      <c r="S135">
        <v>11</v>
      </c>
      <c r="T135">
        <v>2.2000000000000002</v>
      </c>
      <c r="U135">
        <v>0.4</v>
      </c>
      <c r="V135">
        <v>0.8</v>
      </c>
      <c r="W135">
        <v>1.9</v>
      </c>
      <c r="X135">
        <v>2.4</v>
      </c>
      <c r="Y135">
        <v>14.4</v>
      </c>
      <c r="AP135">
        <v>6.1</v>
      </c>
      <c r="AQ135">
        <v>10</v>
      </c>
      <c r="AR135">
        <v>0</v>
      </c>
      <c r="AS135">
        <v>0</v>
      </c>
      <c r="AT135">
        <v>2.2000000000000002</v>
      </c>
      <c r="AU135">
        <v>3.1</v>
      </c>
      <c r="AV135">
        <v>11</v>
      </c>
      <c r="AW135">
        <v>2.2000000000000002</v>
      </c>
      <c r="AX135">
        <v>14.4</v>
      </c>
    </row>
    <row r="136" spans="1:50" x14ac:dyDescent="0.2">
      <c r="A136" s="1" t="s">
        <v>172</v>
      </c>
      <c r="B136" s="1" t="s">
        <v>23</v>
      </c>
      <c r="C136">
        <v>25</v>
      </c>
      <c r="D136" s="1" t="s">
        <v>104</v>
      </c>
      <c r="E136">
        <v>43</v>
      </c>
      <c r="F136">
        <v>11</v>
      </c>
      <c r="G136">
        <v>27.9</v>
      </c>
      <c r="H136">
        <v>5.3</v>
      </c>
      <c r="I136">
        <v>11.1</v>
      </c>
      <c r="J136">
        <v>0.47899999999999998</v>
      </c>
      <c r="K136">
        <v>1.6</v>
      </c>
      <c r="L136">
        <v>4.7</v>
      </c>
      <c r="M136">
        <v>0.35</v>
      </c>
      <c r="N136">
        <v>1.8</v>
      </c>
      <c r="O136">
        <v>2.7</v>
      </c>
      <c r="P136">
        <v>0.66700000000000004</v>
      </c>
      <c r="Q136">
        <v>1.6</v>
      </c>
      <c r="R136">
        <v>5.0999999999999996</v>
      </c>
      <c r="S136">
        <v>6.7</v>
      </c>
      <c r="T136">
        <v>2.9</v>
      </c>
      <c r="U136">
        <v>0.9</v>
      </c>
      <c r="V136">
        <v>0.7</v>
      </c>
      <c r="W136">
        <v>1.3</v>
      </c>
      <c r="X136">
        <v>1.6</v>
      </c>
      <c r="Y136">
        <v>14</v>
      </c>
      <c r="AP136">
        <v>5.3</v>
      </c>
      <c r="AQ136">
        <v>11.1</v>
      </c>
      <c r="AR136">
        <v>1.6</v>
      </c>
      <c r="AS136">
        <v>4.7</v>
      </c>
      <c r="AT136">
        <v>1.8</v>
      </c>
      <c r="AU136">
        <v>2.7</v>
      </c>
      <c r="AV136">
        <v>6.7</v>
      </c>
      <c r="AW136">
        <v>2.9</v>
      </c>
      <c r="AX136">
        <v>14</v>
      </c>
    </row>
    <row r="137" spans="1:50" x14ac:dyDescent="0.2">
      <c r="A137" s="1" t="s">
        <v>173</v>
      </c>
      <c r="B137" s="1" t="s">
        <v>26</v>
      </c>
      <c r="C137">
        <v>19</v>
      </c>
      <c r="D137" s="1" t="s">
        <v>81</v>
      </c>
      <c r="E137">
        <v>81</v>
      </c>
      <c r="F137">
        <v>48</v>
      </c>
      <c r="G137">
        <v>25.6</v>
      </c>
      <c r="H137">
        <v>5.2</v>
      </c>
      <c r="I137">
        <v>12.1</v>
      </c>
      <c r="J137">
        <v>0.435</v>
      </c>
      <c r="K137">
        <v>1.2</v>
      </c>
      <c r="L137">
        <v>3.7</v>
      </c>
      <c r="M137">
        <v>0.33600000000000002</v>
      </c>
      <c r="N137">
        <v>2.2000000000000002</v>
      </c>
      <c r="O137">
        <v>2.9</v>
      </c>
      <c r="P137">
        <v>0.78400000000000003</v>
      </c>
      <c r="Q137">
        <v>0.7</v>
      </c>
      <c r="R137">
        <v>2.9</v>
      </c>
      <c r="S137">
        <v>3.6</v>
      </c>
      <c r="T137">
        <v>3.4</v>
      </c>
      <c r="U137">
        <v>1.2</v>
      </c>
      <c r="V137">
        <v>0.4</v>
      </c>
      <c r="W137">
        <v>2.2000000000000002</v>
      </c>
      <c r="X137">
        <v>1.8</v>
      </c>
      <c r="Y137">
        <v>14</v>
      </c>
      <c r="AP137">
        <v>5.2</v>
      </c>
      <c r="AQ137">
        <v>12.1</v>
      </c>
      <c r="AR137">
        <v>1.2</v>
      </c>
      <c r="AS137">
        <v>3.7</v>
      </c>
      <c r="AT137">
        <v>2.2000000000000002</v>
      </c>
      <c r="AU137">
        <v>2.9</v>
      </c>
      <c r="AV137">
        <v>3.6</v>
      </c>
      <c r="AW137">
        <v>3.4</v>
      </c>
      <c r="AX137">
        <v>14</v>
      </c>
    </row>
    <row r="138" spans="1:50" x14ac:dyDescent="0.2">
      <c r="A138" s="1" t="s">
        <v>174</v>
      </c>
      <c r="B138" s="1" t="s">
        <v>23</v>
      </c>
      <c r="C138">
        <v>25</v>
      </c>
      <c r="D138" s="1" t="s">
        <v>109</v>
      </c>
      <c r="E138">
        <v>23</v>
      </c>
      <c r="F138">
        <v>22</v>
      </c>
      <c r="G138">
        <v>34.5</v>
      </c>
      <c r="H138">
        <v>5.5</v>
      </c>
      <c r="I138">
        <v>13</v>
      </c>
      <c r="J138">
        <v>0.42</v>
      </c>
      <c r="K138">
        <v>1.3</v>
      </c>
      <c r="L138">
        <v>4.9000000000000004</v>
      </c>
      <c r="M138">
        <v>0.27700000000000002</v>
      </c>
      <c r="N138">
        <v>1.7</v>
      </c>
      <c r="O138">
        <v>2.1</v>
      </c>
      <c r="P138">
        <v>0.77600000000000002</v>
      </c>
      <c r="Q138">
        <v>1.4</v>
      </c>
      <c r="R138">
        <v>4.3</v>
      </c>
      <c r="S138">
        <v>5.7</v>
      </c>
      <c r="T138">
        <v>1.7</v>
      </c>
      <c r="U138">
        <v>1</v>
      </c>
      <c r="V138">
        <v>1.6</v>
      </c>
      <c r="W138">
        <v>1.2</v>
      </c>
      <c r="X138">
        <v>1.8</v>
      </c>
      <c r="Y138">
        <v>14</v>
      </c>
      <c r="AP138">
        <v>5.5</v>
      </c>
      <c r="AQ138">
        <v>13</v>
      </c>
      <c r="AR138">
        <v>1.3</v>
      </c>
      <c r="AS138">
        <v>4.9000000000000004</v>
      </c>
      <c r="AT138">
        <v>1.7</v>
      </c>
      <c r="AU138">
        <v>2.1</v>
      </c>
      <c r="AV138">
        <v>5.7</v>
      </c>
      <c r="AW138">
        <v>1.7</v>
      </c>
      <c r="AX138">
        <v>14</v>
      </c>
    </row>
    <row r="139" spans="1:50" x14ac:dyDescent="0.2">
      <c r="A139" s="1" t="s">
        <v>175</v>
      </c>
      <c r="B139" s="1" t="s">
        <v>31</v>
      </c>
      <c r="C139">
        <v>22</v>
      </c>
      <c r="D139" s="1" t="s">
        <v>51</v>
      </c>
      <c r="E139">
        <v>81</v>
      </c>
      <c r="F139">
        <v>42</v>
      </c>
      <c r="G139">
        <v>28.5</v>
      </c>
      <c r="H139">
        <v>4.8</v>
      </c>
      <c r="I139">
        <v>10.6</v>
      </c>
      <c r="J139">
        <v>0.45700000000000002</v>
      </c>
      <c r="K139">
        <v>1.9</v>
      </c>
      <c r="L139">
        <v>5</v>
      </c>
      <c r="M139">
        <v>0.371</v>
      </c>
      <c r="N139">
        <v>2.2999999999999998</v>
      </c>
      <c r="O139">
        <v>3</v>
      </c>
      <c r="P139">
        <v>0.79500000000000004</v>
      </c>
      <c r="Q139">
        <v>0.9</v>
      </c>
      <c r="R139">
        <v>4.2</v>
      </c>
      <c r="S139">
        <v>5.0999999999999996</v>
      </c>
      <c r="T139">
        <v>3.7</v>
      </c>
      <c r="U139">
        <v>1.1000000000000001</v>
      </c>
      <c r="V139">
        <v>0.2</v>
      </c>
      <c r="W139">
        <v>1.6</v>
      </c>
      <c r="X139">
        <v>1.7</v>
      </c>
      <c r="Y139">
        <v>13.9</v>
      </c>
      <c r="AP139">
        <v>4.8</v>
      </c>
      <c r="AQ139">
        <v>10.6</v>
      </c>
      <c r="AR139">
        <v>1.9</v>
      </c>
      <c r="AS139">
        <v>5</v>
      </c>
      <c r="AT139">
        <v>2.2999999999999998</v>
      </c>
      <c r="AU139">
        <v>3</v>
      </c>
      <c r="AV139">
        <v>5.0999999999999996</v>
      </c>
      <c r="AW139">
        <v>3.7</v>
      </c>
      <c r="AX139">
        <v>13.9</v>
      </c>
    </row>
    <row r="140" spans="1:50" x14ac:dyDescent="0.2">
      <c r="A140" s="1" t="s">
        <v>176</v>
      </c>
      <c r="B140" s="1" t="s">
        <v>34</v>
      </c>
      <c r="C140">
        <v>19</v>
      </c>
      <c r="D140" s="1" t="s">
        <v>49</v>
      </c>
      <c r="E140">
        <v>71</v>
      </c>
      <c r="F140">
        <v>60</v>
      </c>
      <c r="G140">
        <v>27.6</v>
      </c>
      <c r="H140">
        <v>5.5</v>
      </c>
      <c r="I140">
        <v>12.3</v>
      </c>
      <c r="J140">
        <v>0.44500000000000001</v>
      </c>
      <c r="K140">
        <v>1.9</v>
      </c>
      <c r="L140">
        <v>5.5</v>
      </c>
      <c r="M140">
        <v>0.35</v>
      </c>
      <c r="N140">
        <v>0.9</v>
      </c>
      <c r="O140">
        <v>1.2</v>
      </c>
      <c r="P140">
        <v>0.76700000000000002</v>
      </c>
      <c r="Q140">
        <v>1.4</v>
      </c>
      <c r="R140">
        <v>2.8</v>
      </c>
      <c r="S140">
        <v>4.2</v>
      </c>
      <c r="T140">
        <v>1.8</v>
      </c>
      <c r="U140">
        <v>0.8</v>
      </c>
      <c r="V140">
        <v>0.7</v>
      </c>
      <c r="W140">
        <v>1.5</v>
      </c>
      <c r="X140">
        <v>2.7</v>
      </c>
      <c r="Y140">
        <v>13.8</v>
      </c>
      <c r="AP140">
        <v>5.5</v>
      </c>
      <c r="AQ140">
        <v>12.3</v>
      </c>
      <c r="AR140">
        <v>1.9</v>
      </c>
      <c r="AS140">
        <v>5.5</v>
      </c>
      <c r="AT140">
        <v>0.9</v>
      </c>
      <c r="AU140">
        <v>1.2</v>
      </c>
      <c r="AV140">
        <v>4.2</v>
      </c>
      <c r="AW140">
        <v>1.8</v>
      </c>
      <c r="AX140">
        <v>13.8</v>
      </c>
    </row>
    <row r="141" spans="1:50" x14ac:dyDescent="0.2">
      <c r="A141" s="1" t="s">
        <v>177</v>
      </c>
      <c r="B141" s="1" t="s">
        <v>34</v>
      </c>
      <c r="C141">
        <v>26</v>
      </c>
      <c r="D141" s="1" t="s">
        <v>68</v>
      </c>
      <c r="E141">
        <v>45</v>
      </c>
      <c r="F141">
        <v>42</v>
      </c>
      <c r="G141">
        <v>29.7</v>
      </c>
      <c r="H141">
        <v>4.7</v>
      </c>
      <c r="I141">
        <v>11.4</v>
      </c>
      <c r="J141">
        <v>0.41399999999999998</v>
      </c>
      <c r="K141">
        <v>2.2999999999999998</v>
      </c>
      <c r="L141">
        <v>6.2</v>
      </c>
      <c r="M141">
        <v>0.379</v>
      </c>
      <c r="N141">
        <v>2</v>
      </c>
      <c r="O141">
        <v>2.5</v>
      </c>
      <c r="P141">
        <v>0.82899999999999996</v>
      </c>
      <c r="Q141">
        <v>1.1000000000000001</v>
      </c>
      <c r="R141">
        <v>3.1</v>
      </c>
      <c r="S141">
        <v>4.2</v>
      </c>
      <c r="T141">
        <v>1.9</v>
      </c>
      <c r="U141">
        <v>0.6</v>
      </c>
      <c r="V141">
        <v>0.5</v>
      </c>
      <c r="W141">
        <v>1.4</v>
      </c>
      <c r="X141">
        <v>2.8</v>
      </c>
      <c r="Y141">
        <v>13.8</v>
      </c>
      <c r="AP141">
        <v>4.7</v>
      </c>
      <c r="AQ141">
        <v>11.4</v>
      </c>
      <c r="AR141">
        <v>2.2999999999999998</v>
      </c>
      <c r="AS141">
        <v>6.2</v>
      </c>
      <c r="AT141">
        <v>2</v>
      </c>
      <c r="AU141">
        <v>2.5</v>
      </c>
      <c r="AV141">
        <v>4.2</v>
      </c>
      <c r="AW141">
        <v>1.9</v>
      </c>
      <c r="AX141">
        <v>13.8</v>
      </c>
    </row>
    <row r="142" spans="1:50" x14ac:dyDescent="0.2">
      <c r="A142" s="1" t="s">
        <v>178</v>
      </c>
      <c r="B142" s="1" t="s">
        <v>31</v>
      </c>
      <c r="C142">
        <v>25</v>
      </c>
      <c r="D142" s="1" t="s">
        <v>60</v>
      </c>
      <c r="E142">
        <v>66</v>
      </c>
      <c r="F142">
        <v>64</v>
      </c>
      <c r="G142">
        <v>30.5</v>
      </c>
      <c r="H142">
        <v>4.9000000000000004</v>
      </c>
      <c r="I142">
        <v>11.2</v>
      </c>
      <c r="J142">
        <v>0.435</v>
      </c>
      <c r="K142">
        <v>2.5</v>
      </c>
      <c r="L142">
        <v>6.4</v>
      </c>
      <c r="M142">
        <v>0.38400000000000001</v>
      </c>
      <c r="N142">
        <v>1.6</v>
      </c>
      <c r="O142">
        <v>1.9</v>
      </c>
      <c r="P142">
        <v>0.81299999999999994</v>
      </c>
      <c r="Q142">
        <v>0.6</v>
      </c>
      <c r="R142">
        <v>3.5</v>
      </c>
      <c r="S142">
        <v>4</v>
      </c>
      <c r="T142">
        <v>2.5</v>
      </c>
      <c r="U142">
        <v>0.8</v>
      </c>
      <c r="V142">
        <v>0.4</v>
      </c>
      <c r="W142">
        <v>0.9</v>
      </c>
      <c r="X142">
        <v>1.6</v>
      </c>
      <c r="Y142">
        <v>13.8</v>
      </c>
      <c r="AP142">
        <v>4.9000000000000004</v>
      </c>
      <c r="AQ142">
        <v>11.2</v>
      </c>
      <c r="AR142">
        <v>2.5</v>
      </c>
      <c r="AS142">
        <v>6.4</v>
      </c>
      <c r="AT142">
        <v>1.6</v>
      </c>
      <c r="AU142">
        <v>1.9</v>
      </c>
      <c r="AV142">
        <v>4</v>
      </c>
      <c r="AW142">
        <v>2.5</v>
      </c>
      <c r="AX142">
        <v>13.8</v>
      </c>
    </row>
    <row r="143" spans="1:50" x14ac:dyDescent="0.2">
      <c r="A143" s="1" t="s">
        <v>179</v>
      </c>
      <c r="B143" s="1" t="s">
        <v>34</v>
      </c>
      <c r="C143">
        <v>28</v>
      </c>
      <c r="D143" s="1" t="s">
        <v>70</v>
      </c>
      <c r="E143">
        <v>45</v>
      </c>
      <c r="F143">
        <v>25</v>
      </c>
      <c r="G143">
        <v>26.1</v>
      </c>
      <c r="H143">
        <v>4.5999999999999996</v>
      </c>
      <c r="I143">
        <v>11.1</v>
      </c>
      <c r="J143">
        <v>0.41499999999999998</v>
      </c>
      <c r="K143">
        <v>1.7</v>
      </c>
      <c r="L143">
        <v>5.5</v>
      </c>
      <c r="M143">
        <v>0.30499999999999999</v>
      </c>
      <c r="N143">
        <v>2.8</v>
      </c>
      <c r="O143">
        <v>3.2</v>
      </c>
      <c r="P143">
        <v>0.86699999999999999</v>
      </c>
      <c r="Q143">
        <v>0.7</v>
      </c>
      <c r="R143">
        <v>3.4</v>
      </c>
      <c r="S143">
        <v>4.0999999999999996</v>
      </c>
      <c r="T143">
        <v>2</v>
      </c>
      <c r="U143">
        <v>0.7</v>
      </c>
      <c r="V143">
        <v>0.1</v>
      </c>
      <c r="W143">
        <v>1.7</v>
      </c>
      <c r="X143">
        <v>2.5</v>
      </c>
      <c r="Y143">
        <v>13.7</v>
      </c>
      <c r="AP143">
        <v>4.5999999999999996</v>
      </c>
      <c r="AQ143">
        <v>11.1</v>
      </c>
      <c r="AR143">
        <v>1.7</v>
      </c>
      <c r="AS143">
        <v>5.5</v>
      </c>
      <c r="AT143">
        <v>2.8</v>
      </c>
      <c r="AU143">
        <v>3.2</v>
      </c>
      <c r="AV143">
        <v>4.0999999999999996</v>
      </c>
      <c r="AW143">
        <v>2</v>
      </c>
      <c r="AX143">
        <v>13.7</v>
      </c>
    </row>
    <row r="144" spans="1:50" x14ac:dyDescent="0.2">
      <c r="A144" s="1" t="s">
        <v>179</v>
      </c>
      <c r="B144" s="1" t="s">
        <v>34</v>
      </c>
      <c r="C144">
        <v>28</v>
      </c>
      <c r="D144" s="1" t="s">
        <v>41</v>
      </c>
      <c r="E144">
        <v>43</v>
      </c>
      <c r="F144">
        <v>23</v>
      </c>
      <c r="G144">
        <v>26.2</v>
      </c>
      <c r="H144">
        <v>4.7</v>
      </c>
      <c r="I144">
        <v>11.2</v>
      </c>
      <c r="J144">
        <v>0.42299999999999999</v>
      </c>
      <c r="K144">
        <v>1.7</v>
      </c>
      <c r="L144">
        <v>5.5</v>
      </c>
      <c r="M144">
        <v>0.308</v>
      </c>
      <c r="N144">
        <v>2.8</v>
      </c>
      <c r="O144">
        <v>3.2</v>
      </c>
      <c r="P144">
        <v>0.86899999999999999</v>
      </c>
      <c r="Q144">
        <v>0.7</v>
      </c>
      <c r="R144">
        <v>3.6</v>
      </c>
      <c r="S144">
        <v>4.2</v>
      </c>
      <c r="T144">
        <v>2.1</v>
      </c>
      <c r="U144">
        <v>0.7</v>
      </c>
      <c r="V144">
        <v>0.1</v>
      </c>
      <c r="W144">
        <v>1.7</v>
      </c>
      <c r="X144">
        <v>2.5</v>
      </c>
      <c r="Y144">
        <v>14</v>
      </c>
      <c r="AP144">
        <v>4.7</v>
      </c>
      <c r="AQ144">
        <v>11.2</v>
      </c>
      <c r="AR144">
        <v>1.7</v>
      </c>
      <c r="AS144">
        <v>5.5</v>
      </c>
      <c r="AT144">
        <v>2.8</v>
      </c>
      <c r="AU144">
        <v>3.2</v>
      </c>
      <c r="AV144">
        <v>4.2</v>
      </c>
      <c r="AW144">
        <v>2.1</v>
      </c>
      <c r="AX144">
        <v>14</v>
      </c>
    </row>
    <row r="145" spans="1:50" x14ac:dyDescent="0.2">
      <c r="A145" s="1" t="s">
        <v>180</v>
      </c>
      <c r="B145" s="1" t="s">
        <v>23</v>
      </c>
      <c r="C145">
        <v>30</v>
      </c>
      <c r="D145" s="1" t="s">
        <v>46</v>
      </c>
      <c r="E145">
        <v>67</v>
      </c>
      <c r="F145">
        <v>9</v>
      </c>
      <c r="G145">
        <v>24.2</v>
      </c>
      <c r="H145">
        <v>5.5</v>
      </c>
      <c r="I145">
        <v>11.2</v>
      </c>
      <c r="J145">
        <v>0.48799999999999999</v>
      </c>
      <c r="K145">
        <v>2</v>
      </c>
      <c r="L145">
        <v>4.4000000000000004</v>
      </c>
      <c r="M145">
        <v>0.45600000000000002</v>
      </c>
      <c r="N145">
        <v>0.7</v>
      </c>
      <c r="O145">
        <v>1</v>
      </c>
      <c r="P145">
        <v>0.70599999999999996</v>
      </c>
      <c r="Q145">
        <v>1.3</v>
      </c>
      <c r="R145">
        <v>5.0999999999999996</v>
      </c>
      <c r="S145">
        <v>6.4</v>
      </c>
      <c r="T145">
        <v>1.6</v>
      </c>
      <c r="U145">
        <v>0.6</v>
      </c>
      <c r="V145">
        <v>0.2</v>
      </c>
      <c r="W145">
        <v>1</v>
      </c>
      <c r="X145">
        <v>1.6</v>
      </c>
      <c r="Y145">
        <v>13.7</v>
      </c>
      <c r="AP145">
        <v>5.5</v>
      </c>
      <c r="AQ145">
        <v>11.2</v>
      </c>
      <c r="AR145">
        <v>2</v>
      </c>
      <c r="AS145">
        <v>4.4000000000000004</v>
      </c>
      <c r="AT145">
        <v>0.7</v>
      </c>
      <c r="AU145">
        <v>1</v>
      </c>
      <c r="AV145">
        <v>6.4</v>
      </c>
      <c r="AW145">
        <v>1.6</v>
      </c>
      <c r="AX145">
        <v>13.7</v>
      </c>
    </row>
    <row r="146" spans="1:50" x14ac:dyDescent="0.2">
      <c r="A146" s="1" t="s">
        <v>181</v>
      </c>
      <c r="B146" s="1" t="s">
        <v>31</v>
      </c>
      <c r="C146">
        <v>22</v>
      </c>
      <c r="D146" s="1" t="s">
        <v>104</v>
      </c>
      <c r="E146">
        <v>62</v>
      </c>
      <c r="F146">
        <v>47</v>
      </c>
      <c r="G146">
        <v>25.8</v>
      </c>
      <c r="H146">
        <v>4.9000000000000004</v>
      </c>
      <c r="I146">
        <v>10.5</v>
      </c>
      <c r="J146">
        <v>0.47099999999999997</v>
      </c>
      <c r="K146">
        <v>1.5</v>
      </c>
      <c r="L146">
        <v>4.4000000000000004</v>
      </c>
      <c r="M146">
        <v>0.33800000000000002</v>
      </c>
      <c r="N146">
        <v>2.2999999999999998</v>
      </c>
      <c r="O146">
        <v>2.7</v>
      </c>
      <c r="P146">
        <v>0.84299999999999997</v>
      </c>
      <c r="Q146">
        <v>1.3</v>
      </c>
      <c r="R146">
        <v>4.5</v>
      </c>
      <c r="S146">
        <v>5.9</v>
      </c>
      <c r="T146">
        <v>2.8</v>
      </c>
      <c r="U146">
        <v>0.6</v>
      </c>
      <c r="V146">
        <v>0.4</v>
      </c>
      <c r="W146">
        <v>1.7</v>
      </c>
      <c r="X146">
        <v>2</v>
      </c>
      <c r="Y146">
        <v>13.6</v>
      </c>
      <c r="AP146">
        <v>4.9000000000000004</v>
      </c>
      <c r="AQ146">
        <v>10.5</v>
      </c>
      <c r="AR146">
        <v>1.5</v>
      </c>
      <c r="AS146">
        <v>4.4000000000000004</v>
      </c>
      <c r="AT146">
        <v>2.2999999999999998</v>
      </c>
      <c r="AU146">
        <v>2.7</v>
      </c>
      <c r="AV146">
        <v>5.9</v>
      </c>
      <c r="AW146">
        <v>2.8</v>
      </c>
      <c r="AX146">
        <v>13.6</v>
      </c>
    </row>
    <row r="147" spans="1:50" x14ac:dyDescent="0.2">
      <c r="A147" s="1" t="s">
        <v>182</v>
      </c>
      <c r="B147" s="1" t="s">
        <v>43</v>
      </c>
      <c r="C147">
        <v>23</v>
      </c>
      <c r="D147" s="1" t="s">
        <v>104</v>
      </c>
      <c r="E147">
        <v>11</v>
      </c>
      <c r="F147">
        <v>11</v>
      </c>
      <c r="G147">
        <v>25.8</v>
      </c>
      <c r="H147">
        <v>5.6</v>
      </c>
      <c r="I147">
        <v>8.9</v>
      </c>
      <c r="J147">
        <v>0.63300000000000001</v>
      </c>
      <c r="K147">
        <v>0.1</v>
      </c>
      <c r="L147">
        <v>0.5</v>
      </c>
      <c r="M147">
        <v>0.2</v>
      </c>
      <c r="N147">
        <v>2.2999999999999998</v>
      </c>
      <c r="O147">
        <v>2.9</v>
      </c>
      <c r="P147">
        <v>0.78100000000000003</v>
      </c>
      <c r="Q147">
        <v>3.9</v>
      </c>
      <c r="R147">
        <v>7.2</v>
      </c>
      <c r="S147">
        <v>11.1</v>
      </c>
      <c r="T147">
        <v>1.1000000000000001</v>
      </c>
      <c r="U147">
        <v>0.6</v>
      </c>
      <c r="V147">
        <v>1.9</v>
      </c>
      <c r="W147">
        <v>2.4</v>
      </c>
      <c r="X147">
        <v>3.4</v>
      </c>
      <c r="Y147">
        <v>13.6</v>
      </c>
      <c r="AP147">
        <v>5.6</v>
      </c>
      <c r="AQ147">
        <v>8.9</v>
      </c>
      <c r="AR147">
        <v>0.1</v>
      </c>
      <c r="AS147">
        <v>0.5</v>
      </c>
      <c r="AT147">
        <v>2.2999999999999998</v>
      </c>
      <c r="AU147">
        <v>2.9</v>
      </c>
      <c r="AV147">
        <v>11.1</v>
      </c>
      <c r="AW147">
        <v>1.1000000000000001</v>
      </c>
      <c r="AX147">
        <v>13.6</v>
      </c>
    </row>
    <row r="148" spans="1:50" x14ac:dyDescent="0.2">
      <c r="A148" s="1" t="s">
        <v>183</v>
      </c>
      <c r="B148" s="1" t="s">
        <v>31</v>
      </c>
      <c r="C148">
        <v>23</v>
      </c>
      <c r="D148" s="1" t="s">
        <v>29</v>
      </c>
      <c r="E148">
        <v>57</v>
      </c>
      <c r="F148">
        <v>16</v>
      </c>
      <c r="G148">
        <v>25.8</v>
      </c>
      <c r="H148">
        <v>5</v>
      </c>
      <c r="I148">
        <v>10.4</v>
      </c>
      <c r="J148">
        <v>0.48499999999999999</v>
      </c>
      <c r="K148">
        <v>1.1000000000000001</v>
      </c>
      <c r="L148">
        <v>3.1</v>
      </c>
      <c r="M148">
        <v>0.34699999999999998</v>
      </c>
      <c r="N148">
        <v>2.5</v>
      </c>
      <c r="O148">
        <v>2.8</v>
      </c>
      <c r="P148">
        <v>0.87</v>
      </c>
      <c r="Q148">
        <v>0.7</v>
      </c>
      <c r="R148">
        <v>2.6</v>
      </c>
      <c r="S148">
        <v>3.3</v>
      </c>
      <c r="T148">
        <v>3.6</v>
      </c>
      <c r="U148">
        <v>1.2</v>
      </c>
      <c r="V148">
        <v>0.3</v>
      </c>
      <c r="W148">
        <v>1.4</v>
      </c>
      <c r="X148">
        <v>2.1</v>
      </c>
      <c r="Y148">
        <v>13.6</v>
      </c>
      <c r="AP148">
        <v>5</v>
      </c>
      <c r="AQ148">
        <v>10.4</v>
      </c>
      <c r="AR148">
        <v>1.1000000000000001</v>
      </c>
      <c r="AS148">
        <v>3.1</v>
      </c>
      <c r="AT148">
        <v>2.5</v>
      </c>
      <c r="AU148">
        <v>2.8</v>
      </c>
      <c r="AV148">
        <v>3.3</v>
      </c>
      <c r="AW148">
        <v>3.6</v>
      </c>
      <c r="AX148">
        <v>13.6</v>
      </c>
    </row>
    <row r="149" spans="1:50" x14ac:dyDescent="0.2">
      <c r="A149" s="1" t="s">
        <v>184</v>
      </c>
      <c r="B149" s="1" t="s">
        <v>43</v>
      </c>
      <c r="C149">
        <v>26</v>
      </c>
      <c r="D149" s="1" t="s">
        <v>32</v>
      </c>
      <c r="E149">
        <v>77</v>
      </c>
      <c r="F149">
        <v>3</v>
      </c>
      <c r="G149">
        <v>26.1</v>
      </c>
      <c r="H149">
        <v>5.2</v>
      </c>
      <c r="I149">
        <v>11.3</v>
      </c>
      <c r="J149">
        <v>0.45600000000000002</v>
      </c>
      <c r="K149">
        <v>2.1</v>
      </c>
      <c r="L149">
        <v>5.8</v>
      </c>
      <c r="M149">
        <v>0.36199999999999999</v>
      </c>
      <c r="N149">
        <v>1.2</v>
      </c>
      <c r="O149">
        <v>1.6</v>
      </c>
      <c r="P149">
        <v>0.73199999999999998</v>
      </c>
      <c r="Q149">
        <v>1.2</v>
      </c>
      <c r="R149">
        <v>5</v>
      </c>
      <c r="S149">
        <v>6.2</v>
      </c>
      <c r="T149">
        <v>2.2000000000000002</v>
      </c>
      <c r="U149">
        <v>1</v>
      </c>
      <c r="V149">
        <v>1</v>
      </c>
      <c r="W149">
        <v>1.6</v>
      </c>
      <c r="X149">
        <v>2.5</v>
      </c>
      <c r="Y149">
        <v>13.6</v>
      </c>
      <c r="AP149">
        <v>5.2</v>
      </c>
      <c r="AQ149">
        <v>11.3</v>
      </c>
      <c r="AR149">
        <v>2.1</v>
      </c>
      <c r="AS149">
        <v>5.8</v>
      </c>
      <c r="AT149">
        <v>1.2</v>
      </c>
      <c r="AU149">
        <v>1.6</v>
      </c>
      <c r="AV149">
        <v>6.2</v>
      </c>
      <c r="AW149">
        <v>2.2000000000000002</v>
      </c>
      <c r="AX149">
        <v>13.6</v>
      </c>
    </row>
    <row r="150" spans="1:50" x14ac:dyDescent="0.2">
      <c r="A150" s="1" t="s">
        <v>185</v>
      </c>
      <c r="B150" s="1" t="s">
        <v>26</v>
      </c>
      <c r="C150">
        <v>24</v>
      </c>
      <c r="D150" s="1" t="s">
        <v>76</v>
      </c>
      <c r="E150">
        <v>56</v>
      </c>
      <c r="F150">
        <v>55</v>
      </c>
      <c r="G150">
        <v>27.4</v>
      </c>
      <c r="H150">
        <v>4.9000000000000004</v>
      </c>
      <c r="I150">
        <v>11.3</v>
      </c>
      <c r="J150">
        <v>0.434</v>
      </c>
      <c r="K150">
        <v>2.1</v>
      </c>
      <c r="L150">
        <v>6.2</v>
      </c>
      <c r="M150">
        <v>0.33300000000000002</v>
      </c>
      <c r="N150">
        <v>1.8</v>
      </c>
      <c r="O150">
        <v>2.1</v>
      </c>
      <c r="P150">
        <v>0.85499999999999998</v>
      </c>
      <c r="Q150">
        <v>0.6</v>
      </c>
      <c r="R150">
        <v>3.2</v>
      </c>
      <c r="S150">
        <v>3.8</v>
      </c>
      <c r="T150">
        <v>5.5</v>
      </c>
      <c r="U150">
        <v>1.9</v>
      </c>
      <c r="V150">
        <v>0.7</v>
      </c>
      <c r="W150">
        <v>2.6</v>
      </c>
      <c r="X150">
        <v>2.6</v>
      </c>
      <c r="Y150">
        <v>13.6</v>
      </c>
      <c r="AP150">
        <v>4.9000000000000004</v>
      </c>
      <c r="AQ150">
        <v>11.3</v>
      </c>
      <c r="AR150">
        <v>2.1</v>
      </c>
      <c r="AS150">
        <v>6.2</v>
      </c>
      <c r="AT150">
        <v>1.8</v>
      </c>
      <c r="AU150">
        <v>2.1</v>
      </c>
      <c r="AV150">
        <v>3.8</v>
      </c>
      <c r="AW150">
        <v>5.5</v>
      </c>
      <c r="AX150">
        <v>13.6</v>
      </c>
    </row>
    <row r="151" spans="1:50" x14ac:dyDescent="0.2">
      <c r="A151" s="1" t="s">
        <v>186</v>
      </c>
      <c r="B151" s="1" t="s">
        <v>31</v>
      </c>
      <c r="C151">
        <v>24</v>
      </c>
      <c r="D151" s="1" t="s">
        <v>70</v>
      </c>
      <c r="E151">
        <v>42</v>
      </c>
      <c r="F151">
        <v>8</v>
      </c>
      <c r="G151">
        <v>21</v>
      </c>
      <c r="H151">
        <v>4.5</v>
      </c>
      <c r="I151">
        <v>11</v>
      </c>
      <c r="J151">
        <v>0.41</v>
      </c>
      <c r="K151">
        <v>1.2</v>
      </c>
      <c r="L151">
        <v>4</v>
      </c>
      <c r="M151">
        <v>0.31</v>
      </c>
      <c r="N151">
        <v>3.3</v>
      </c>
      <c r="O151">
        <v>4</v>
      </c>
      <c r="P151">
        <v>0.81100000000000005</v>
      </c>
      <c r="Q151">
        <v>0.3</v>
      </c>
      <c r="R151">
        <v>1.4</v>
      </c>
      <c r="S151">
        <v>1.7</v>
      </c>
      <c r="T151">
        <v>2.6</v>
      </c>
      <c r="U151">
        <v>0.2</v>
      </c>
      <c r="V151">
        <v>0.1</v>
      </c>
      <c r="W151">
        <v>1.8</v>
      </c>
      <c r="X151">
        <v>1</v>
      </c>
      <c r="Y151">
        <v>13.5</v>
      </c>
      <c r="AP151">
        <v>4.5</v>
      </c>
      <c r="AQ151">
        <v>11</v>
      </c>
      <c r="AR151">
        <v>1.2</v>
      </c>
      <c r="AS151">
        <v>4</v>
      </c>
      <c r="AT151">
        <v>3.3</v>
      </c>
      <c r="AU151">
        <v>4</v>
      </c>
      <c r="AV151">
        <v>1.7</v>
      </c>
      <c r="AW151">
        <v>2.6</v>
      </c>
      <c r="AX151">
        <v>13.5</v>
      </c>
    </row>
    <row r="152" spans="1:50" x14ac:dyDescent="0.2">
      <c r="A152" s="1" t="s">
        <v>186</v>
      </c>
      <c r="B152" s="1" t="s">
        <v>31</v>
      </c>
      <c r="C152">
        <v>24</v>
      </c>
      <c r="D152" s="1" t="s">
        <v>66</v>
      </c>
      <c r="E152">
        <v>24</v>
      </c>
      <c r="F152">
        <v>8</v>
      </c>
      <c r="G152">
        <v>24.3</v>
      </c>
      <c r="H152">
        <v>5.0999999999999996</v>
      </c>
      <c r="I152">
        <v>12.8</v>
      </c>
      <c r="J152">
        <v>0.39900000000000002</v>
      </c>
      <c r="K152">
        <v>1.6</v>
      </c>
      <c r="L152">
        <v>4.9000000000000004</v>
      </c>
      <c r="M152">
        <v>0.32500000000000001</v>
      </c>
      <c r="N152">
        <v>3.8</v>
      </c>
      <c r="O152">
        <v>4.5</v>
      </c>
      <c r="P152">
        <v>0.84299999999999997</v>
      </c>
      <c r="Q152">
        <v>0.4</v>
      </c>
      <c r="R152">
        <v>1.4</v>
      </c>
      <c r="S152">
        <v>1.8</v>
      </c>
      <c r="T152">
        <v>3.1</v>
      </c>
      <c r="U152">
        <v>0.2</v>
      </c>
      <c r="V152">
        <v>0.1</v>
      </c>
      <c r="W152">
        <v>2</v>
      </c>
      <c r="X152">
        <v>1.3</v>
      </c>
      <c r="Y152">
        <v>15.6</v>
      </c>
      <c r="AP152">
        <v>5.0999999999999996</v>
      </c>
      <c r="AQ152">
        <v>12.8</v>
      </c>
      <c r="AR152">
        <v>1.6</v>
      </c>
      <c r="AS152">
        <v>4.9000000000000004</v>
      </c>
      <c r="AT152">
        <v>3.8</v>
      </c>
      <c r="AU152">
        <v>4.5</v>
      </c>
      <c r="AV152">
        <v>1.8</v>
      </c>
      <c r="AW152">
        <v>3.1</v>
      </c>
      <c r="AX152">
        <v>15.6</v>
      </c>
    </row>
    <row r="153" spans="1:50" x14ac:dyDescent="0.2">
      <c r="A153" s="1" t="s">
        <v>186</v>
      </c>
      <c r="B153" s="1" t="s">
        <v>31</v>
      </c>
      <c r="C153">
        <v>24</v>
      </c>
      <c r="D153" s="1" t="s">
        <v>46</v>
      </c>
      <c r="E153">
        <v>18</v>
      </c>
      <c r="F153">
        <v>0</v>
      </c>
      <c r="G153">
        <v>16.600000000000001</v>
      </c>
      <c r="H153">
        <v>3.7</v>
      </c>
      <c r="I153">
        <v>8.5</v>
      </c>
      <c r="J153">
        <v>0.43099999999999999</v>
      </c>
      <c r="K153">
        <v>0.8</v>
      </c>
      <c r="L153">
        <v>2.8</v>
      </c>
      <c r="M153">
        <v>0.27500000000000002</v>
      </c>
      <c r="N153">
        <v>2.6</v>
      </c>
      <c r="O153">
        <v>3.4</v>
      </c>
      <c r="P153">
        <v>0.754</v>
      </c>
      <c r="Q153">
        <v>0.1</v>
      </c>
      <c r="R153">
        <v>1.4</v>
      </c>
      <c r="S153">
        <v>1.6</v>
      </c>
      <c r="T153">
        <v>1.9</v>
      </c>
      <c r="U153">
        <v>0.3</v>
      </c>
      <c r="V153">
        <v>0.1</v>
      </c>
      <c r="W153">
        <v>1.4</v>
      </c>
      <c r="X153">
        <v>0.7</v>
      </c>
      <c r="Y153">
        <v>10.7</v>
      </c>
      <c r="AP153">
        <v>3.7</v>
      </c>
      <c r="AQ153">
        <v>8.5</v>
      </c>
      <c r="AR153">
        <v>0.8</v>
      </c>
      <c r="AS153">
        <v>2.8</v>
      </c>
      <c r="AT153">
        <v>2.6</v>
      </c>
      <c r="AU153">
        <v>3.4</v>
      </c>
      <c r="AV153">
        <v>1.6</v>
      </c>
      <c r="AW153">
        <v>1.9</v>
      </c>
      <c r="AX153">
        <v>10.7</v>
      </c>
    </row>
    <row r="154" spans="1:50" x14ac:dyDescent="0.2">
      <c r="A154" s="1" t="s">
        <v>187</v>
      </c>
      <c r="B154" s="1" t="s">
        <v>23</v>
      </c>
      <c r="C154">
        <v>28</v>
      </c>
      <c r="D154" s="1" t="s">
        <v>39</v>
      </c>
      <c r="E154">
        <v>68</v>
      </c>
      <c r="F154">
        <v>55</v>
      </c>
      <c r="G154">
        <v>27.2</v>
      </c>
      <c r="H154">
        <v>5.2</v>
      </c>
      <c r="I154">
        <v>9.5</v>
      </c>
      <c r="J154">
        <v>0.55000000000000004</v>
      </c>
      <c r="K154">
        <v>1.3</v>
      </c>
      <c r="L154">
        <v>3.2</v>
      </c>
      <c r="M154">
        <v>0.41</v>
      </c>
      <c r="N154">
        <v>1.7</v>
      </c>
      <c r="O154">
        <v>2.2000000000000002</v>
      </c>
      <c r="P154">
        <v>0.76300000000000001</v>
      </c>
      <c r="Q154">
        <v>1.6</v>
      </c>
      <c r="R154">
        <v>3.7</v>
      </c>
      <c r="S154">
        <v>5.3</v>
      </c>
      <c r="T154">
        <v>1</v>
      </c>
      <c r="U154">
        <v>0.9</v>
      </c>
      <c r="V154">
        <v>0.8</v>
      </c>
      <c r="W154">
        <v>1.4</v>
      </c>
      <c r="X154">
        <v>2.7</v>
      </c>
      <c r="Y154">
        <v>13.5</v>
      </c>
      <c r="AP154">
        <v>5.2</v>
      </c>
      <c r="AQ154">
        <v>9.5</v>
      </c>
      <c r="AR154">
        <v>1.3</v>
      </c>
      <c r="AS154">
        <v>3.2</v>
      </c>
      <c r="AT154">
        <v>1.7</v>
      </c>
      <c r="AU154">
        <v>2.2000000000000002</v>
      </c>
      <c r="AV154">
        <v>5.3</v>
      </c>
      <c r="AW154">
        <v>1</v>
      </c>
      <c r="AX154">
        <v>13.5</v>
      </c>
    </row>
    <row r="155" spans="1:50" x14ac:dyDescent="0.2">
      <c r="A155" s="1" t="s">
        <v>188</v>
      </c>
      <c r="B155" s="1" t="s">
        <v>31</v>
      </c>
      <c r="C155">
        <v>33</v>
      </c>
      <c r="D155" s="1" t="s">
        <v>44</v>
      </c>
      <c r="E155">
        <v>80</v>
      </c>
      <c r="F155">
        <v>6</v>
      </c>
      <c r="G155">
        <v>26.6</v>
      </c>
      <c r="H155">
        <v>4.4000000000000004</v>
      </c>
      <c r="I155">
        <v>9.6999999999999993</v>
      </c>
      <c r="J155">
        <v>0.44700000000000001</v>
      </c>
      <c r="K155">
        <v>2.8</v>
      </c>
      <c r="L155">
        <v>6.9</v>
      </c>
      <c r="M155">
        <v>0.40699999999999997</v>
      </c>
      <c r="N155">
        <v>2</v>
      </c>
      <c r="O155">
        <v>2.5</v>
      </c>
      <c r="P155">
        <v>0.81100000000000005</v>
      </c>
      <c r="Q155">
        <v>0.2</v>
      </c>
      <c r="R155">
        <v>2.4</v>
      </c>
      <c r="S155">
        <v>2.6</v>
      </c>
      <c r="T155">
        <v>1.4</v>
      </c>
      <c r="U155">
        <v>0.5</v>
      </c>
      <c r="V155">
        <v>0.1</v>
      </c>
      <c r="W155">
        <v>0.5</v>
      </c>
      <c r="X155">
        <v>1.3</v>
      </c>
      <c r="Y155">
        <v>13.5</v>
      </c>
      <c r="AP155">
        <v>4.4000000000000004</v>
      </c>
      <c r="AQ155">
        <v>9.6999999999999993</v>
      </c>
      <c r="AR155">
        <v>2.8</v>
      </c>
      <c r="AS155">
        <v>6.9</v>
      </c>
      <c r="AT155">
        <v>2</v>
      </c>
      <c r="AU155">
        <v>2.5</v>
      </c>
      <c r="AV155">
        <v>2.6</v>
      </c>
      <c r="AW155">
        <v>1.4</v>
      </c>
      <c r="AX155">
        <v>13.5</v>
      </c>
    </row>
    <row r="156" spans="1:50" x14ac:dyDescent="0.2">
      <c r="A156" s="1" t="s">
        <v>189</v>
      </c>
      <c r="B156" s="1" t="s">
        <v>31</v>
      </c>
      <c r="C156">
        <v>27</v>
      </c>
      <c r="D156" s="1" t="s">
        <v>46</v>
      </c>
      <c r="E156">
        <v>10</v>
      </c>
      <c r="F156">
        <v>1</v>
      </c>
      <c r="G156">
        <v>23.2</v>
      </c>
      <c r="H156">
        <v>4.5</v>
      </c>
      <c r="I156">
        <v>8.1999999999999993</v>
      </c>
      <c r="J156">
        <v>0.54900000000000004</v>
      </c>
      <c r="K156">
        <v>2.4</v>
      </c>
      <c r="L156">
        <v>4.7</v>
      </c>
      <c r="M156">
        <v>0.51100000000000001</v>
      </c>
      <c r="N156">
        <v>2.1</v>
      </c>
      <c r="O156">
        <v>2.2999999999999998</v>
      </c>
      <c r="P156">
        <v>0.91300000000000003</v>
      </c>
      <c r="Q156">
        <v>0.5</v>
      </c>
      <c r="R156">
        <v>1.3</v>
      </c>
      <c r="S156">
        <v>1.8</v>
      </c>
      <c r="T156">
        <v>1.5</v>
      </c>
      <c r="U156">
        <v>1</v>
      </c>
      <c r="V156">
        <v>0.3</v>
      </c>
      <c r="W156">
        <v>1.5</v>
      </c>
      <c r="X156">
        <v>2.6</v>
      </c>
      <c r="Y156">
        <v>13.5</v>
      </c>
      <c r="AP156">
        <v>4.5</v>
      </c>
      <c r="AQ156">
        <v>8.1999999999999993</v>
      </c>
      <c r="AR156">
        <v>2.4</v>
      </c>
      <c r="AS156">
        <v>4.7</v>
      </c>
      <c r="AT156">
        <v>2.1</v>
      </c>
      <c r="AU156">
        <v>2.2999999999999998</v>
      </c>
      <c r="AV156">
        <v>1.8</v>
      </c>
      <c r="AW156">
        <v>1.5</v>
      </c>
      <c r="AX156">
        <v>13.5</v>
      </c>
    </row>
    <row r="157" spans="1:50" x14ac:dyDescent="0.2">
      <c r="A157" s="1" t="s">
        <v>190</v>
      </c>
      <c r="B157" s="1" t="s">
        <v>31</v>
      </c>
      <c r="C157">
        <v>21</v>
      </c>
      <c r="D157" s="1" t="s">
        <v>57</v>
      </c>
      <c r="E157">
        <v>81</v>
      </c>
      <c r="F157">
        <v>20</v>
      </c>
      <c r="G157">
        <v>26.2</v>
      </c>
      <c r="H157">
        <v>4.9000000000000004</v>
      </c>
      <c r="I157">
        <v>11.5</v>
      </c>
      <c r="J157">
        <v>0.43099999999999999</v>
      </c>
      <c r="K157">
        <v>2.8</v>
      </c>
      <c r="L157">
        <v>7</v>
      </c>
      <c r="M157">
        <v>0.39500000000000002</v>
      </c>
      <c r="N157">
        <v>0.8</v>
      </c>
      <c r="O157">
        <v>1</v>
      </c>
      <c r="P157">
        <v>0.81</v>
      </c>
      <c r="Q157">
        <v>0.3</v>
      </c>
      <c r="R157">
        <v>2.5</v>
      </c>
      <c r="S157">
        <v>2.9</v>
      </c>
      <c r="T157">
        <v>3.4</v>
      </c>
      <c r="U157">
        <v>1.5</v>
      </c>
      <c r="V157">
        <v>0.7</v>
      </c>
      <c r="W157">
        <v>1.5</v>
      </c>
      <c r="X157">
        <v>2</v>
      </c>
      <c r="Y157">
        <v>13.5</v>
      </c>
      <c r="AP157">
        <v>4.9000000000000004</v>
      </c>
      <c r="AQ157">
        <v>11.5</v>
      </c>
      <c r="AR157">
        <v>2.8</v>
      </c>
      <c r="AS157">
        <v>7</v>
      </c>
      <c r="AT157">
        <v>0.8</v>
      </c>
      <c r="AU157">
        <v>1</v>
      </c>
      <c r="AV157">
        <v>2.9</v>
      </c>
      <c r="AW157">
        <v>3.4</v>
      </c>
      <c r="AX157">
        <v>13.5</v>
      </c>
    </row>
    <row r="158" spans="1:50" x14ac:dyDescent="0.2">
      <c r="A158" s="1" t="s">
        <v>191</v>
      </c>
      <c r="B158" s="1" t="s">
        <v>23</v>
      </c>
      <c r="C158">
        <v>25</v>
      </c>
      <c r="D158" s="1" t="s">
        <v>62</v>
      </c>
      <c r="E158">
        <v>81</v>
      </c>
      <c r="F158">
        <v>81</v>
      </c>
      <c r="G158">
        <v>33.299999999999997</v>
      </c>
      <c r="H158">
        <v>4.8</v>
      </c>
      <c r="I158">
        <v>10.8</v>
      </c>
      <c r="J158">
        <v>0.44</v>
      </c>
      <c r="K158">
        <v>2.7</v>
      </c>
      <c r="L158">
        <v>7.2</v>
      </c>
      <c r="M158">
        <v>0.37</v>
      </c>
      <c r="N158">
        <v>1.2</v>
      </c>
      <c r="O158">
        <v>1.7</v>
      </c>
      <c r="P158">
        <v>0.70799999999999996</v>
      </c>
      <c r="Q158">
        <v>1.6</v>
      </c>
      <c r="R158">
        <v>3.6</v>
      </c>
      <c r="S158">
        <v>5.0999999999999996</v>
      </c>
      <c r="T158">
        <v>2.5</v>
      </c>
      <c r="U158">
        <v>1.2</v>
      </c>
      <c r="V158">
        <v>0.4</v>
      </c>
      <c r="W158">
        <v>1.8</v>
      </c>
      <c r="X158">
        <v>2.9</v>
      </c>
      <c r="Y158">
        <v>13.4</v>
      </c>
      <c r="AP158">
        <v>4.8</v>
      </c>
      <c r="AQ158">
        <v>10.8</v>
      </c>
      <c r="AR158">
        <v>2.7</v>
      </c>
      <c r="AS158">
        <v>7.2</v>
      </c>
      <c r="AT158">
        <v>1.2</v>
      </c>
      <c r="AU158">
        <v>1.7</v>
      </c>
      <c r="AV158">
        <v>5.0999999999999996</v>
      </c>
      <c r="AW158">
        <v>2.5</v>
      </c>
      <c r="AX158">
        <v>13.4</v>
      </c>
    </row>
    <row r="159" spans="1:50" x14ac:dyDescent="0.2">
      <c r="A159" s="1" t="s">
        <v>192</v>
      </c>
      <c r="B159" s="1" t="s">
        <v>26</v>
      </c>
      <c r="C159">
        <v>26</v>
      </c>
      <c r="D159" s="1" t="s">
        <v>81</v>
      </c>
      <c r="E159">
        <v>39</v>
      </c>
      <c r="F159">
        <v>8</v>
      </c>
      <c r="G159">
        <v>23.9</v>
      </c>
      <c r="H159">
        <v>4.2</v>
      </c>
      <c r="I159">
        <v>11.4</v>
      </c>
      <c r="J159">
        <v>0.372</v>
      </c>
      <c r="K159">
        <v>2.5</v>
      </c>
      <c r="L159">
        <v>7.4</v>
      </c>
      <c r="M159">
        <v>0.33300000000000002</v>
      </c>
      <c r="N159">
        <v>2.5</v>
      </c>
      <c r="O159">
        <v>2.9</v>
      </c>
      <c r="P159">
        <v>0.86</v>
      </c>
      <c r="Q159">
        <v>0.2</v>
      </c>
      <c r="R159">
        <v>1.7</v>
      </c>
      <c r="S159">
        <v>2</v>
      </c>
      <c r="T159">
        <v>3.1</v>
      </c>
      <c r="U159">
        <v>0.6</v>
      </c>
      <c r="V159">
        <v>0.4</v>
      </c>
      <c r="W159">
        <v>1.8</v>
      </c>
      <c r="X159">
        <v>2.2999999999999998</v>
      </c>
      <c r="Y159">
        <v>13.4</v>
      </c>
      <c r="AP159">
        <v>4.2</v>
      </c>
      <c r="AQ159">
        <v>11.4</v>
      </c>
      <c r="AR159">
        <v>2.5</v>
      </c>
      <c r="AS159">
        <v>7.4</v>
      </c>
      <c r="AT159">
        <v>2.5</v>
      </c>
      <c r="AU159">
        <v>2.9</v>
      </c>
      <c r="AV159">
        <v>2</v>
      </c>
      <c r="AW159">
        <v>3.1</v>
      </c>
      <c r="AX159">
        <v>13.4</v>
      </c>
    </row>
    <row r="160" spans="1:50" x14ac:dyDescent="0.2">
      <c r="A160" s="1" t="s">
        <v>193</v>
      </c>
      <c r="B160" s="1" t="s">
        <v>31</v>
      </c>
      <c r="C160">
        <v>25</v>
      </c>
      <c r="D160" s="1" t="s">
        <v>37</v>
      </c>
      <c r="E160">
        <v>74</v>
      </c>
      <c r="F160">
        <v>19</v>
      </c>
      <c r="G160">
        <v>29.4</v>
      </c>
      <c r="H160">
        <v>4.5</v>
      </c>
      <c r="I160">
        <v>10</v>
      </c>
      <c r="J160">
        <v>0.44900000000000001</v>
      </c>
      <c r="K160">
        <v>1.7</v>
      </c>
      <c r="L160">
        <v>5.0999999999999996</v>
      </c>
      <c r="M160">
        <v>0.32900000000000001</v>
      </c>
      <c r="N160">
        <v>2.7</v>
      </c>
      <c r="O160">
        <v>3.2</v>
      </c>
      <c r="P160">
        <v>0.83799999999999997</v>
      </c>
      <c r="Q160">
        <v>0.6</v>
      </c>
      <c r="R160">
        <v>3</v>
      </c>
      <c r="S160">
        <v>3.6</v>
      </c>
      <c r="T160">
        <v>3.2</v>
      </c>
      <c r="U160">
        <v>0.9</v>
      </c>
      <c r="V160">
        <v>0.4</v>
      </c>
      <c r="W160">
        <v>1.8</v>
      </c>
      <c r="X160">
        <v>2.1</v>
      </c>
      <c r="Y160">
        <v>13.3</v>
      </c>
      <c r="AP160">
        <v>4.5</v>
      </c>
      <c r="AQ160">
        <v>10</v>
      </c>
      <c r="AR160">
        <v>1.7</v>
      </c>
      <c r="AS160">
        <v>5.0999999999999996</v>
      </c>
      <c r="AT160">
        <v>2.7</v>
      </c>
      <c r="AU160">
        <v>3.2</v>
      </c>
      <c r="AV160">
        <v>3.6</v>
      </c>
      <c r="AW160">
        <v>3.2</v>
      </c>
      <c r="AX160">
        <v>13.3</v>
      </c>
    </row>
    <row r="161" spans="1:50" x14ac:dyDescent="0.2">
      <c r="A161" s="1" t="s">
        <v>194</v>
      </c>
      <c r="B161" s="1" t="s">
        <v>23</v>
      </c>
      <c r="C161">
        <v>33</v>
      </c>
      <c r="D161" s="1" t="s">
        <v>64</v>
      </c>
      <c r="E161">
        <v>62</v>
      </c>
      <c r="F161">
        <v>62</v>
      </c>
      <c r="G161">
        <v>27.8</v>
      </c>
      <c r="H161">
        <v>4.8</v>
      </c>
      <c r="I161">
        <v>10.4</v>
      </c>
      <c r="J161">
        <v>0.46400000000000002</v>
      </c>
      <c r="K161">
        <v>1.3</v>
      </c>
      <c r="L161">
        <v>3.5</v>
      </c>
      <c r="M161">
        <v>0.35599999999999998</v>
      </c>
      <c r="N161">
        <v>2.2000000000000002</v>
      </c>
      <c r="O161">
        <v>2.5</v>
      </c>
      <c r="P161">
        <v>0.86499999999999999</v>
      </c>
      <c r="Q161">
        <v>0.9</v>
      </c>
      <c r="R161">
        <v>4.3</v>
      </c>
      <c r="S161">
        <v>5.0999999999999996</v>
      </c>
      <c r="T161">
        <v>2.5</v>
      </c>
      <c r="U161">
        <v>0.9</v>
      </c>
      <c r="V161">
        <v>0.4</v>
      </c>
      <c r="W161">
        <v>1</v>
      </c>
      <c r="X161">
        <v>1.7</v>
      </c>
      <c r="Y161">
        <v>13.1</v>
      </c>
      <c r="AP161">
        <v>4.8</v>
      </c>
      <c r="AQ161">
        <v>10.4</v>
      </c>
      <c r="AR161">
        <v>1.3</v>
      </c>
      <c r="AS161">
        <v>3.5</v>
      </c>
      <c r="AT161">
        <v>2.2000000000000002</v>
      </c>
      <c r="AU161">
        <v>2.5</v>
      </c>
      <c r="AV161">
        <v>5.0999999999999996</v>
      </c>
      <c r="AW161">
        <v>2.5</v>
      </c>
      <c r="AX161">
        <v>13.1</v>
      </c>
    </row>
    <row r="162" spans="1:50" x14ac:dyDescent="0.2">
      <c r="A162" s="1" t="s">
        <v>195</v>
      </c>
      <c r="B162" s="1" t="s">
        <v>34</v>
      </c>
      <c r="C162">
        <v>26</v>
      </c>
      <c r="D162" s="1" t="s">
        <v>60</v>
      </c>
      <c r="E162">
        <v>81</v>
      </c>
      <c r="F162">
        <v>0</v>
      </c>
      <c r="G162">
        <v>23.3</v>
      </c>
      <c r="H162">
        <v>5</v>
      </c>
      <c r="I162">
        <v>9.6999999999999993</v>
      </c>
      <c r="J162">
        <v>0.52</v>
      </c>
      <c r="K162">
        <v>1.2</v>
      </c>
      <c r="L162">
        <v>3.3</v>
      </c>
      <c r="M162">
        <v>0.36199999999999999</v>
      </c>
      <c r="N162">
        <v>1.9</v>
      </c>
      <c r="O162">
        <v>2.2999999999999998</v>
      </c>
      <c r="P162">
        <v>0.79800000000000004</v>
      </c>
      <c r="Q162">
        <v>1.7</v>
      </c>
      <c r="R162">
        <v>3.7</v>
      </c>
      <c r="S162">
        <v>5.4</v>
      </c>
      <c r="T162">
        <v>1.4</v>
      </c>
      <c r="U162">
        <v>0.6</v>
      </c>
      <c r="V162">
        <v>0.1</v>
      </c>
      <c r="W162">
        <v>0.9</v>
      </c>
      <c r="X162">
        <v>2</v>
      </c>
      <c r="Y162">
        <v>13.1</v>
      </c>
      <c r="AP162">
        <v>5</v>
      </c>
      <c r="AQ162">
        <v>9.6999999999999993</v>
      </c>
      <c r="AR162">
        <v>1.2</v>
      </c>
      <c r="AS162">
        <v>3.3</v>
      </c>
      <c r="AT162">
        <v>1.9</v>
      </c>
      <c r="AU162">
        <v>2.2999999999999998</v>
      </c>
      <c r="AV162">
        <v>5.4</v>
      </c>
      <c r="AW162">
        <v>1.4</v>
      </c>
      <c r="AX162">
        <v>13.1</v>
      </c>
    </row>
    <row r="163" spans="1:50" x14ac:dyDescent="0.2">
      <c r="A163" s="1" t="s">
        <v>196</v>
      </c>
      <c r="B163" s="1" t="s">
        <v>31</v>
      </c>
      <c r="C163">
        <v>23</v>
      </c>
      <c r="D163" s="1" t="s">
        <v>41</v>
      </c>
      <c r="E163">
        <v>65</v>
      </c>
      <c r="F163">
        <v>41</v>
      </c>
      <c r="G163">
        <v>27</v>
      </c>
      <c r="H163">
        <v>5</v>
      </c>
      <c r="I163">
        <v>10.1</v>
      </c>
      <c r="J163">
        <v>0.495</v>
      </c>
      <c r="K163">
        <v>2</v>
      </c>
      <c r="L163">
        <v>4.5</v>
      </c>
      <c r="M163">
        <v>0.44700000000000001</v>
      </c>
      <c r="N163">
        <v>1.2</v>
      </c>
      <c r="O163">
        <v>1.6</v>
      </c>
      <c r="P163">
        <v>0.73799999999999999</v>
      </c>
      <c r="Q163">
        <v>1.8</v>
      </c>
      <c r="R163">
        <v>3.3</v>
      </c>
      <c r="S163">
        <v>5.0999999999999996</v>
      </c>
      <c r="T163">
        <v>2.2000000000000002</v>
      </c>
      <c r="U163">
        <v>0.8</v>
      </c>
      <c r="V163">
        <v>0.4</v>
      </c>
      <c r="W163">
        <v>1.5</v>
      </c>
      <c r="X163">
        <v>2.5</v>
      </c>
      <c r="Y163">
        <v>13.1</v>
      </c>
      <c r="AP163">
        <v>5</v>
      </c>
      <c r="AQ163">
        <v>10.1</v>
      </c>
      <c r="AR163">
        <v>2</v>
      </c>
      <c r="AS163">
        <v>4.5</v>
      </c>
      <c r="AT163">
        <v>1.2</v>
      </c>
      <c r="AU163">
        <v>1.6</v>
      </c>
      <c r="AV163">
        <v>5.0999999999999996</v>
      </c>
      <c r="AW163">
        <v>2.2000000000000002</v>
      </c>
      <c r="AX163">
        <v>13.1</v>
      </c>
    </row>
    <row r="164" spans="1:50" x14ac:dyDescent="0.2">
      <c r="A164" s="1" t="s">
        <v>197</v>
      </c>
      <c r="B164" s="1" t="s">
        <v>23</v>
      </c>
      <c r="C164">
        <v>30</v>
      </c>
      <c r="D164" s="1" t="s">
        <v>46</v>
      </c>
      <c r="E164">
        <v>69</v>
      </c>
      <c r="F164">
        <v>43</v>
      </c>
      <c r="G164">
        <v>26.2</v>
      </c>
      <c r="H164">
        <v>4.9000000000000004</v>
      </c>
      <c r="I164">
        <v>10</v>
      </c>
      <c r="J164">
        <v>0.49199999999999999</v>
      </c>
      <c r="K164">
        <v>1.2</v>
      </c>
      <c r="L164">
        <v>3.5</v>
      </c>
      <c r="M164">
        <v>0.34699999999999998</v>
      </c>
      <c r="N164">
        <v>2</v>
      </c>
      <c r="O164">
        <v>2.7</v>
      </c>
      <c r="P164">
        <v>0.72599999999999998</v>
      </c>
      <c r="Q164">
        <v>0.8</v>
      </c>
      <c r="R164">
        <v>3.7</v>
      </c>
      <c r="S164">
        <v>4.5</v>
      </c>
      <c r="T164">
        <v>2.7</v>
      </c>
      <c r="U164">
        <v>0.7</v>
      </c>
      <c r="V164">
        <v>0.4</v>
      </c>
      <c r="W164">
        <v>1.7</v>
      </c>
      <c r="X164">
        <v>1.9</v>
      </c>
      <c r="Y164">
        <v>13</v>
      </c>
      <c r="AP164">
        <v>4.9000000000000004</v>
      </c>
      <c r="AQ164">
        <v>10</v>
      </c>
      <c r="AR164">
        <v>1.2</v>
      </c>
      <c r="AS164">
        <v>3.5</v>
      </c>
      <c r="AT164">
        <v>2</v>
      </c>
      <c r="AU164">
        <v>2.7</v>
      </c>
      <c r="AV164">
        <v>4.5</v>
      </c>
      <c r="AW164">
        <v>2.7</v>
      </c>
      <c r="AX164">
        <v>13</v>
      </c>
    </row>
    <row r="165" spans="1:50" x14ac:dyDescent="0.2">
      <c r="A165" s="1" t="s">
        <v>198</v>
      </c>
      <c r="B165" s="1" t="s">
        <v>26</v>
      </c>
      <c r="C165">
        <v>26</v>
      </c>
      <c r="D165" s="1" t="s">
        <v>85</v>
      </c>
      <c r="E165">
        <v>66</v>
      </c>
      <c r="F165">
        <v>15</v>
      </c>
      <c r="G165">
        <v>22.2</v>
      </c>
      <c r="H165">
        <v>4.4000000000000004</v>
      </c>
      <c r="I165">
        <v>9.3000000000000007</v>
      </c>
      <c r="J165">
        <v>0.47199999999999998</v>
      </c>
      <c r="K165">
        <v>0.5</v>
      </c>
      <c r="L165">
        <v>2.2999999999999998</v>
      </c>
      <c r="M165">
        <v>0.23200000000000001</v>
      </c>
      <c r="N165">
        <v>3.7</v>
      </c>
      <c r="O165">
        <v>4.5999999999999996</v>
      </c>
      <c r="P165">
        <v>0.79300000000000004</v>
      </c>
      <c r="Q165">
        <v>0.5</v>
      </c>
      <c r="R165">
        <v>2.4</v>
      </c>
      <c r="S165">
        <v>2.9</v>
      </c>
      <c r="T165">
        <v>3.9</v>
      </c>
      <c r="U165">
        <v>0.9</v>
      </c>
      <c r="V165">
        <v>0.3</v>
      </c>
      <c r="W165">
        <v>1.9</v>
      </c>
      <c r="X165">
        <v>1.6</v>
      </c>
      <c r="Y165">
        <v>13</v>
      </c>
      <c r="AP165">
        <v>4.4000000000000004</v>
      </c>
      <c r="AQ165">
        <v>9.3000000000000007</v>
      </c>
      <c r="AR165">
        <v>0.5</v>
      </c>
      <c r="AS165">
        <v>2.2999999999999998</v>
      </c>
      <c r="AT165">
        <v>3.7</v>
      </c>
      <c r="AU165">
        <v>4.5999999999999996</v>
      </c>
      <c r="AV165">
        <v>2.9</v>
      </c>
      <c r="AW165">
        <v>3.9</v>
      </c>
      <c r="AX165">
        <v>13</v>
      </c>
    </row>
    <row r="166" spans="1:50" x14ac:dyDescent="0.2">
      <c r="A166" s="1" t="s">
        <v>199</v>
      </c>
      <c r="B166" s="1" t="s">
        <v>31</v>
      </c>
      <c r="C166">
        <v>29</v>
      </c>
      <c r="D166" s="1" t="s">
        <v>41</v>
      </c>
      <c r="E166">
        <v>52</v>
      </c>
      <c r="F166">
        <v>38</v>
      </c>
      <c r="G166">
        <v>26.5</v>
      </c>
      <c r="H166">
        <v>4.3</v>
      </c>
      <c r="I166">
        <v>9.3000000000000007</v>
      </c>
      <c r="J166">
        <v>0.46100000000000002</v>
      </c>
      <c r="K166">
        <v>3</v>
      </c>
      <c r="L166">
        <v>7.2</v>
      </c>
      <c r="M166">
        <v>0.42099999999999999</v>
      </c>
      <c r="N166">
        <v>1.1000000000000001</v>
      </c>
      <c r="O166">
        <v>1.3</v>
      </c>
      <c r="P166">
        <v>0.85499999999999998</v>
      </c>
      <c r="Q166">
        <v>0.5</v>
      </c>
      <c r="R166">
        <v>2</v>
      </c>
      <c r="S166">
        <v>2.6</v>
      </c>
      <c r="T166">
        <v>2.4</v>
      </c>
      <c r="U166">
        <v>0.6</v>
      </c>
      <c r="V166">
        <v>0.1</v>
      </c>
      <c r="W166">
        <v>0.8</v>
      </c>
      <c r="X166">
        <v>2.4</v>
      </c>
      <c r="Y166">
        <v>12.8</v>
      </c>
      <c r="AP166">
        <v>4.3</v>
      </c>
      <c r="AQ166">
        <v>9.3000000000000007</v>
      </c>
      <c r="AR166">
        <v>3</v>
      </c>
      <c r="AS166">
        <v>7.2</v>
      </c>
      <c r="AT166">
        <v>1.1000000000000001</v>
      </c>
      <c r="AU166">
        <v>1.3</v>
      </c>
      <c r="AV166">
        <v>2.6</v>
      </c>
      <c r="AW166">
        <v>2.4</v>
      </c>
      <c r="AX166">
        <v>12.8</v>
      </c>
    </row>
    <row r="167" spans="1:50" x14ac:dyDescent="0.2">
      <c r="A167" s="1" t="s">
        <v>200</v>
      </c>
      <c r="B167" s="1" t="s">
        <v>26</v>
      </c>
      <c r="C167">
        <v>26</v>
      </c>
      <c r="D167" s="1" t="s">
        <v>53</v>
      </c>
      <c r="E167">
        <v>80</v>
      </c>
      <c r="F167">
        <v>58</v>
      </c>
      <c r="G167">
        <v>28.5</v>
      </c>
      <c r="H167">
        <v>4.4000000000000004</v>
      </c>
      <c r="I167">
        <v>10.5</v>
      </c>
      <c r="J167">
        <v>0.41799999999999998</v>
      </c>
      <c r="K167">
        <v>2.9</v>
      </c>
      <c r="L167">
        <v>7.2</v>
      </c>
      <c r="M167">
        <v>0.40100000000000002</v>
      </c>
      <c r="N167">
        <v>1</v>
      </c>
      <c r="O167">
        <v>1.1000000000000001</v>
      </c>
      <c r="P167">
        <v>0.874</v>
      </c>
      <c r="Q167">
        <v>1.1000000000000001</v>
      </c>
      <c r="R167">
        <v>3</v>
      </c>
      <c r="S167">
        <v>4.0999999999999996</v>
      </c>
      <c r="T167">
        <v>4.5999999999999996</v>
      </c>
      <c r="U167">
        <v>1.2</v>
      </c>
      <c r="V167">
        <v>0.2</v>
      </c>
      <c r="W167">
        <v>1.6</v>
      </c>
      <c r="X167">
        <v>1.6</v>
      </c>
      <c r="Y167">
        <v>12.7</v>
      </c>
      <c r="AP167">
        <v>4.4000000000000004</v>
      </c>
      <c r="AQ167">
        <v>10.5</v>
      </c>
      <c r="AR167">
        <v>2.9</v>
      </c>
      <c r="AS167">
        <v>7.2</v>
      </c>
      <c r="AT167">
        <v>1</v>
      </c>
      <c r="AU167">
        <v>1.1000000000000001</v>
      </c>
      <c r="AV167">
        <v>4.0999999999999996</v>
      </c>
      <c r="AW167">
        <v>4.5999999999999996</v>
      </c>
      <c r="AX167">
        <v>12.7</v>
      </c>
    </row>
    <row r="168" spans="1:50" x14ac:dyDescent="0.2">
      <c r="A168" s="1" t="s">
        <v>201</v>
      </c>
      <c r="B168" s="1" t="s">
        <v>23</v>
      </c>
      <c r="C168">
        <v>21</v>
      </c>
      <c r="D168" s="1" t="s">
        <v>104</v>
      </c>
      <c r="E168">
        <v>55</v>
      </c>
      <c r="F168">
        <v>28</v>
      </c>
      <c r="G168">
        <v>21.4</v>
      </c>
      <c r="H168">
        <v>4.5999999999999996</v>
      </c>
      <c r="I168">
        <v>9.3000000000000007</v>
      </c>
      <c r="J168">
        <v>0.496</v>
      </c>
      <c r="K168">
        <v>1.2</v>
      </c>
      <c r="L168">
        <v>3.5</v>
      </c>
      <c r="M168">
        <v>0.33200000000000002</v>
      </c>
      <c r="N168">
        <v>2</v>
      </c>
      <c r="O168">
        <v>2.7</v>
      </c>
      <c r="P168">
        <v>0.74199999999999999</v>
      </c>
      <c r="Q168">
        <v>0.9</v>
      </c>
      <c r="R168">
        <v>3.4</v>
      </c>
      <c r="S168">
        <v>4.3</v>
      </c>
      <c r="T168">
        <v>1.5</v>
      </c>
      <c r="U168">
        <v>0.6</v>
      </c>
      <c r="V168">
        <v>0.8</v>
      </c>
      <c r="W168">
        <v>1.5</v>
      </c>
      <c r="X168">
        <v>1.4</v>
      </c>
      <c r="Y168">
        <v>12.5</v>
      </c>
      <c r="AP168">
        <v>4.5999999999999996</v>
      </c>
      <c r="AQ168">
        <v>9.3000000000000007</v>
      </c>
      <c r="AR168">
        <v>1.2</v>
      </c>
      <c r="AS168">
        <v>3.5</v>
      </c>
      <c r="AT168">
        <v>2</v>
      </c>
      <c r="AU168">
        <v>2.7</v>
      </c>
      <c r="AV168">
        <v>4.3</v>
      </c>
      <c r="AW168">
        <v>1.5</v>
      </c>
      <c r="AX168">
        <v>12.5</v>
      </c>
    </row>
    <row r="169" spans="1:50" x14ac:dyDescent="0.2">
      <c r="A169" s="1" t="s">
        <v>202</v>
      </c>
      <c r="B169" s="1" t="s">
        <v>26</v>
      </c>
      <c r="C169">
        <v>27</v>
      </c>
      <c r="D169" s="1" t="s">
        <v>51</v>
      </c>
      <c r="E169">
        <v>48</v>
      </c>
      <c r="F169">
        <v>23</v>
      </c>
      <c r="G169">
        <v>23</v>
      </c>
      <c r="H169">
        <v>4.5</v>
      </c>
      <c r="I169">
        <v>10.9</v>
      </c>
      <c r="J169">
        <v>0.41</v>
      </c>
      <c r="K169">
        <v>1.5</v>
      </c>
      <c r="L169">
        <v>5</v>
      </c>
      <c r="M169">
        <v>0.29799999999999999</v>
      </c>
      <c r="N169">
        <v>2</v>
      </c>
      <c r="O169">
        <v>2.5</v>
      </c>
      <c r="P169">
        <v>0.82399999999999995</v>
      </c>
      <c r="Q169">
        <v>0.8</v>
      </c>
      <c r="R169">
        <v>2.4</v>
      </c>
      <c r="S169">
        <v>3.2</v>
      </c>
      <c r="T169">
        <v>2.6</v>
      </c>
      <c r="U169">
        <v>1.6</v>
      </c>
      <c r="V169">
        <v>0.4</v>
      </c>
      <c r="W169">
        <v>1.9</v>
      </c>
      <c r="X169">
        <v>1.9</v>
      </c>
      <c r="Y169">
        <v>12.5</v>
      </c>
      <c r="AP169">
        <v>4.5</v>
      </c>
      <c r="AQ169">
        <v>10.9</v>
      </c>
      <c r="AR169">
        <v>1.5</v>
      </c>
      <c r="AS169">
        <v>5</v>
      </c>
      <c r="AT169">
        <v>2</v>
      </c>
      <c r="AU169">
        <v>2.5</v>
      </c>
      <c r="AV169">
        <v>3.2</v>
      </c>
      <c r="AW169">
        <v>2.6</v>
      </c>
      <c r="AX169">
        <v>12.5</v>
      </c>
    </row>
    <row r="170" spans="1:50" x14ac:dyDescent="0.2">
      <c r="A170" s="1" t="s">
        <v>203</v>
      </c>
      <c r="B170" s="1" t="s">
        <v>31</v>
      </c>
      <c r="C170">
        <v>27</v>
      </c>
      <c r="D170" s="1" t="s">
        <v>109</v>
      </c>
      <c r="E170">
        <v>62</v>
      </c>
      <c r="F170">
        <v>3</v>
      </c>
      <c r="G170">
        <v>22</v>
      </c>
      <c r="H170">
        <v>4.5</v>
      </c>
      <c r="I170">
        <v>10.199999999999999</v>
      </c>
      <c r="J170">
        <v>0.438</v>
      </c>
      <c r="K170">
        <v>2</v>
      </c>
      <c r="L170">
        <v>5.0999999999999996</v>
      </c>
      <c r="M170">
        <v>0.39500000000000002</v>
      </c>
      <c r="N170">
        <v>1.5</v>
      </c>
      <c r="O170">
        <v>1.7</v>
      </c>
      <c r="P170">
        <v>0.879</v>
      </c>
      <c r="Q170">
        <v>0.2</v>
      </c>
      <c r="R170">
        <v>1.6</v>
      </c>
      <c r="S170">
        <v>1.9</v>
      </c>
      <c r="T170">
        <v>3</v>
      </c>
      <c r="U170">
        <v>0.6</v>
      </c>
      <c r="V170">
        <v>0.4</v>
      </c>
      <c r="W170">
        <v>1.5</v>
      </c>
      <c r="X170">
        <v>1.6</v>
      </c>
      <c r="Y170">
        <v>12.5</v>
      </c>
      <c r="AP170">
        <v>4.5</v>
      </c>
      <c r="AQ170">
        <v>10.199999999999999</v>
      </c>
      <c r="AR170">
        <v>2</v>
      </c>
      <c r="AS170">
        <v>5.0999999999999996</v>
      </c>
      <c r="AT170">
        <v>1.5</v>
      </c>
      <c r="AU170">
        <v>1.7</v>
      </c>
      <c r="AV170">
        <v>1.9</v>
      </c>
      <c r="AW170">
        <v>3</v>
      </c>
      <c r="AX170">
        <v>12.5</v>
      </c>
    </row>
    <row r="171" spans="1:50" x14ac:dyDescent="0.2">
      <c r="A171" s="1" t="s">
        <v>204</v>
      </c>
      <c r="B171" s="1" t="s">
        <v>31</v>
      </c>
      <c r="C171">
        <v>22</v>
      </c>
      <c r="D171" s="1" t="s">
        <v>104</v>
      </c>
      <c r="E171">
        <v>69</v>
      </c>
      <c r="F171">
        <v>69</v>
      </c>
      <c r="G171">
        <v>26.4</v>
      </c>
      <c r="H171">
        <v>4.4000000000000004</v>
      </c>
      <c r="I171">
        <v>10.1</v>
      </c>
      <c r="J171">
        <v>0.43099999999999999</v>
      </c>
      <c r="K171">
        <v>1.9</v>
      </c>
      <c r="L171">
        <v>5.3</v>
      </c>
      <c r="M171">
        <v>0.35299999999999998</v>
      </c>
      <c r="N171">
        <v>1.9</v>
      </c>
      <c r="O171">
        <v>2.5</v>
      </c>
      <c r="P171">
        <v>0.78400000000000003</v>
      </c>
      <c r="Q171">
        <v>0.9</v>
      </c>
      <c r="R171">
        <v>2.2999999999999998</v>
      </c>
      <c r="S171">
        <v>3.2</v>
      </c>
      <c r="T171">
        <v>1.6</v>
      </c>
      <c r="U171">
        <v>0.9</v>
      </c>
      <c r="V171">
        <v>0.1</v>
      </c>
      <c r="W171">
        <v>1.1000000000000001</v>
      </c>
      <c r="X171">
        <v>2.1</v>
      </c>
      <c r="Y171">
        <v>12.5</v>
      </c>
      <c r="AP171">
        <v>4.4000000000000004</v>
      </c>
      <c r="AQ171">
        <v>10.1</v>
      </c>
      <c r="AR171">
        <v>1.9</v>
      </c>
      <c r="AS171">
        <v>5.3</v>
      </c>
      <c r="AT171">
        <v>1.9</v>
      </c>
      <c r="AU171">
        <v>2.5</v>
      </c>
      <c r="AV171">
        <v>3.2</v>
      </c>
      <c r="AW171">
        <v>1.6</v>
      </c>
      <c r="AX171">
        <v>12.5</v>
      </c>
    </row>
    <row r="172" spans="1:50" x14ac:dyDescent="0.2">
      <c r="A172" s="1" t="s">
        <v>205</v>
      </c>
      <c r="B172" s="1" t="s">
        <v>43</v>
      </c>
      <c r="C172">
        <v>27</v>
      </c>
      <c r="D172" s="1" t="s">
        <v>27</v>
      </c>
      <c r="E172">
        <v>71</v>
      </c>
      <c r="F172">
        <v>71</v>
      </c>
      <c r="G172">
        <v>27.2</v>
      </c>
      <c r="H172">
        <v>5.5</v>
      </c>
      <c r="I172">
        <v>8.3000000000000007</v>
      </c>
      <c r="J172">
        <v>0.67</v>
      </c>
      <c r="K172">
        <v>0</v>
      </c>
      <c r="L172">
        <v>0</v>
      </c>
      <c r="N172">
        <v>1.3</v>
      </c>
      <c r="O172">
        <v>2</v>
      </c>
      <c r="P172">
        <v>0.64</v>
      </c>
      <c r="Q172">
        <v>2.6</v>
      </c>
      <c r="R172">
        <v>5.4</v>
      </c>
      <c r="S172">
        <v>8</v>
      </c>
      <c r="T172">
        <v>0.8</v>
      </c>
      <c r="U172">
        <v>0.6</v>
      </c>
      <c r="V172">
        <v>0.9</v>
      </c>
      <c r="W172">
        <v>1.2</v>
      </c>
      <c r="X172">
        <v>2.2000000000000002</v>
      </c>
      <c r="Y172">
        <v>12.3</v>
      </c>
      <c r="AP172">
        <v>5.5</v>
      </c>
      <c r="AQ172">
        <v>8.3000000000000007</v>
      </c>
      <c r="AR172">
        <v>0</v>
      </c>
      <c r="AS172">
        <v>0</v>
      </c>
      <c r="AT172">
        <v>1.3</v>
      </c>
      <c r="AU172">
        <v>2</v>
      </c>
      <c r="AV172">
        <v>8</v>
      </c>
      <c r="AW172">
        <v>0.8</v>
      </c>
      <c r="AX172">
        <v>12.3</v>
      </c>
    </row>
    <row r="173" spans="1:50" x14ac:dyDescent="0.2">
      <c r="A173" s="1" t="s">
        <v>206</v>
      </c>
      <c r="B173" s="1" t="s">
        <v>31</v>
      </c>
      <c r="C173">
        <v>22</v>
      </c>
      <c r="D173" s="1" t="s">
        <v>85</v>
      </c>
      <c r="E173">
        <v>76</v>
      </c>
      <c r="F173">
        <v>67</v>
      </c>
      <c r="G173">
        <v>29.4</v>
      </c>
      <c r="H173">
        <v>4.0999999999999996</v>
      </c>
      <c r="I173">
        <v>9.4</v>
      </c>
      <c r="J173">
        <v>0.439</v>
      </c>
      <c r="K173">
        <v>2.2999999999999998</v>
      </c>
      <c r="L173">
        <v>5.8</v>
      </c>
      <c r="M173">
        <v>0.40300000000000002</v>
      </c>
      <c r="N173">
        <v>1.6</v>
      </c>
      <c r="O173">
        <v>1.8</v>
      </c>
      <c r="P173">
        <v>0.90600000000000003</v>
      </c>
      <c r="Q173">
        <v>0.2</v>
      </c>
      <c r="R173">
        <v>3.1</v>
      </c>
      <c r="S173">
        <v>3.3</v>
      </c>
      <c r="T173">
        <v>2</v>
      </c>
      <c r="U173">
        <v>0.6</v>
      </c>
      <c r="V173">
        <v>0.3</v>
      </c>
      <c r="W173">
        <v>1.3</v>
      </c>
      <c r="X173">
        <v>1.3</v>
      </c>
      <c r="Y173">
        <v>12.3</v>
      </c>
      <c r="AP173">
        <v>4.0999999999999996</v>
      </c>
      <c r="AQ173">
        <v>9.4</v>
      </c>
      <c r="AR173">
        <v>2.2999999999999998</v>
      </c>
      <c r="AS173">
        <v>5.8</v>
      </c>
      <c r="AT173">
        <v>1.6</v>
      </c>
      <c r="AU173">
        <v>1.8</v>
      </c>
      <c r="AV173">
        <v>3.3</v>
      </c>
      <c r="AW173">
        <v>2</v>
      </c>
      <c r="AX173">
        <v>12.3</v>
      </c>
    </row>
    <row r="174" spans="1:50" x14ac:dyDescent="0.2">
      <c r="A174" s="1" t="s">
        <v>207</v>
      </c>
      <c r="B174" s="1" t="s">
        <v>23</v>
      </c>
      <c r="C174">
        <v>21</v>
      </c>
      <c r="D174" s="1" t="s">
        <v>66</v>
      </c>
      <c r="E174">
        <v>66</v>
      </c>
      <c r="F174">
        <v>60</v>
      </c>
      <c r="G174">
        <v>27</v>
      </c>
      <c r="H174">
        <v>3.8</v>
      </c>
      <c r="I174">
        <v>9.6</v>
      </c>
      <c r="J174">
        <v>0.39600000000000002</v>
      </c>
      <c r="K174">
        <v>2</v>
      </c>
      <c r="L174">
        <v>5.9</v>
      </c>
      <c r="M174">
        <v>0.32900000000000001</v>
      </c>
      <c r="N174">
        <v>2.7</v>
      </c>
      <c r="O174">
        <v>3.4</v>
      </c>
      <c r="P174">
        <v>0.80400000000000005</v>
      </c>
      <c r="Q174">
        <v>0.8</v>
      </c>
      <c r="R174">
        <v>3.3</v>
      </c>
      <c r="S174">
        <v>4.0999999999999996</v>
      </c>
      <c r="T174">
        <v>1.6</v>
      </c>
      <c r="U174">
        <v>0.8</v>
      </c>
      <c r="V174">
        <v>0.7</v>
      </c>
      <c r="W174">
        <v>1.5</v>
      </c>
      <c r="X174">
        <v>2.5</v>
      </c>
      <c r="Y174">
        <v>12.3</v>
      </c>
      <c r="AP174">
        <v>3.8</v>
      </c>
      <c r="AQ174">
        <v>9.6</v>
      </c>
      <c r="AR174">
        <v>2</v>
      </c>
      <c r="AS174">
        <v>5.9</v>
      </c>
      <c r="AT174">
        <v>2.7</v>
      </c>
      <c r="AU174">
        <v>3.4</v>
      </c>
      <c r="AV174">
        <v>4.0999999999999996</v>
      </c>
      <c r="AW174">
        <v>1.6</v>
      </c>
      <c r="AX174">
        <v>12.3</v>
      </c>
    </row>
    <row r="175" spans="1:50" x14ac:dyDescent="0.2">
      <c r="A175" s="1" t="s">
        <v>208</v>
      </c>
      <c r="B175" s="1" t="s">
        <v>31</v>
      </c>
      <c r="C175">
        <v>29</v>
      </c>
      <c r="D175" s="1" t="s">
        <v>32</v>
      </c>
      <c r="E175">
        <v>81</v>
      </c>
      <c r="F175">
        <v>81</v>
      </c>
      <c r="G175">
        <v>30.7</v>
      </c>
      <c r="H175">
        <v>4.2</v>
      </c>
      <c r="I175">
        <v>10.199999999999999</v>
      </c>
      <c r="J175">
        <v>0.40699999999999997</v>
      </c>
      <c r="K175">
        <v>3</v>
      </c>
      <c r="L175">
        <v>7.9</v>
      </c>
      <c r="M175">
        <v>0.38</v>
      </c>
      <c r="N175">
        <v>1</v>
      </c>
      <c r="O175">
        <v>1.3</v>
      </c>
      <c r="P175">
        <v>0.74299999999999999</v>
      </c>
      <c r="Q175">
        <v>0.8</v>
      </c>
      <c r="R175">
        <v>3.3</v>
      </c>
      <c r="S175">
        <v>4.0999999999999996</v>
      </c>
      <c r="T175">
        <v>3.8</v>
      </c>
      <c r="U175">
        <v>1.3</v>
      </c>
      <c r="V175">
        <v>0.4</v>
      </c>
      <c r="W175">
        <v>1.5</v>
      </c>
      <c r="X175">
        <v>2.4</v>
      </c>
      <c r="Y175">
        <v>12.3</v>
      </c>
      <c r="AP175">
        <v>4.2</v>
      </c>
      <c r="AQ175">
        <v>10.199999999999999</v>
      </c>
      <c r="AR175">
        <v>3</v>
      </c>
      <c r="AS175">
        <v>7.9</v>
      </c>
      <c r="AT175">
        <v>1</v>
      </c>
      <c r="AU175">
        <v>1.3</v>
      </c>
      <c r="AV175">
        <v>4.0999999999999996</v>
      </c>
      <c r="AW175">
        <v>3.8</v>
      </c>
      <c r="AX175">
        <v>12.3</v>
      </c>
    </row>
    <row r="176" spans="1:50" x14ac:dyDescent="0.2">
      <c r="A176" s="1" t="s">
        <v>209</v>
      </c>
      <c r="B176" s="1" t="s">
        <v>43</v>
      </c>
      <c r="C176">
        <v>22</v>
      </c>
      <c r="D176" s="1" t="s">
        <v>109</v>
      </c>
      <c r="E176">
        <v>73</v>
      </c>
      <c r="F176">
        <v>55</v>
      </c>
      <c r="G176">
        <v>26.4</v>
      </c>
      <c r="H176">
        <v>5.2</v>
      </c>
      <c r="I176">
        <v>9.1</v>
      </c>
      <c r="J176">
        <v>0.56899999999999995</v>
      </c>
      <c r="K176">
        <v>0.3</v>
      </c>
      <c r="L176">
        <v>1</v>
      </c>
      <c r="M176">
        <v>0.3</v>
      </c>
      <c r="N176">
        <v>1.8</v>
      </c>
      <c r="O176">
        <v>2.2000000000000002</v>
      </c>
      <c r="P176">
        <v>0.78</v>
      </c>
      <c r="Q176">
        <v>1.9</v>
      </c>
      <c r="R176">
        <v>5.6</v>
      </c>
      <c r="S176">
        <v>7.5</v>
      </c>
      <c r="T176">
        <v>1.3</v>
      </c>
      <c r="U176">
        <v>0.5</v>
      </c>
      <c r="V176">
        <v>0.5</v>
      </c>
      <c r="W176">
        <v>1.2</v>
      </c>
      <c r="X176">
        <v>2.2999999999999998</v>
      </c>
      <c r="Y176">
        <v>12.3</v>
      </c>
      <c r="AP176">
        <v>5.2</v>
      </c>
      <c r="AQ176">
        <v>9.1</v>
      </c>
      <c r="AR176">
        <v>0.3</v>
      </c>
      <c r="AS176">
        <v>1</v>
      </c>
      <c r="AT176">
        <v>1.8</v>
      </c>
      <c r="AU176">
        <v>2.2000000000000002</v>
      </c>
      <c r="AV176">
        <v>7.5</v>
      </c>
      <c r="AW176">
        <v>1.3</v>
      </c>
      <c r="AX176">
        <v>12.3</v>
      </c>
    </row>
    <row r="177" spans="1:50" x14ac:dyDescent="0.2">
      <c r="A177" s="1" t="s">
        <v>210</v>
      </c>
      <c r="B177" s="1" t="s">
        <v>23</v>
      </c>
      <c r="C177">
        <v>23</v>
      </c>
      <c r="D177" s="1" t="s">
        <v>70</v>
      </c>
      <c r="E177">
        <v>36</v>
      </c>
      <c r="F177">
        <v>14</v>
      </c>
      <c r="G177">
        <v>23.1</v>
      </c>
      <c r="H177">
        <v>4.4000000000000004</v>
      </c>
      <c r="I177">
        <v>9.4</v>
      </c>
      <c r="J177">
        <v>0.46300000000000002</v>
      </c>
      <c r="K177">
        <v>1</v>
      </c>
      <c r="L177">
        <v>2.9</v>
      </c>
      <c r="M177">
        <v>0.33300000000000002</v>
      </c>
      <c r="N177">
        <v>2.5</v>
      </c>
      <c r="O177">
        <v>3.4</v>
      </c>
      <c r="P177">
        <v>0.72399999999999998</v>
      </c>
      <c r="Q177">
        <v>1.4</v>
      </c>
      <c r="R177">
        <v>4.3</v>
      </c>
      <c r="S177">
        <v>5.6</v>
      </c>
      <c r="T177">
        <v>2.2999999999999998</v>
      </c>
      <c r="U177">
        <v>0.6</v>
      </c>
      <c r="V177">
        <v>0.3</v>
      </c>
      <c r="W177">
        <v>1.9</v>
      </c>
      <c r="X177">
        <v>1.5</v>
      </c>
      <c r="Y177">
        <v>12.2</v>
      </c>
      <c r="AP177">
        <v>4.4000000000000004</v>
      </c>
      <c r="AQ177">
        <v>9.4</v>
      </c>
      <c r="AR177">
        <v>1</v>
      </c>
      <c r="AS177">
        <v>2.9</v>
      </c>
      <c r="AT177">
        <v>2.5</v>
      </c>
      <c r="AU177">
        <v>3.4</v>
      </c>
      <c r="AV177">
        <v>5.6</v>
      </c>
      <c r="AW177">
        <v>2.2999999999999998</v>
      </c>
      <c r="AX177">
        <v>12.2</v>
      </c>
    </row>
    <row r="178" spans="1:50" x14ac:dyDescent="0.2">
      <c r="A178" s="1" t="s">
        <v>210</v>
      </c>
      <c r="B178" s="1" t="s">
        <v>23</v>
      </c>
      <c r="C178">
        <v>23</v>
      </c>
      <c r="D178" s="1" t="s">
        <v>51</v>
      </c>
      <c r="E178">
        <v>20</v>
      </c>
      <c r="F178">
        <v>13</v>
      </c>
      <c r="G178">
        <v>23.8</v>
      </c>
      <c r="H178">
        <v>4.4000000000000004</v>
      </c>
      <c r="I178">
        <v>9.6999999999999993</v>
      </c>
      <c r="J178">
        <v>0.45400000000000001</v>
      </c>
      <c r="K178">
        <v>0.9</v>
      </c>
      <c r="L178">
        <v>2.7</v>
      </c>
      <c r="M178">
        <v>0.32100000000000001</v>
      </c>
      <c r="N178">
        <v>2.5</v>
      </c>
      <c r="O178">
        <v>3.3</v>
      </c>
      <c r="P178">
        <v>0.74199999999999999</v>
      </c>
      <c r="Q178">
        <v>1.5</v>
      </c>
      <c r="R178">
        <v>4.4000000000000004</v>
      </c>
      <c r="S178">
        <v>5.9</v>
      </c>
      <c r="T178">
        <v>2.5</v>
      </c>
      <c r="U178">
        <v>0.4</v>
      </c>
      <c r="V178">
        <v>0.3</v>
      </c>
      <c r="W178">
        <v>2.2999999999999998</v>
      </c>
      <c r="X178">
        <v>1.7</v>
      </c>
      <c r="Y178">
        <v>12.1</v>
      </c>
      <c r="AP178">
        <v>4.4000000000000004</v>
      </c>
      <c r="AQ178">
        <v>9.6999999999999993</v>
      </c>
      <c r="AR178">
        <v>0.9</v>
      </c>
      <c r="AS178">
        <v>2.7</v>
      </c>
      <c r="AT178">
        <v>2.5</v>
      </c>
      <c r="AU178">
        <v>3.3</v>
      </c>
      <c r="AV178">
        <v>5.9</v>
      </c>
      <c r="AW178">
        <v>2.5</v>
      </c>
      <c r="AX178">
        <v>12.1</v>
      </c>
    </row>
    <row r="179" spans="1:50" x14ac:dyDescent="0.2">
      <c r="A179" s="1" t="s">
        <v>210</v>
      </c>
      <c r="B179" s="1" t="s">
        <v>23</v>
      </c>
      <c r="C179">
        <v>23</v>
      </c>
      <c r="D179" s="1" t="s">
        <v>74</v>
      </c>
      <c r="E179">
        <v>16</v>
      </c>
      <c r="F179">
        <v>1</v>
      </c>
      <c r="G179">
        <v>22.1</v>
      </c>
      <c r="H179">
        <v>4.3</v>
      </c>
      <c r="I179">
        <v>9.1</v>
      </c>
      <c r="J179">
        <v>0.47599999999999998</v>
      </c>
      <c r="K179">
        <v>1.1000000000000001</v>
      </c>
      <c r="L179">
        <v>3.3</v>
      </c>
      <c r="M179">
        <v>0.34599999999999997</v>
      </c>
      <c r="N179">
        <v>2.5</v>
      </c>
      <c r="O179">
        <v>3.6</v>
      </c>
      <c r="P179">
        <v>0.70199999999999996</v>
      </c>
      <c r="Q179">
        <v>1.3</v>
      </c>
      <c r="R179">
        <v>4.0999999999999996</v>
      </c>
      <c r="S179">
        <v>5.3</v>
      </c>
      <c r="T179">
        <v>2.1</v>
      </c>
      <c r="U179">
        <v>0.9</v>
      </c>
      <c r="V179">
        <v>0.3</v>
      </c>
      <c r="W179">
        <v>1.3</v>
      </c>
      <c r="X179">
        <v>1.4</v>
      </c>
      <c r="Y179">
        <v>12.3</v>
      </c>
      <c r="AP179">
        <v>4.3</v>
      </c>
      <c r="AQ179">
        <v>9.1</v>
      </c>
      <c r="AR179">
        <v>1.1000000000000001</v>
      </c>
      <c r="AS179">
        <v>3.3</v>
      </c>
      <c r="AT179">
        <v>2.5</v>
      </c>
      <c r="AU179">
        <v>3.6</v>
      </c>
      <c r="AV179">
        <v>5.3</v>
      </c>
      <c r="AW179">
        <v>2.1</v>
      </c>
      <c r="AX179">
        <v>12.3</v>
      </c>
    </row>
    <row r="180" spans="1:50" x14ac:dyDescent="0.2">
      <c r="A180" s="1" t="s">
        <v>211</v>
      </c>
      <c r="B180" s="1" t="s">
        <v>34</v>
      </c>
      <c r="C180">
        <v>29</v>
      </c>
      <c r="D180" s="1" t="s">
        <v>44</v>
      </c>
      <c r="E180">
        <v>54</v>
      </c>
      <c r="F180">
        <v>54</v>
      </c>
      <c r="G180">
        <v>30.5</v>
      </c>
      <c r="H180">
        <v>4.2</v>
      </c>
      <c r="I180">
        <v>8.8000000000000007</v>
      </c>
      <c r="J180">
        <v>0.48</v>
      </c>
      <c r="K180">
        <v>2</v>
      </c>
      <c r="L180">
        <v>4.7</v>
      </c>
      <c r="M180">
        <v>0.43</v>
      </c>
      <c r="N180">
        <v>1.7</v>
      </c>
      <c r="O180">
        <v>2.1</v>
      </c>
      <c r="P180">
        <v>0.83899999999999997</v>
      </c>
      <c r="Q180">
        <v>0.8</v>
      </c>
      <c r="R180">
        <v>3</v>
      </c>
      <c r="S180">
        <v>3.8</v>
      </c>
      <c r="T180">
        <v>2.4</v>
      </c>
      <c r="U180">
        <v>0.7</v>
      </c>
      <c r="V180">
        <v>0.4</v>
      </c>
      <c r="W180">
        <v>0.9</v>
      </c>
      <c r="X180">
        <v>2.2999999999999998</v>
      </c>
      <c r="Y180">
        <v>12.2</v>
      </c>
      <c r="AP180">
        <v>4.2</v>
      </c>
      <c r="AQ180">
        <v>8.8000000000000007</v>
      </c>
      <c r="AR180">
        <v>2</v>
      </c>
      <c r="AS180">
        <v>4.7</v>
      </c>
      <c r="AT180">
        <v>1.7</v>
      </c>
      <c r="AU180">
        <v>2.1</v>
      </c>
      <c r="AV180">
        <v>3.8</v>
      </c>
      <c r="AW180">
        <v>2.4</v>
      </c>
      <c r="AX180">
        <v>12.2</v>
      </c>
    </row>
    <row r="181" spans="1:50" x14ac:dyDescent="0.2">
      <c r="A181" s="1" t="s">
        <v>212</v>
      </c>
      <c r="B181" s="1" t="s">
        <v>31</v>
      </c>
      <c r="C181">
        <v>19</v>
      </c>
      <c r="D181" s="1" t="s">
        <v>113</v>
      </c>
      <c r="E181">
        <v>60</v>
      </c>
      <c r="F181">
        <v>42</v>
      </c>
      <c r="G181">
        <v>24.1</v>
      </c>
      <c r="H181">
        <v>4.5</v>
      </c>
      <c r="I181">
        <v>10.8</v>
      </c>
      <c r="J181">
        <v>0.41899999999999998</v>
      </c>
      <c r="K181">
        <v>1.9</v>
      </c>
      <c r="L181">
        <v>5.4</v>
      </c>
      <c r="M181">
        <v>0.35799999999999998</v>
      </c>
      <c r="N181">
        <v>1.3</v>
      </c>
      <c r="O181">
        <v>1.5</v>
      </c>
      <c r="P181">
        <v>0.874</v>
      </c>
      <c r="Q181">
        <v>0.5</v>
      </c>
      <c r="R181">
        <v>2.4</v>
      </c>
      <c r="S181">
        <v>2.8</v>
      </c>
      <c r="T181">
        <v>2</v>
      </c>
      <c r="U181">
        <v>0.6</v>
      </c>
      <c r="V181">
        <v>0.3</v>
      </c>
      <c r="W181">
        <v>1.6</v>
      </c>
      <c r="X181">
        <v>2</v>
      </c>
      <c r="Y181">
        <v>12.2</v>
      </c>
      <c r="AP181">
        <v>4.5</v>
      </c>
      <c r="AQ181">
        <v>10.8</v>
      </c>
      <c r="AR181">
        <v>1.9</v>
      </c>
      <c r="AS181">
        <v>5.4</v>
      </c>
      <c r="AT181">
        <v>1.3</v>
      </c>
      <c r="AU181">
        <v>1.5</v>
      </c>
      <c r="AV181">
        <v>2.8</v>
      </c>
      <c r="AW181">
        <v>2</v>
      </c>
      <c r="AX181">
        <v>12.2</v>
      </c>
    </row>
    <row r="182" spans="1:50" x14ac:dyDescent="0.2">
      <c r="A182" s="1" t="s">
        <v>213</v>
      </c>
      <c r="B182" s="1" t="s">
        <v>34</v>
      </c>
      <c r="C182">
        <v>31</v>
      </c>
      <c r="D182" s="1" t="s">
        <v>64</v>
      </c>
      <c r="E182">
        <v>76</v>
      </c>
      <c r="F182">
        <v>76</v>
      </c>
      <c r="G182">
        <v>27.5</v>
      </c>
      <c r="H182">
        <v>4.0999999999999996</v>
      </c>
      <c r="I182">
        <v>9.1</v>
      </c>
      <c r="J182">
        <v>0.45300000000000001</v>
      </c>
      <c r="K182">
        <v>2.9</v>
      </c>
      <c r="L182">
        <v>7</v>
      </c>
      <c r="M182">
        <v>0.41</v>
      </c>
      <c r="N182">
        <v>1.1000000000000001</v>
      </c>
      <c r="O182">
        <v>1.4</v>
      </c>
      <c r="P182">
        <v>0.755</v>
      </c>
      <c r="Q182">
        <v>0.4</v>
      </c>
      <c r="R182">
        <v>2.2999999999999998</v>
      </c>
      <c r="S182">
        <v>2.7</v>
      </c>
      <c r="T182">
        <v>2.1</v>
      </c>
      <c r="U182">
        <v>0.6</v>
      </c>
      <c r="V182">
        <v>0.3</v>
      </c>
      <c r="W182">
        <v>0.7</v>
      </c>
      <c r="X182">
        <v>2.2000000000000002</v>
      </c>
      <c r="Y182">
        <v>12.2</v>
      </c>
      <c r="AP182">
        <v>4.0999999999999996</v>
      </c>
      <c r="AQ182">
        <v>9.1</v>
      </c>
      <c r="AR182">
        <v>2.9</v>
      </c>
      <c r="AS182">
        <v>7</v>
      </c>
      <c r="AT182">
        <v>1.1000000000000001</v>
      </c>
      <c r="AU182">
        <v>1.4</v>
      </c>
      <c r="AV182">
        <v>2.7</v>
      </c>
      <c r="AW182">
        <v>2.1</v>
      </c>
      <c r="AX182">
        <v>12.2</v>
      </c>
    </row>
    <row r="183" spans="1:50" x14ac:dyDescent="0.2">
      <c r="A183" s="1" t="s">
        <v>214</v>
      </c>
      <c r="B183" s="1" t="s">
        <v>43</v>
      </c>
      <c r="C183">
        <v>21</v>
      </c>
      <c r="D183" s="1" t="s">
        <v>62</v>
      </c>
      <c r="E183">
        <v>76</v>
      </c>
      <c r="F183">
        <v>76</v>
      </c>
      <c r="G183">
        <v>27.2</v>
      </c>
      <c r="H183">
        <v>4.5999999999999996</v>
      </c>
      <c r="I183">
        <v>8.9</v>
      </c>
      <c r="J183">
        <v>0.51900000000000002</v>
      </c>
      <c r="K183">
        <v>1.1000000000000001</v>
      </c>
      <c r="L183">
        <v>3.2</v>
      </c>
      <c r="M183">
        <v>0.34</v>
      </c>
      <c r="N183">
        <v>1.8</v>
      </c>
      <c r="O183">
        <v>2.7</v>
      </c>
      <c r="P183">
        <v>0.68</v>
      </c>
      <c r="Q183">
        <v>4.5</v>
      </c>
      <c r="R183">
        <v>7.1</v>
      </c>
      <c r="S183">
        <v>11.6</v>
      </c>
      <c r="T183">
        <v>2.1</v>
      </c>
      <c r="U183">
        <v>0.6</v>
      </c>
      <c r="V183">
        <v>1.7</v>
      </c>
      <c r="W183">
        <v>1.2</v>
      </c>
      <c r="X183">
        <v>2.2999999999999998</v>
      </c>
      <c r="Y183">
        <v>12.1</v>
      </c>
      <c r="AP183">
        <v>4.5999999999999996</v>
      </c>
      <c r="AQ183">
        <v>8.9</v>
      </c>
      <c r="AR183">
        <v>1.1000000000000001</v>
      </c>
      <c r="AS183">
        <v>3.2</v>
      </c>
      <c r="AT183">
        <v>1.8</v>
      </c>
      <c r="AU183">
        <v>2.7</v>
      </c>
      <c r="AV183">
        <v>11.6</v>
      </c>
      <c r="AW183">
        <v>2.1</v>
      </c>
      <c r="AX183">
        <v>12.1</v>
      </c>
    </row>
    <row r="184" spans="1:50" x14ac:dyDescent="0.2">
      <c r="A184" s="1" t="s">
        <v>215</v>
      </c>
      <c r="B184" s="1" t="s">
        <v>34</v>
      </c>
      <c r="C184">
        <v>26</v>
      </c>
      <c r="D184" s="1" t="s">
        <v>49</v>
      </c>
      <c r="E184">
        <v>13</v>
      </c>
      <c r="F184">
        <v>2</v>
      </c>
      <c r="G184">
        <v>20</v>
      </c>
      <c r="H184">
        <v>4.2</v>
      </c>
      <c r="I184">
        <v>7.9</v>
      </c>
      <c r="J184">
        <v>0.53400000000000003</v>
      </c>
      <c r="K184">
        <v>2.7</v>
      </c>
      <c r="L184">
        <v>5.5</v>
      </c>
      <c r="M184">
        <v>0.49299999999999999</v>
      </c>
      <c r="N184">
        <v>0.9</v>
      </c>
      <c r="O184">
        <v>1.2</v>
      </c>
      <c r="P184">
        <v>0.75</v>
      </c>
      <c r="Q184">
        <v>0.6</v>
      </c>
      <c r="R184">
        <v>1.5</v>
      </c>
      <c r="S184">
        <v>2.1</v>
      </c>
      <c r="T184">
        <v>1.1000000000000001</v>
      </c>
      <c r="U184">
        <v>0.3</v>
      </c>
      <c r="V184">
        <v>0.2</v>
      </c>
      <c r="W184">
        <v>0.4</v>
      </c>
      <c r="X184">
        <v>1.6</v>
      </c>
      <c r="Y184">
        <v>12.1</v>
      </c>
      <c r="AP184">
        <v>4.2</v>
      </c>
      <c r="AQ184">
        <v>7.9</v>
      </c>
      <c r="AR184">
        <v>2.7</v>
      </c>
      <c r="AS184">
        <v>5.5</v>
      </c>
      <c r="AT184">
        <v>0.9</v>
      </c>
      <c r="AU184">
        <v>1.2</v>
      </c>
      <c r="AV184">
        <v>2.1</v>
      </c>
      <c r="AW184">
        <v>1.1000000000000001</v>
      </c>
      <c r="AX184">
        <v>12.1</v>
      </c>
    </row>
    <row r="185" spans="1:50" x14ac:dyDescent="0.2">
      <c r="A185" s="1" t="s">
        <v>216</v>
      </c>
      <c r="B185" s="1" t="s">
        <v>31</v>
      </c>
      <c r="C185">
        <v>23</v>
      </c>
      <c r="D185" s="1" t="s">
        <v>51</v>
      </c>
      <c r="E185">
        <v>60</v>
      </c>
      <c r="F185">
        <v>49</v>
      </c>
      <c r="G185">
        <v>25.7</v>
      </c>
      <c r="H185">
        <v>4.0999999999999996</v>
      </c>
      <c r="I185">
        <v>9.3000000000000007</v>
      </c>
      <c r="J185">
        <v>0.44</v>
      </c>
      <c r="K185">
        <v>2.5</v>
      </c>
      <c r="L185">
        <v>6.3</v>
      </c>
      <c r="M185">
        <v>0.40100000000000002</v>
      </c>
      <c r="N185">
        <v>1.5</v>
      </c>
      <c r="O185">
        <v>1.9</v>
      </c>
      <c r="P185">
        <v>0.77</v>
      </c>
      <c r="Q185">
        <v>0.9</v>
      </c>
      <c r="R185">
        <v>2.5</v>
      </c>
      <c r="S185">
        <v>3.3</v>
      </c>
      <c r="T185">
        <v>1.6</v>
      </c>
      <c r="U185">
        <v>1</v>
      </c>
      <c r="V185">
        <v>0.6</v>
      </c>
      <c r="W185">
        <v>1</v>
      </c>
      <c r="X185">
        <v>2</v>
      </c>
      <c r="Y185">
        <v>12.1</v>
      </c>
      <c r="AP185">
        <v>4.0999999999999996</v>
      </c>
      <c r="AQ185">
        <v>9.3000000000000007</v>
      </c>
      <c r="AR185">
        <v>2.5</v>
      </c>
      <c r="AS185">
        <v>6.3</v>
      </c>
      <c r="AT185">
        <v>1.5</v>
      </c>
      <c r="AU185">
        <v>1.9</v>
      </c>
      <c r="AV185">
        <v>3.3</v>
      </c>
      <c r="AW185">
        <v>1.6</v>
      </c>
      <c r="AX185">
        <v>12.1</v>
      </c>
    </row>
    <row r="186" spans="1:50" x14ac:dyDescent="0.2">
      <c r="A186" s="1" t="s">
        <v>217</v>
      </c>
      <c r="B186" s="1" t="s">
        <v>31</v>
      </c>
      <c r="C186">
        <v>24</v>
      </c>
      <c r="D186" s="1" t="s">
        <v>44</v>
      </c>
      <c r="E186">
        <v>44</v>
      </c>
      <c r="F186">
        <v>44</v>
      </c>
      <c r="G186">
        <v>31.8</v>
      </c>
      <c r="H186">
        <v>4.5999999999999996</v>
      </c>
      <c r="I186">
        <v>8.8000000000000007</v>
      </c>
      <c r="J186">
        <v>0.51900000000000002</v>
      </c>
      <c r="K186">
        <v>1</v>
      </c>
      <c r="L186">
        <v>3.3</v>
      </c>
      <c r="M186">
        <v>0.30099999999999999</v>
      </c>
      <c r="N186">
        <v>1.8</v>
      </c>
      <c r="O186">
        <v>2.2999999999999998</v>
      </c>
      <c r="P186">
        <v>0.78200000000000003</v>
      </c>
      <c r="Q186">
        <v>1.4</v>
      </c>
      <c r="R186">
        <v>3.4</v>
      </c>
      <c r="S186">
        <v>4.8</v>
      </c>
      <c r="T186">
        <v>2.7</v>
      </c>
      <c r="U186">
        <v>0.7</v>
      </c>
      <c r="V186">
        <v>0.3</v>
      </c>
      <c r="W186">
        <v>1</v>
      </c>
      <c r="X186">
        <v>2.2999999999999998</v>
      </c>
      <c r="Y186">
        <v>12</v>
      </c>
      <c r="AP186">
        <v>4.5999999999999996</v>
      </c>
      <c r="AQ186">
        <v>8.8000000000000007</v>
      </c>
      <c r="AR186">
        <v>1</v>
      </c>
      <c r="AS186">
        <v>3.3</v>
      </c>
      <c r="AT186">
        <v>1.8</v>
      </c>
      <c r="AU186">
        <v>2.2999999999999998</v>
      </c>
      <c r="AV186">
        <v>4.8</v>
      </c>
      <c r="AW186">
        <v>2.7</v>
      </c>
      <c r="AX186">
        <v>12</v>
      </c>
    </row>
    <row r="187" spans="1:50" x14ac:dyDescent="0.2">
      <c r="A187" s="1" t="s">
        <v>218</v>
      </c>
      <c r="B187" s="1" t="s">
        <v>34</v>
      </c>
      <c r="C187">
        <v>30</v>
      </c>
      <c r="D187" s="1" t="s">
        <v>55</v>
      </c>
      <c r="E187">
        <v>66</v>
      </c>
      <c r="F187">
        <v>52</v>
      </c>
      <c r="G187">
        <v>30.2</v>
      </c>
      <c r="H187">
        <v>4.5999999999999996</v>
      </c>
      <c r="I187">
        <v>9</v>
      </c>
      <c r="J187">
        <v>0.50800000000000001</v>
      </c>
      <c r="K187">
        <v>1.5</v>
      </c>
      <c r="L187">
        <v>3.7</v>
      </c>
      <c r="M187">
        <v>0.41299999999999998</v>
      </c>
      <c r="N187">
        <v>1.4</v>
      </c>
      <c r="O187">
        <v>1.9</v>
      </c>
      <c r="P187">
        <v>0.72</v>
      </c>
      <c r="Q187">
        <v>1.4</v>
      </c>
      <c r="R187">
        <v>6</v>
      </c>
      <c r="S187">
        <v>7.4</v>
      </c>
      <c r="T187">
        <v>4.8</v>
      </c>
      <c r="U187">
        <v>1.1000000000000001</v>
      </c>
      <c r="V187">
        <v>0.3</v>
      </c>
      <c r="W187">
        <v>1.9</v>
      </c>
      <c r="X187">
        <v>2.5</v>
      </c>
      <c r="Y187">
        <v>12</v>
      </c>
      <c r="AP187">
        <v>4.5999999999999996</v>
      </c>
      <c r="AQ187">
        <v>9</v>
      </c>
      <c r="AR187">
        <v>1.5</v>
      </c>
      <c r="AS187">
        <v>3.7</v>
      </c>
      <c r="AT187">
        <v>1.4</v>
      </c>
      <c r="AU187">
        <v>1.9</v>
      </c>
      <c r="AV187">
        <v>7.4</v>
      </c>
      <c r="AW187">
        <v>4.8</v>
      </c>
      <c r="AX187">
        <v>12</v>
      </c>
    </row>
    <row r="188" spans="1:50" x14ac:dyDescent="0.2">
      <c r="A188" s="1" t="s">
        <v>219</v>
      </c>
      <c r="B188" s="1" t="s">
        <v>43</v>
      </c>
      <c r="C188">
        <v>26</v>
      </c>
      <c r="D188" s="1" t="s">
        <v>76</v>
      </c>
      <c r="E188">
        <v>77</v>
      </c>
      <c r="F188">
        <v>77</v>
      </c>
      <c r="G188">
        <v>29.3</v>
      </c>
      <c r="H188">
        <v>4.2</v>
      </c>
      <c r="I188">
        <v>8.1999999999999993</v>
      </c>
      <c r="J188">
        <v>0.51600000000000001</v>
      </c>
      <c r="K188">
        <v>0.9</v>
      </c>
      <c r="L188">
        <v>2.9</v>
      </c>
      <c r="M188">
        <v>0.32100000000000001</v>
      </c>
      <c r="N188">
        <v>2.5</v>
      </c>
      <c r="O188">
        <v>3.2</v>
      </c>
      <c r="P188">
        <v>0.79300000000000004</v>
      </c>
      <c r="Q188">
        <v>2.1</v>
      </c>
      <c r="R188">
        <v>5.3</v>
      </c>
      <c r="S188">
        <v>7.4</v>
      </c>
      <c r="T188">
        <v>2</v>
      </c>
      <c r="U188">
        <v>0.8</v>
      </c>
      <c r="V188">
        <v>0.6</v>
      </c>
      <c r="W188">
        <v>1.3</v>
      </c>
      <c r="X188">
        <v>3.4</v>
      </c>
      <c r="Y188">
        <v>11.9</v>
      </c>
      <c r="AP188">
        <v>4.2</v>
      </c>
      <c r="AQ188">
        <v>8.1999999999999993</v>
      </c>
      <c r="AR188">
        <v>0.9</v>
      </c>
      <c r="AS188">
        <v>2.9</v>
      </c>
      <c r="AT188">
        <v>2.5</v>
      </c>
      <c r="AU188">
        <v>3.2</v>
      </c>
      <c r="AV188">
        <v>7.4</v>
      </c>
      <c r="AW188">
        <v>2</v>
      </c>
      <c r="AX188">
        <v>11.9</v>
      </c>
    </row>
    <row r="189" spans="1:50" x14ac:dyDescent="0.2">
      <c r="A189" s="1" t="s">
        <v>220</v>
      </c>
      <c r="B189" s="1" t="s">
        <v>31</v>
      </c>
      <c r="C189">
        <v>22</v>
      </c>
      <c r="D189" s="1" t="s">
        <v>74</v>
      </c>
      <c r="E189">
        <v>76</v>
      </c>
      <c r="F189">
        <v>76</v>
      </c>
      <c r="G189">
        <v>33.200000000000003</v>
      </c>
      <c r="H189">
        <v>5.3</v>
      </c>
      <c r="I189">
        <v>10.199999999999999</v>
      </c>
      <c r="J189">
        <v>0.51700000000000002</v>
      </c>
      <c r="K189">
        <v>0.3</v>
      </c>
      <c r="L189">
        <v>1.5</v>
      </c>
      <c r="M189">
        <v>0.188</v>
      </c>
      <c r="N189">
        <v>1</v>
      </c>
      <c r="O189">
        <v>1.6</v>
      </c>
      <c r="P189">
        <v>0.61499999999999999</v>
      </c>
      <c r="Q189">
        <v>2.4</v>
      </c>
      <c r="R189">
        <v>4.4000000000000004</v>
      </c>
      <c r="S189">
        <v>6.8</v>
      </c>
      <c r="T189">
        <v>5.9</v>
      </c>
      <c r="U189">
        <v>2</v>
      </c>
      <c r="V189">
        <v>0.4</v>
      </c>
      <c r="W189">
        <v>1.8</v>
      </c>
      <c r="X189">
        <v>2.2000000000000002</v>
      </c>
      <c r="Y189">
        <v>11.9</v>
      </c>
      <c r="AP189">
        <v>5.3</v>
      </c>
      <c r="AQ189">
        <v>10.199999999999999</v>
      </c>
      <c r="AR189">
        <v>0.3</v>
      </c>
      <c r="AS189">
        <v>1.5</v>
      </c>
      <c r="AT189">
        <v>1</v>
      </c>
      <c r="AU189">
        <v>1.6</v>
      </c>
      <c r="AV189">
        <v>6.8</v>
      </c>
      <c r="AW189">
        <v>5.9</v>
      </c>
      <c r="AX189">
        <v>11.9</v>
      </c>
    </row>
    <row r="190" spans="1:50" x14ac:dyDescent="0.2">
      <c r="A190" s="1" t="s">
        <v>221</v>
      </c>
      <c r="B190" s="1" t="s">
        <v>43</v>
      </c>
      <c r="C190">
        <v>29</v>
      </c>
      <c r="D190" s="1" t="s">
        <v>46</v>
      </c>
      <c r="E190">
        <v>71</v>
      </c>
      <c r="F190">
        <v>71</v>
      </c>
      <c r="G190">
        <v>26.9</v>
      </c>
      <c r="H190">
        <v>4</v>
      </c>
      <c r="I190">
        <v>9.1</v>
      </c>
      <c r="J190">
        <v>0.44</v>
      </c>
      <c r="K190">
        <v>2.1</v>
      </c>
      <c r="L190">
        <v>5.4</v>
      </c>
      <c r="M190">
        <v>0.38300000000000001</v>
      </c>
      <c r="N190">
        <v>1.8</v>
      </c>
      <c r="O190">
        <v>2.5</v>
      </c>
      <c r="P190">
        <v>0.74</v>
      </c>
      <c r="Q190">
        <v>1.1000000000000001</v>
      </c>
      <c r="R190">
        <v>4.3</v>
      </c>
      <c r="S190">
        <v>5.3</v>
      </c>
      <c r="T190">
        <v>1.5</v>
      </c>
      <c r="U190">
        <v>0.7</v>
      </c>
      <c r="V190">
        <v>1.6</v>
      </c>
      <c r="W190">
        <v>1.2</v>
      </c>
      <c r="X190">
        <v>2.6</v>
      </c>
      <c r="Y190">
        <v>11.9</v>
      </c>
      <c r="AP190">
        <v>4</v>
      </c>
      <c r="AQ190">
        <v>9.1</v>
      </c>
      <c r="AR190">
        <v>2.1</v>
      </c>
      <c r="AS190">
        <v>5.4</v>
      </c>
      <c r="AT190">
        <v>1.8</v>
      </c>
      <c r="AU190">
        <v>2.5</v>
      </c>
      <c r="AV190">
        <v>5.3</v>
      </c>
      <c r="AW190">
        <v>1.5</v>
      </c>
      <c r="AX190">
        <v>11.9</v>
      </c>
    </row>
    <row r="191" spans="1:50" x14ac:dyDescent="0.2">
      <c r="A191" s="1" t="s">
        <v>222</v>
      </c>
      <c r="B191" s="1" t="s">
        <v>31</v>
      </c>
      <c r="C191">
        <v>19</v>
      </c>
      <c r="D191" s="1" t="s">
        <v>60</v>
      </c>
      <c r="E191">
        <v>68</v>
      </c>
      <c r="F191">
        <v>4</v>
      </c>
      <c r="G191">
        <v>22.6</v>
      </c>
      <c r="H191">
        <v>4.8</v>
      </c>
      <c r="I191">
        <v>9.5</v>
      </c>
      <c r="J191">
        <v>0.505</v>
      </c>
      <c r="K191">
        <v>0.9</v>
      </c>
      <c r="L191">
        <v>2.6</v>
      </c>
      <c r="M191">
        <v>0.34499999999999997</v>
      </c>
      <c r="N191">
        <v>1.3</v>
      </c>
      <c r="O191">
        <v>1.7</v>
      </c>
      <c r="P191">
        <v>0.754</v>
      </c>
      <c r="Q191">
        <v>0.8</v>
      </c>
      <c r="R191">
        <v>2.6</v>
      </c>
      <c r="S191">
        <v>3.4</v>
      </c>
      <c r="T191">
        <v>3.9</v>
      </c>
      <c r="U191">
        <v>0.8</v>
      </c>
      <c r="V191">
        <v>0.4</v>
      </c>
      <c r="W191">
        <v>1.5</v>
      </c>
      <c r="X191">
        <v>2</v>
      </c>
      <c r="Y191">
        <v>11.8</v>
      </c>
      <c r="AP191">
        <v>4.8</v>
      </c>
      <c r="AQ191">
        <v>9.5</v>
      </c>
      <c r="AR191">
        <v>0.9</v>
      </c>
      <c r="AS191">
        <v>2.6</v>
      </c>
      <c r="AT191">
        <v>1.3</v>
      </c>
      <c r="AU191">
        <v>1.7</v>
      </c>
      <c r="AV191">
        <v>3.4</v>
      </c>
      <c r="AW191">
        <v>3.9</v>
      </c>
      <c r="AX191">
        <v>11.8</v>
      </c>
    </row>
    <row r="192" spans="1:50" x14ac:dyDescent="0.2">
      <c r="A192" s="1" t="s">
        <v>223</v>
      </c>
      <c r="B192" s="1" t="s">
        <v>31</v>
      </c>
      <c r="C192">
        <v>25</v>
      </c>
      <c r="D192" s="1" t="s">
        <v>55</v>
      </c>
      <c r="E192">
        <v>40</v>
      </c>
      <c r="F192">
        <v>14</v>
      </c>
      <c r="G192">
        <v>26.4</v>
      </c>
      <c r="H192">
        <v>4.0999999999999996</v>
      </c>
      <c r="I192">
        <v>9.6999999999999993</v>
      </c>
      <c r="J192">
        <v>0.41899999999999998</v>
      </c>
      <c r="K192">
        <v>2.7</v>
      </c>
      <c r="L192">
        <v>6.6</v>
      </c>
      <c r="M192">
        <v>0.40899999999999997</v>
      </c>
      <c r="N192">
        <v>0.9</v>
      </c>
      <c r="O192">
        <v>1.1000000000000001</v>
      </c>
      <c r="P192">
        <v>0.8</v>
      </c>
      <c r="Q192">
        <v>0.6</v>
      </c>
      <c r="R192">
        <v>1.9</v>
      </c>
      <c r="S192">
        <v>2.4</v>
      </c>
      <c r="T192">
        <v>2.6</v>
      </c>
      <c r="U192">
        <v>0.9</v>
      </c>
      <c r="V192">
        <v>0.2</v>
      </c>
      <c r="W192">
        <v>0.8</v>
      </c>
      <c r="X192">
        <v>1.7</v>
      </c>
      <c r="Y192">
        <v>11.8</v>
      </c>
      <c r="AP192">
        <v>4.0999999999999996</v>
      </c>
      <c r="AQ192">
        <v>9.6999999999999993</v>
      </c>
      <c r="AR192">
        <v>2.7</v>
      </c>
      <c r="AS192">
        <v>6.6</v>
      </c>
      <c r="AT192">
        <v>0.9</v>
      </c>
      <c r="AU192">
        <v>1.1000000000000001</v>
      </c>
      <c r="AV192">
        <v>2.4</v>
      </c>
      <c r="AW192">
        <v>2.6</v>
      </c>
      <c r="AX192">
        <v>11.8</v>
      </c>
    </row>
    <row r="193" spans="1:50" x14ac:dyDescent="0.2">
      <c r="A193" s="1" t="s">
        <v>224</v>
      </c>
      <c r="B193" s="1" t="s">
        <v>43</v>
      </c>
      <c r="C193">
        <v>26</v>
      </c>
      <c r="D193" s="1" t="s">
        <v>66</v>
      </c>
      <c r="E193">
        <v>69</v>
      </c>
      <c r="F193">
        <v>68</v>
      </c>
      <c r="G193">
        <v>27.8</v>
      </c>
      <c r="H193">
        <v>4.8</v>
      </c>
      <c r="I193">
        <v>8.4</v>
      </c>
      <c r="J193">
        <v>0.57099999999999995</v>
      </c>
      <c r="K193">
        <v>0</v>
      </c>
      <c r="L193">
        <v>0.3</v>
      </c>
      <c r="M193">
        <v>0.158</v>
      </c>
      <c r="N193">
        <v>2</v>
      </c>
      <c r="O193">
        <v>3.3</v>
      </c>
      <c r="P193">
        <v>0.61599999999999999</v>
      </c>
      <c r="Q193">
        <v>2.4</v>
      </c>
      <c r="R193">
        <v>4.5</v>
      </c>
      <c r="S193">
        <v>6.9</v>
      </c>
      <c r="T193">
        <v>3.7</v>
      </c>
      <c r="U193">
        <v>0.7</v>
      </c>
      <c r="V193">
        <v>1.1000000000000001</v>
      </c>
      <c r="W193">
        <v>1.4</v>
      </c>
      <c r="X193">
        <v>2.2999999999999998</v>
      </c>
      <c r="Y193">
        <v>11.7</v>
      </c>
      <c r="AP193">
        <v>4.8</v>
      </c>
      <c r="AQ193">
        <v>8.4</v>
      </c>
      <c r="AR193">
        <v>0</v>
      </c>
      <c r="AS193">
        <v>0.3</v>
      </c>
      <c r="AT193">
        <v>2</v>
      </c>
      <c r="AU193">
        <v>3.3</v>
      </c>
      <c r="AV193">
        <v>6.9</v>
      </c>
      <c r="AW193">
        <v>3.7</v>
      </c>
      <c r="AX193">
        <v>11.7</v>
      </c>
    </row>
    <row r="194" spans="1:50" x14ac:dyDescent="0.2">
      <c r="A194" s="1" t="s">
        <v>225</v>
      </c>
      <c r="B194" s="1" t="s">
        <v>26</v>
      </c>
      <c r="C194">
        <v>21</v>
      </c>
      <c r="D194" s="1" t="s">
        <v>49</v>
      </c>
      <c r="E194">
        <v>59</v>
      </c>
      <c r="F194">
        <v>19</v>
      </c>
      <c r="G194">
        <v>25.7</v>
      </c>
      <c r="H194">
        <v>4.3</v>
      </c>
      <c r="I194">
        <v>8.6999999999999993</v>
      </c>
      <c r="J194">
        <v>0.495</v>
      </c>
      <c r="K194">
        <v>0.5</v>
      </c>
      <c r="L194">
        <v>1.7</v>
      </c>
      <c r="M194">
        <v>0.27</v>
      </c>
      <c r="N194">
        <v>2.6</v>
      </c>
      <c r="O194">
        <v>3.5</v>
      </c>
      <c r="P194">
        <v>0.72199999999999998</v>
      </c>
      <c r="Q194">
        <v>0.4</v>
      </c>
      <c r="R194">
        <v>2.2000000000000002</v>
      </c>
      <c r="S194">
        <v>2.5</v>
      </c>
      <c r="T194">
        <v>7.2</v>
      </c>
      <c r="U194">
        <v>1.1000000000000001</v>
      </c>
      <c r="V194">
        <v>0.3</v>
      </c>
      <c r="W194">
        <v>2.5</v>
      </c>
      <c r="X194">
        <v>2.2999999999999998</v>
      </c>
      <c r="Y194">
        <v>11.7</v>
      </c>
      <c r="AP194">
        <v>4.3</v>
      </c>
      <c r="AQ194">
        <v>8.6999999999999993</v>
      </c>
      <c r="AR194">
        <v>0.5</v>
      </c>
      <c r="AS194">
        <v>1.7</v>
      </c>
      <c r="AT194">
        <v>2.6</v>
      </c>
      <c r="AU194">
        <v>3.5</v>
      </c>
      <c r="AV194">
        <v>2.5</v>
      </c>
      <c r="AW194">
        <v>7.2</v>
      </c>
      <c r="AX194">
        <v>11.7</v>
      </c>
    </row>
    <row r="195" spans="1:50" x14ac:dyDescent="0.2">
      <c r="A195" s="1" t="s">
        <v>226</v>
      </c>
      <c r="B195" s="1" t="s">
        <v>31</v>
      </c>
      <c r="C195">
        <v>21</v>
      </c>
      <c r="D195" s="1" t="s">
        <v>113</v>
      </c>
      <c r="E195">
        <v>56</v>
      </c>
      <c r="F195">
        <v>56</v>
      </c>
      <c r="G195">
        <v>26.2</v>
      </c>
      <c r="H195">
        <v>4.0999999999999996</v>
      </c>
      <c r="I195">
        <v>9.6999999999999993</v>
      </c>
      <c r="J195">
        <v>0.42499999999999999</v>
      </c>
      <c r="K195">
        <v>1.2</v>
      </c>
      <c r="L195">
        <v>3.6</v>
      </c>
      <c r="M195">
        <v>0.31900000000000001</v>
      </c>
      <c r="N195">
        <v>2.4</v>
      </c>
      <c r="O195">
        <v>3.2</v>
      </c>
      <c r="P195">
        <v>0.746</v>
      </c>
      <c r="Q195">
        <v>0.9</v>
      </c>
      <c r="R195">
        <v>3.5</v>
      </c>
      <c r="S195">
        <v>4.3</v>
      </c>
      <c r="T195">
        <v>2.6</v>
      </c>
      <c r="U195">
        <v>1.3</v>
      </c>
      <c r="V195">
        <v>1</v>
      </c>
      <c r="W195">
        <v>1.4</v>
      </c>
      <c r="X195">
        <v>2.2999999999999998</v>
      </c>
      <c r="Y195">
        <v>11.7</v>
      </c>
      <c r="AP195">
        <v>4.0999999999999996</v>
      </c>
      <c r="AQ195">
        <v>9.6999999999999993</v>
      </c>
      <c r="AR195">
        <v>1.2</v>
      </c>
      <c r="AS195">
        <v>3.6</v>
      </c>
      <c r="AT195">
        <v>2.4</v>
      </c>
      <c r="AU195">
        <v>3.2</v>
      </c>
      <c r="AV195">
        <v>4.3</v>
      </c>
      <c r="AW195">
        <v>2.6</v>
      </c>
      <c r="AX195">
        <v>11.7</v>
      </c>
    </row>
    <row r="196" spans="1:50" x14ac:dyDescent="0.2">
      <c r="A196" s="1" t="s">
        <v>227</v>
      </c>
      <c r="B196" s="1" t="s">
        <v>23</v>
      </c>
      <c r="C196">
        <v>22</v>
      </c>
      <c r="D196" s="1" t="s">
        <v>113</v>
      </c>
      <c r="E196">
        <v>12</v>
      </c>
      <c r="F196">
        <v>10</v>
      </c>
      <c r="G196">
        <v>31.9</v>
      </c>
      <c r="H196">
        <v>4.8</v>
      </c>
      <c r="I196">
        <v>9.3000000000000007</v>
      </c>
      <c r="J196">
        <v>0.51800000000000002</v>
      </c>
      <c r="K196">
        <v>0</v>
      </c>
      <c r="L196">
        <v>0</v>
      </c>
      <c r="N196">
        <v>2</v>
      </c>
      <c r="O196">
        <v>3.3</v>
      </c>
      <c r="P196">
        <v>0.6</v>
      </c>
      <c r="Q196">
        <v>4.4000000000000004</v>
      </c>
      <c r="R196">
        <v>6.8</v>
      </c>
      <c r="S196">
        <v>11.2</v>
      </c>
      <c r="T196">
        <v>2</v>
      </c>
      <c r="U196">
        <v>1.3</v>
      </c>
      <c r="V196">
        <v>0.7</v>
      </c>
      <c r="W196">
        <v>2.7</v>
      </c>
      <c r="X196">
        <v>3.4</v>
      </c>
      <c r="Y196">
        <v>11.7</v>
      </c>
      <c r="AP196">
        <v>4.8</v>
      </c>
      <c r="AQ196">
        <v>9.3000000000000007</v>
      </c>
      <c r="AR196">
        <v>0</v>
      </c>
      <c r="AS196">
        <v>0</v>
      </c>
      <c r="AT196">
        <v>2</v>
      </c>
      <c r="AU196">
        <v>3.3</v>
      </c>
      <c r="AV196">
        <v>11.2</v>
      </c>
      <c r="AW196">
        <v>2</v>
      </c>
      <c r="AX196">
        <v>11.7</v>
      </c>
    </row>
    <row r="197" spans="1:50" x14ac:dyDescent="0.2">
      <c r="A197" s="1" t="s">
        <v>228</v>
      </c>
      <c r="B197" s="1" t="s">
        <v>34</v>
      </c>
      <c r="C197">
        <v>35</v>
      </c>
      <c r="D197" s="1" t="s">
        <v>85</v>
      </c>
      <c r="E197">
        <v>68</v>
      </c>
      <c r="F197">
        <v>8</v>
      </c>
      <c r="G197">
        <v>21.9</v>
      </c>
      <c r="H197">
        <v>4.0999999999999996</v>
      </c>
      <c r="I197">
        <v>10.6</v>
      </c>
      <c r="J197">
        <v>0.39300000000000002</v>
      </c>
      <c r="K197">
        <v>2.9</v>
      </c>
      <c r="L197">
        <v>7.6</v>
      </c>
      <c r="M197">
        <v>0.38200000000000001</v>
      </c>
      <c r="N197">
        <v>0.5</v>
      </c>
      <c r="O197">
        <v>0.7</v>
      </c>
      <c r="P197">
        <v>0.76600000000000001</v>
      </c>
      <c r="Q197">
        <v>0.3</v>
      </c>
      <c r="R197">
        <v>1.8</v>
      </c>
      <c r="S197">
        <v>2.1</v>
      </c>
      <c r="T197">
        <v>1.4</v>
      </c>
      <c r="U197">
        <v>0.5</v>
      </c>
      <c r="V197">
        <v>0.3</v>
      </c>
      <c r="W197">
        <v>0.9</v>
      </c>
      <c r="X197">
        <v>1</v>
      </c>
      <c r="Y197">
        <v>11.7</v>
      </c>
      <c r="AP197">
        <v>4.0999999999999996</v>
      </c>
      <c r="AQ197">
        <v>10.6</v>
      </c>
      <c r="AR197">
        <v>2.9</v>
      </c>
      <c r="AS197">
        <v>7.6</v>
      </c>
      <c r="AT197">
        <v>0.5</v>
      </c>
      <c r="AU197">
        <v>0.7</v>
      </c>
      <c r="AV197">
        <v>2.1</v>
      </c>
      <c r="AW197">
        <v>1.4</v>
      </c>
      <c r="AX197">
        <v>11.7</v>
      </c>
    </row>
    <row r="198" spans="1:50" x14ac:dyDescent="0.2">
      <c r="A198" s="1" t="s">
        <v>229</v>
      </c>
      <c r="B198" s="1" t="s">
        <v>43</v>
      </c>
      <c r="C198">
        <v>24</v>
      </c>
      <c r="D198" s="1" t="s">
        <v>53</v>
      </c>
      <c r="E198">
        <v>60</v>
      </c>
      <c r="F198">
        <v>55</v>
      </c>
      <c r="G198">
        <v>23.6</v>
      </c>
      <c r="H198">
        <v>4.7</v>
      </c>
      <c r="I198">
        <v>7.3</v>
      </c>
      <c r="J198">
        <v>0.64400000000000002</v>
      </c>
      <c r="K198">
        <v>0</v>
      </c>
      <c r="L198">
        <v>0</v>
      </c>
      <c r="M198">
        <v>1</v>
      </c>
      <c r="N198">
        <v>2.2999999999999998</v>
      </c>
      <c r="O198">
        <v>2.9</v>
      </c>
      <c r="P198">
        <v>0.77100000000000002</v>
      </c>
      <c r="Q198">
        <v>3.1</v>
      </c>
      <c r="R198">
        <v>4.9000000000000004</v>
      </c>
      <c r="S198">
        <v>8</v>
      </c>
      <c r="T198">
        <v>1</v>
      </c>
      <c r="U198">
        <v>0.9</v>
      </c>
      <c r="V198">
        <v>0.9</v>
      </c>
      <c r="W198">
        <v>1.1000000000000001</v>
      </c>
      <c r="X198">
        <v>2.2000000000000002</v>
      </c>
      <c r="Y198">
        <v>11.7</v>
      </c>
      <c r="AP198">
        <v>4.7</v>
      </c>
      <c r="AQ198">
        <v>7.3</v>
      </c>
      <c r="AR198">
        <v>0</v>
      </c>
      <c r="AS198">
        <v>0</v>
      </c>
      <c r="AT198">
        <v>2.2999999999999998</v>
      </c>
      <c r="AU198">
        <v>2.9</v>
      </c>
      <c r="AV198">
        <v>8</v>
      </c>
      <c r="AW198">
        <v>1</v>
      </c>
      <c r="AX198">
        <v>11.7</v>
      </c>
    </row>
    <row r="199" spans="1:50" x14ac:dyDescent="0.2">
      <c r="A199" s="1" t="s">
        <v>230</v>
      </c>
      <c r="B199" s="1" t="s">
        <v>23</v>
      </c>
      <c r="C199">
        <v>22</v>
      </c>
      <c r="D199" s="1" t="s">
        <v>68</v>
      </c>
      <c r="E199">
        <v>76</v>
      </c>
      <c r="F199">
        <v>41</v>
      </c>
      <c r="G199">
        <v>25.7</v>
      </c>
      <c r="H199">
        <v>4</v>
      </c>
      <c r="I199">
        <v>9.6</v>
      </c>
      <c r="J199">
        <v>0.41899999999999998</v>
      </c>
      <c r="K199">
        <v>1.8</v>
      </c>
      <c r="L199">
        <v>4.7</v>
      </c>
      <c r="M199">
        <v>0.374</v>
      </c>
      <c r="N199">
        <v>1.8</v>
      </c>
      <c r="O199">
        <v>2.4</v>
      </c>
      <c r="P199">
        <v>0.749</v>
      </c>
      <c r="Q199">
        <v>0.6</v>
      </c>
      <c r="R199">
        <v>4.5</v>
      </c>
      <c r="S199">
        <v>5.0999999999999996</v>
      </c>
      <c r="T199">
        <v>2.5</v>
      </c>
      <c r="U199">
        <v>0.8</v>
      </c>
      <c r="V199">
        <v>0.3</v>
      </c>
      <c r="W199">
        <v>1.8</v>
      </c>
      <c r="X199">
        <v>1.6</v>
      </c>
      <c r="Y199">
        <v>11.6</v>
      </c>
      <c r="AP199">
        <v>4</v>
      </c>
      <c r="AQ199">
        <v>9.6</v>
      </c>
      <c r="AR199">
        <v>1.8</v>
      </c>
      <c r="AS199">
        <v>4.7</v>
      </c>
      <c r="AT199">
        <v>1.8</v>
      </c>
      <c r="AU199">
        <v>2.4</v>
      </c>
      <c r="AV199">
        <v>5.0999999999999996</v>
      </c>
      <c r="AW199">
        <v>2.5</v>
      </c>
      <c r="AX199">
        <v>11.6</v>
      </c>
    </row>
    <row r="200" spans="1:50" x14ac:dyDescent="0.2">
      <c r="A200" s="1" t="s">
        <v>231</v>
      </c>
      <c r="B200" s="1" t="s">
        <v>43</v>
      </c>
      <c r="C200">
        <v>21</v>
      </c>
      <c r="D200" s="1" t="s">
        <v>81</v>
      </c>
      <c r="E200">
        <v>80</v>
      </c>
      <c r="F200">
        <v>47</v>
      </c>
      <c r="G200">
        <v>24.8</v>
      </c>
      <c r="H200">
        <v>4.3</v>
      </c>
      <c r="I200">
        <v>9</v>
      </c>
      <c r="J200">
        <v>0.47599999999999998</v>
      </c>
      <c r="K200">
        <v>0.3</v>
      </c>
      <c r="L200">
        <v>1.1000000000000001</v>
      </c>
      <c r="M200">
        <v>0.25600000000000001</v>
      </c>
      <c r="N200">
        <v>2.6</v>
      </c>
      <c r="O200">
        <v>3.3</v>
      </c>
      <c r="P200">
        <v>0.79200000000000004</v>
      </c>
      <c r="Q200">
        <v>1.6</v>
      </c>
      <c r="R200">
        <v>5.3</v>
      </c>
      <c r="S200">
        <v>6.9</v>
      </c>
      <c r="T200">
        <v>3.7</v>
      </c>
      <c r="U200">
        <v>1</v>
      </c>
      <c r="V200">
        <v>0.9</v>
      </c>
      <c r="W200">
        <v>2.2999999999999998</v>
      </c>
      <c r="X200">
        <v>2.6</v>
      </c>
      <c r="Y200">
        <v>11.5</v>
      </c>
      <c r="AP200">
        <v>4.3</v>
      </c>
      <c r="AQ200">
        <v>9</v>
      </c>
      <c r="AR200">
        <v>0.3</v>
      </c>
      <c r="AS200">
        <v>1.1000000000000001</v>
      </c>
      <c r="AT200">
        <v>2.6</v>
      </c>
      <c r="AU200">
        <v>3.3</v>
      </c>
      <c r="AV200">
        <v>6.9</v>
      </c>
      <c r="AW200">
        <v>3.7</v>
      </c>
      <c r="AX200">
        <v>11.5</v>
      </c>
    </row>
    <row r="201" spans="1:50" x14ac:dyDescent="0.2">
      <c r="A201" s="1" t="s">
        <v>232</v>
      </c>
      <c r="B201" s="1" t="s">
        <v>43</v>
      </c>
      <c r="C201">
        <v>22</v>
      </c>
      <c r="D201" s="1" t="s">
        <v>49</v>
      </c>
      <c r="E201">
        <v>77</v>
      </c>
      <c r="F201">
        <v>41</v>
      </c>
      <c r="G201">
        <v>23.4</v>
      </c>
      <c r="H201">
        <v>4.2</v>
      </c>
      <c r="I201">
        <v>8.5</v>
      </c>
      <c r="J201">
        <v>0.49199999999999999</v>
      </c>
      <c r="K201">
        <v>1</v>
      </c>
      <c r="L201">
        <v>3</v>
      </c>
      <c r="M201">
        <v>0.32500000000000001</v>
      </c>
      <c r="N201">
        <v>2.1</v>
      </c>
      <c r="O201">
        <v>2.8</v>
      </c>
      <c r="P201">
        <v>0.75</v>
      </c>
      <c r="Q201">
        <v>1.9</v>
      </c>
      <c r="R201">
        <v>5.3</v>
      </c>
      <c r="S201">
        <v>7.2</v>
      </c>
      <c r="T201">
        <v>2.6</v>
      </c>
      <c r="U201">
        <v>0.9</v>
      </c>
      <c r="V201">
        <v>0.5</v>
      </c>
      <c r="W201">
        <v>1.6</v>
      </c>
      <c r="X201">
        <v>3</v>
      </c>
      <c r="Y201">
        <v>11.4</v>
      </c>
      <c r="AP201">
        <v>4.2</v>
      </c>
      <c r="AQ201">
        <v>8.5</v>
      </c>
      <c r="AR201">
        <v>1</v>
      </c>
      <c r="AS201">
        <v>3</v>
      </c>
      <c r="AT201">
        <v>2.1</v>
      </c>
      <c r="AU201">
        <v>2.8</v>
      </c>
      <c r="AV201">
        <v>7.2</v>
      </c>
      <c r="AW201">
        <v>2.6</v>
      </c>
      <c r="AX201">
        <v>11.4</v>
      </c>
    </row>
    <row r="202" spans="1:50" x14ac:dyDescent="0.2">
      <c r="A202" s="1" t="s">
        <v>233</v>
      </c>
      <c r="B202" s="1" t="s">
        <v>31</v>
      </c>
      <c r="C202">
        <v>24</v>
      </c>
      <c r="D202" s="1" t="s">
        <v>79</v>
      </c>
      <c r="E202">
        <v>70</v>
      </c>
      <c r="F202">
        <v>54</v>
      </c>
      <c r="G202">
        <v>26.4</v>
      </c>
      <c r="H202">
        <v>4</v>
      </c>
      <c r="I202">
        <v>8</v>
      </c>
      <c r="J202">
        <v>0.496</v>
      </c>
      <c r="K202">
        <v>0.9</v>
      </c>
      <c r="L202">
        <v>2.7</v>
      </c>
      <c r="M202">
        <v>0.32300000000000001</v>
      </c>
      <c r="N202">
        <v>2.6</v>
      </c>
      <c r="O202">
        <v>3.3</v>
      </c>
      <c r="P202">
        <v>0.79700000000000004</v>
      </c>
      <c r="Q202">
        <v>1</v>
      </c>
      <c r="R202">
        <v>2.5</v>
      </c>
      <c r="S202">
        <v>3.5</v>
      </c>
      <c r="T202">
        <v>3.4</v>
      </c>
      <c r="U202">
        <v>0.7</v>
      </c>
      <c r="V202">
        <v>0.2</v>
      </c>
      <c r="W202">
        <v>1.4</v>
      </c>
      <c r="X202">
        <v>2.1</v>
      </c>
      <c r="Y202">
        <v>11.4</v>
      </c>
      <c r="AP202">
        <v>4</v>
      </c>
      <c r="AQ202">
        <v>8</v>
      </c>
      <c r="AR202">
        <v>0.9</v>
      </c>
      <c r="AS202">
        <v>2.7</v>
      </c>
      <c r="AT202">
        <v>2.6</v>
      </c>
      <c r="AU202">
        <v>3.3</v>
      </c>
      <c r="AV202">
        <v>3.5</v>
      </c>
      <c r="AW202">
        <v>3.4</v>
      </c>
      <c r="AX202">
        <v>11.4</v>
      </c>
    </row>
    <row r="203" spans="1:50" x14ac:dyDescent="0.2">
      <c r="A203" s="1" t="s">
        <v>234</v>
      </c>
      <c r="B203" s="1" t="s">
        <v>26</v>
      </c>
      <c r="C203">
        <v>25</v>
      </c>
      <c r="D203" s="1" t="s">
        <v>104</v>
      </c>
      <c r="E203">
        <v>10</v>
      </c>
      <c r="F203">
        <v>6</v>
      </c>
      <c r="G203">
        <v>21.2</v>
      </c>
      <c r="H203">
        <v>4.3</v>
      </c>
      <c r="I203">
        <v>9.6</v>
      </c>
      <c r="J203">
        <v>0.44800000000000001</v>
      </c>
      <c r="K203">
        <v>1</v>
      </c>
      <c r="L203">
        <v>3.2</v>
      </c>
      <c r="M203">
        <v>0.313</v>
      </c>
      <c r="N203">
        <v>1.8</v>
      </c>
      <c r="O203">
        <v>2.2999999999999998</v>
      </c>
      <c r="P203">
        <v>0.78300000000000003</v>
      </c>
      <c r="Q203">
        <v>0.8</v>
      </c>
      <c r="R203">
        <v>1.4</v>
      </c>
      <c r="S203">
        <v>2.2000000000000002</v>
      </c>
      <c r="T203">
        <v>4.7</v>
      </c>
      <c r="U203">
        <v>1.9</v>
      </c>
      <c r="V203">
        <v>0.4</v>
      </c>
      <c r="W203">
        <v>2.7</v>
      </c>
      <c r="X203">
        <v>3.1</v>
      </c>
      <c r="Y203">
        <v>11.4</v>
      </c>
      <c r="AP203">
        <v>4.3</v>
      </c>
      <c r="AQ203">
        <v>9.6</v>
      </c>
      <c r="AR203">
        <v>1</v>
      </c>
      <c r="AS203">
        <v>3.2</v>
      </c>
      <c r="AT203">
        <v>1.8</v>
      </c>
      <c r="AU203">
        <v>2.2999999999999998</v>
      </c>
      <c r="AV203">
        <v>2.2000000000000002</v>
      </c>
      <c r="AW203">
        <v>4.7</v>
      </c>
      <c r="AX203">
        <v>11.4</v>
      </c>
    </row>
    <row r="204" spans="1:50" x14ac:dyDescent="0.2">
      <c r="A204" s="1" t="s">
        <v>235</v>
      </c>
      <c r="B204" s="1" t="s">
        <v>23</v>
      </c>
      <c r="C204">
        <v>27</v>
      </c>
      <c r="D204" s="1" t="s">
        <v>27</v>
      </c>
      <c r="E204">
        <v>67</v>
      </c>
      <c r="F204">
        <v>40</v>
      </c>
      <c r="G204">
        <v>28.3</v>
      </c>
      <c r="H204">
        <v>4.5</v>
      </c>
      <c r="I204">
        <v>8.6999999999999993</v>
      </c>
      <c r="J204">
        <v>0.51100000000000001</v>
      </c>
      <c r="K204">
        <v>1.7</v>
      </c>
      <c r="L204">
        <v>3.8</v>
      </c>
      <c r="M204">
        <v>0.44</v>
      </c>
      <c r="N204">
        <v>0.7</v>
      </c>
      <c r="O204">
        <v>1</v>
      </c>
      <c r="P204">
        <v>0.69099999999999995</v>
      </c>
      <c r="Q204">
        <v>0.6</v>
      </c>
      <c r="R204">
        <v>2.6</v>
      </c>
      <c r="S204">
        <v>3.2</v>
      </c>
      <c r="T204">
        <v>0.9</v>
      </c>
      <c r="U204">
        <v>0.6</v>
      </c>
      <c r="V204">
        <v>0.3</v>
      </c>
      <c r="W204">
        <v>0.6</v>
      </c>
      <c r="X204">
        <v>1.6</v>
      </c>
      <c r="Y204">
        <v>11.3</v>
      </c>
      <c r="AP204">
        <v>4.5</v>
      </c>
      <c r="AQ204">
        <v>8.6999999999999993</v>
      </c>
      <c r="AR204">
        <v>1.7</v>
      </c>
      <c r="AS204">
        <v>3.8</v>
      </c>
      <c r="AT204">
        <v>0.7</v>
      </c>
      <c r="AU204">
        <v>1</v>
      </c>
      <c r="AV204">
        <v>3.2</v>
      </c>
      <c r="AW204">
        <v>0.9</v>
      </c>
      <c r="AX204">
        <v>11.3</v>
      </c>
    </row>
    <row r="205" spans="1:50" x14ac:dyDescent="0.2">
      <c r="A205" s="1" t="s">
        <v>236</v>
      </c>
      <c r="B205" s="1" t="s">
        <v>34</v>
      </c>
      <c r="C205">
        <v>29</v>
      </c>
      <c r="D205" s="1" t="s">
        <v>41</v>
      </c>
      <c r="E205">
        <v>11</v>
      </c>
      <c r="F205">
        <v>4</v>
      </c>
      <c r="G205">
        <v>24.5</v>
      </c>
      <c r="H205">
        <v>3.9</v>
      </c>
      <c r="I205">
        <v>8.8000000000000007</v>
      </c>
      <c r="J205">
        <v>0.443</v>
      </c>
      <c r="K205">
        <v>2.9</v>
      </c>
      <c r="L205">
        <v>6.9</v>
      </c>
      <c r="M205">
        <v>0.42099999999999999</v>
      </c>
      <c r="N205">
        <v>0.5</v>
      </c>
      <c r="O205">
        <v>0.7</v>
      </c>
      <c r="P205">
        <v>0.75</v>
      </c>
      <c r="Q205">
        <v>0.8</v>
      </c>
      <c r="R205">
        <v>4.5999999999999996</v>
      </c>
      <c r="S205">
        <v>5.5</v>
      </c>
      <c r="T205">
        <v>2</v>
      </c>
      <c r="U205">
        <v>0.3</v>
      </c>
      <c r="V205">
        <v>0</v>
      </c>
      <c r="W205">
        <v>0.7</v>
      </c>
      <c r="X205">
        <v>3</v>
      </c>
      <c r="Y205">
        <v>11.3</v>
      </c>
      <c r="AP205">
        <v>3.9</v>
      </c>
      <c r="AQ205">
        <v>8.8000000000000007</v>
      </c>
      <c r="AR205">
        <v>2.9</v>
      </c>
      <c r="AS205">
        <v>6.9</v>
      </c>
      <c r="AT205">
        <v>0.5</v>
      </c>
      <c r="AU205">
        <v>0.7</v>
      </c>
      <c r="AV205">
        <v>5.5</v>
      </c>
      <c r="AW205">
        <v>2</v>
      </c>
      <c r="AX205">
        <v>11.3</v>
      </c>
    </row>
    <row r="206" spans="1:50" x14ac:dyDescent="0.2">
      <c r="A206" s="1" t="s">
        <v>237</v>
      </c>
      <c r="B206" s="1" t="s">
        <v>34</v>
      </c>
      <c r="C206">
        <v>24</v>
      </c>
      <c r="D206" s="1" t="s">
        <v>60</v>
      </c>
      <c r="E206">
        <v>81</v>
      </c>
      <c r="F206">
        <v>67</v>
      </c>
      <c r="G206">
        <v>27.7</v>
      </c>
      <c r="H206">
        <v>3.7</v>
      </c>
      <c r="I206">
        <v>8.4</v>
      </c>
      <c r="J206">
        <v>0.437</v>
      </c>
      <c r="K206">
        <v>2.4</v>
      </c>
      <c r="L206">
        <v>6.3</v>
      </c>
      <c r="M206">
        <v>0.38200000000000001</v>
      </c>
      <c r="N206">
        <v>1.4</v>
      </c>
      <c r="O206">
        <v>1.7</v>
      </c>
      <c r="P206">
        <v>0.84399999999999997</v>
      </c>
      <c r="Q206">
        <v>0.9</v>
      </c>
      <c r="R206">
        <v>4.9000000000000004</v>
      </c>
      <c r="S206">
        <v>5.8</v>
      </c>
      <c r="T206">
        <v>1.6</v>
      </c>
      <c r="U206">
        <v>0.8</v>
      </c>
      <c r="V206">
        <v>0.5</v>
      </c>
      <c r="W206">
        <v>0.8</v>
      </c>
      <c r="X206">
        <v>1.6</v>
      </c>
      <c r="Y206">
        <v>11.2</v>
      </c>
      <c r="AP206">
        <v>3.7</v>
      </c>
      <c r="AQ206">
        <v>8.4</v>
      </c>
      <c r="AR206">
        <v>2.4</v>
      </c>
      <c r="AS206">
        <v>6.3</v>
      </c>
      <c r="AT206">
        <v>1.4</v>
      </c>
      <c r="AU206">
        <v>1.7</v>
      </c>
      <c r="AV206">
        <v>5.8</v>
      </c>
      <c r="AW206">
        <v>1.6</v>
      </c>
      <c r="AX206">
        <v>11.2</v>
      </c>
    </row>
    <row r="207" spans="1:50" x14ac:dyDescent="0.2">
      <c r="A207" s="1" t="s">
        <v>238</v>
      </c>
      <c r="B207" s="1" t="s">
        <v>43</v>
      </c>
      <c r="C207">
        <v>26</v>
      </c>
      <c r="D207" s="1" t="s">
        <v>83</v>
      </c>
      <c r="E207">
        <v>79</v>
      </c>
      <c r="F207">
        <v>13</v>
      </c>
      <c r="G207">
        <v>21.9</v>
      </c>
      <c r="H207">
        <v>4.0999999999999996</v>
      </c>
      <c r="I207">
        <v>7.9</v>
      </c>
      <c r="J207">
        <v>0.52100000000000002</v>
      </c>
      <c r="K207">
        <v>1.4</v>
      </c>
      <c r="L207">
        <v>3.7</v>
      </c>
      <c r="M207">
        <v>0.38800000000000001</v>
      </c>
      <c r="N207">
        <v>1.5</v>
      </c>
      <c r="O207">
        <v>2</v>
      </c>
      <c r="P207">
        <v>0.747</v>
      </c>
      <c r="Q207">
        <v>1.4</v>
      </c>
      <c r="R207">
        <v>3.6</v>
      </c>
      <c r="S207">
        <v>5</v>
      </c>
      <c r="T207">
        <v>1.9</v>
      </c>
      <c r="U207">
        <v>0.8</v>
      </c>
      <c r="V207">
        <v>0.5</v>
      </c>
      <c r="W207">
        <v>0.8</v>
      </c>
      <c r="X207">
        <v>1.8</v>
      </c>
      <c r="Y207">
        <v>11.2</v>
      </c>
      <c r="AP207">
        <v>4.0999999999999996</v>
      </c>
      <c r="AQ207">
        <v>7.9</v>
      </c>
      <c r="AR207">
        <v>1.4</v>
      </c>
      <c r="AS207">
        <v>3.7</v>
      </c>
      <c r="AT207">
        <v>1.5</v>
      </c>
      <c r="AU207">
        <v>2</v>
      </c>
      <c r="AV207">
        <v>5</v>
      </c>
      <c r="AW207">
        <v>1.9</v>
      </c>
      <c r="AX207">
        <v>11.2</v>
      </c>
    </row>
    <row r="208" spans="1:50" x14ac:dyDescent="0.2">
      <c r="A208" s="1" t="s">
        <v>239</v>
      </c>
      <c r="B208" s="1" t="s">
        <v>23</v>
      </c>
      <c r="C208">
        <v>27</v>
      </c>
      <c r="D208" s="1" t="s">
        <v>68</v>
      </c>
      <c r="E208">
        <v>23</v>
      </c>
      <c r="F208">
        <v>3</v>
      </c>
      <c r="G208">
        <v>17.7</v>
      </c>
      <c r="H208">
        <v>4</v>
      </c>
      <c r="I208">
        <v>8.1</v>
      </c>
      <c r="J208">
        <v>0.497</v>
      </c>
      <c r="K208">
        <v>1.3</v>
      </c>
      <c r="L208">
        <v>4.0999999999999996</v>
      </c>
      <c r="M208">
        <v>0.31900000000000001</v>
      </c>
      <c r="N208">
        <v>1.8</v>
      </c>
      <c r="O208">
        <v>2</v>
      </c>
      <c r="P208">
        <v>0.91300000000000003</v>
      </c>
      <c r="Q208">
        <v>0.6</v>
      </c>
      <c r="R208">
        <v>4</v>
      </c>
      <c r="S208">
        <v>4.5</v>
      </c>
      <c r="T208">
        <v>2.2999999999999998</v>
      </c>
      <c r="U208">
        <v>0.5</v>
      </c>
      <c r="V208">
        <v>0</v>
      </c>
      <c r="W208">
        <v>1.1000000000000001</v>
      </c>
      <c r="X208">
        <v>1.2</v>
      </c>
      <c r="Y208">
        <v>11.2</v>
      </c>
      <c r="AP208">
        <v>4</v>
      </c>
      <c r="AQ208">
        <v>8.1</v>
      </c>
      <c r="AR208">
        <v>1.3</v>
      </c>
      <c r="AS208">
        <v>4.0999999999999996</v>
      </c>
      <c r="AT208">
        <v>1.8</v>
      </c>
      <c r="AU208">
        <v>2</v>
      </c>
      <c r="AV208">
        <v>4.5</v>
      </c>
      <c r="AW208">
        <v>2.2999999999999998</v>
      </c>
      <c r="AX208">
        <v>11.2</v>
      </c>
    </row>
    <row r="209" spans="1:50" x14ac:dyDescent="0.2">
      <c r="A209" s="1" t="s">
        <v>240</v>
      </c>
      <c r="B209" s="1" t="s">
        <v>31</v>
      </c>
      <c r="C209">
        <v>26</v>
      </c>
      <c r="D209" s="1" t="s">
        <v>29</v>
      </c>
      <c r="E209">
        <v>71</v>
      </c>
      <c r="F209">
        <v>9</v>
      </c>
      <c r="G209">
        <v>21.2</v>
      </c>
      <c r="H209">
        <v>3.5</v>
      </c>
      <c r="I209">
        <v>7.6</v>
      </c>
      <c r="J209">
        <v>0.45500000000000002</v>
      </c>
      <c r="K209">
        <v>2.5</v>
      </c>
      <c r="L209">
        <v>6</v>
      </c>
      <c r="M209">
        <v>0.42299999999999999</v>
      </c>
      <c r="N209">
        <v>1.5</v>
      </c>
      <c r="O209">
        <v>1.7</v>
      </c>
      <c r="P209">
        <v>0.89400000000000002</v>
      </c>
      <c r="Q209">
        <v>0.5</v>
      </c>
      <c r="R209">
        <v>2.1</v>
      </c>
      <c r="S209">
        <v>2.5</v>
      </c>
      <c r="T209">
        <v>1.3</v>
      </c>
      <c r="U209">
        <v>0.7</v>
      </c>
      <c r="V209">
        <v>0.2</v>
      </c>
      <c r="W209">
        <v>0.6</v>
      </c>
      <c r="X209">
        <v>1.7</v>
      </c>
      <c r="Y209">
        <v>11.1</v>
      </c>
      <c r="AP209">
        <v>3.5</v>
      </c>
      <c r="AQ209">
        <v>7.6</v>
      </c>
      <c r="AR209">
        <v>2.5</v>
      </c>
      <c r="AS209">
        <v>6</v>
      </c>
      <c r="AT209">
        <v>1.5</v>
      </c>
      <c r="AU209">
        <v>1.7</v>
      </c>
      <c r="AV209">
        <v>2.5</v>
      </c>
      <c r="AW209">
        <v>1.3</v>
      </c>
      <c r="AX209">
        <v>11.1</v>
      </c>
    </row>
    <row r="210" spans="1:50" x14ac:dyDescent="0.2">
      <c r="A210" s="1" t="s">
        <v>241</v>
      </c>
      <c r="B210" s="1" t="s">
        <v>31</v>
      </c>
      <c r="C210">
        <v>25</v>
      </c>
      <c r="D210" s="1" t="s">
        <v>104</v>
      </c>
      <c r="E210">
        <v>72</v>
      </c>
      <c r="F210">
        <v>20</v>
      </c>
      <c r="G210">
        <v>23.8</v>
      </c>
      <c r="H210">
        <v>3.7</v>
      </c>
      <c r="I210">
        <v>7.7</v>
      </c>
      <c r="J210">
        <v>0.47299999999999998</v>
      </c>
      <c r="K210">
        <v>2</v>
      </c>
      <c r="L210">
        <v>4.5</v>
      </c>
      <c r="M210">
        <v>0.44900000000000001</v>
      </c>
      <c r="N210">
        <v>1.8</v>
      </c>
      <c r="O210">
        <v>1.9</v>
      </c>
      <c r="P210">
        <v>0.94</v>
      </c>
      <c r="Q210">
        <v>0.6</v>
      </c>
      <c r="R210">
        <v>2</v>
      </c>
      <c r="S210">
        <v>2.5</v>
      </c>
      <c r="T210">
        <v>5.6</v>
      </c>
      <c r="U210">
        <v>0.7</v>
      </c>
      <c r="V210">
        <v>0.2</v>
      </c>
      <c r="W210">
        <v>1.3</v>
      </c>
      <c r="X210">
        <v>1.4</v>
      </c>
      <c r="Y210">
        <v>11.1</v>
      </c>
      <c r="AP210">
        <v>3.7</v>
      </c>
      <c r="AQ210">
        <v>7.7</v>
      </c>
      <c r="AR210">
        <v>2</v>
      </c>
      <c r="AS210">
        <v>4.5</v>
      </c>
      <c r="AT210">
        <v>1.8</v>
      </c>
      <c r="AU210">
        <v>1.9</v>
      </c>
      <c r="AV210">
        <v>2.5</v>
      </c>
      <c r="AW210">
        <v>5.6</v>
      </c>
      <c r="AX210">
        <v>11.1</v>
      </c>
    </row>
    <row r="211" spans="1:50" x14ac:dyDescent="0.2">
      <c r="A211" s="1" t="s">
        <v>242</v>
      </c>
      <c r="B211" s="1" t="s">
        <v>43</v>
      </c>
      <c r="C211">
        <v>21</v>
      </c>
      <c r="D211" s="1" t="s">
        <v>79</v>
      </c>
      <c r="E211">
        <v>76</v>
      </c>
      <c r="F211">
        <v>33</v>
      </c>
      <c r="G211">
        <v>22</v>
      </c>
      <c r="H211">
        <v>4.4000000000000004</v>
      </c>
      <c r="I211">
        <v>8.4</v>
      </c>
      <c r="J211">
        <v>0.52800000000000002</v>
      </c>
      <c r="K211">
        <v>1.2</v>
      </c>
      <c r="L211">
        <v>3</v>
      </c>
      <c r="M211">
        <v>0.38600000000000001</v>
      </c>
      <c r="N211">
        <v>0.9</v>
      </c>
      <c r="O211">
        <v>1.2</v>
      </c>
      <c r="P211">
        <v>0.755</v>
      </c>
      <c r="Q211">
        <v>2.8</v>
      </c>
      <c r="R211">
        <v>6.2</v>
      </c>
      <c r="S211">
        <v>9</v>
      </c>
      <c r="T211">
        <v>0.7</v>
      </c>
      <c r="U211">
        <v>0.8</v>
      </c>
      <c r="V211">
        <v>1.1000000000000001</v>
      </c>
      <c r="W211">
        <v>0.8</v>
      </c>
      <c r="X211">
        <v>1.5</v>
      </c>
      <c r="Y211">
        <v>11</v>
      </c>
      <c r="AP211">
        <v>4.4000000000000004</v>
      </c>
      <c r="AQ211">
        <v>8.4</v>
      </c>
      <c r="AR211">
        <v>1.2</v>
      </c>
      <c r="AS211">
        <v>3</v>
      </c>
      <c r="AT211">
        <v>0.9</v>
      </c>
      <c r="AU211">
        <v>1.2</v>
      </c>
      <c r="AV211">
        <v>9</v>
      </c>
      <c r="AW211">
        <v>0.7</v>
      </c>
      <c r="AX211">
        <v>11</v>
      </c>
    </row>
    <row r="212" spans="1:50" x14ac:dyDescent="0.2">
      <c r="A212" s="1" t="s">
        <v>243</v>
      </c>
      <c r="B212" s="1" t="s">
        <v>43</v>
      </c>
      <c r="C212">
        <v>33</v>
      </c>
      <c r="D212" s="1" t="s">
        <v>32</v>
      </c>
      <c r="E212">
        <v>76</v>
      </c>
      <c r="F212">
        <v>76</v>
      </c>
      <c r="G212">
        <v>31.3</v>
      </c>
      <c r="H212">
        <v>4.4000000000000004</v>
      </c>
      <c r="I212">
        <v>6.5</v>
      </c>
      <c r="J212">
        <v>0.68200000000000005</v>
      </c>
      <c r="K212">
        <v>0</v>
      </c>
      <c r="L212">
        <v>0.1</v>
      </c>
      <c r="M212">
        <v>0</v>
      </c>
      <c r="N212">
        <v>2.1</v>
      </c>
      <c r="O212">
        <v>4</v>
      </c>
      <c r="P212">
        <v>0.52600000000000002</v>
      </c>
      <c r="Q212">
        <v>3.9</v>
      </c>
      <c r="R212">
        <v>7.5</v>
      </c>
      <c r="S212">
        <v>11.5</v>
      </c>
      <c r="T212">
        <v>1.7</v>
      </c>
      <c r="U212">
        <v>0.8</v>
      </c>
      <c r="V212">
        <v>1.6</v>
      </c>
      <c r="W212">
        <v>1.4</v>
      </c>
      <c r="X212">
        <v>2.6</v>
      </c>
      <c r="Y212">
        <v>10.9</v>
      </c>
      <c r="AP212">
        <v>4.4000000000000004</v>
      </c>
      <c r="AQ212">
        <v>6.5</v>
      </c>
      <c r="AR212">
        <v>0</v>
      </c>
      <c r="AS212">
        <v>0.1</v>
      </c>
      <c r="AT212">
        <v>2.1</v>
      </c>
      <c r="AU212">
        <v>4</v>
      </c>
      <c r="AV212">
        <v>11.5</v>
      </c>
      <c r="AW212">
        <v>1.7</v>
      </c>
      <c r="AX212">
        <v>10.9</v>
      </c>
    </row>
    <row r="213" spans="1:50" x14ac:dyDescent="0.2">
      <c r="A213" s="1" t="s">
        <v>244</v>
      </c>
      <c r="B213" s="1" t="s">
        <v>43</v>
      </c>
      <c r="C213">
        <v>31</v>
      </c>
      <c r="D213" s="1" t="s">
        <v>49</v>
      </c>
      <c r="E213">
        <v>41</v>
      </c>
      <c r="F213">
        <v>36</v>
      </c>
      <c r="G213">
        <v>26.4</v>
      </c>
      <c r="H213">
        <v>4.4000000000000004</v>
      </c>
      <c r="I213">
        <v>8.6999999999999993</v>
      </c>
      <c r="J213">
        <v>0.503</v>
      </c>
      <c r="K213">
        <v>0.6</v>
      </c>
      <c r="L213">
        <v>1.7</v>
      </c>
      <c r="M213">
        <v>0.35199999999999998</v>
      </c>
      <c r="N213">
        <v>1.5</v>
      </c>
      <c r="O213">
        <v>2.8</v>
      </c>
      <c r="P213">
        <v>0.54900000000000004</v>
      </c>
      <c r="Q213">
        <v>2.6</v>
      </c>
      <c r="R213">
        <v>7.8</v>
      </c>
      <c r="S213">
        <v>10.4</v>
      </c>
      <c r="T213">
        <v>4.8</v>
      </c>
      <c r="U213">
        <v>1.3</v>
      </c>
      <c r="V213">
        <v>0.5</v>
      </c>
      <c r="W213">
        <v>2.5</v>
      </c>
      <c r="X213">
        <v>3.3</v>
      </c>
      <c r="Y213">
        <v>10.9</v>
      </c>
      <c r="AP213">
        <v>4.4000000000000004</v>
      </c>
      <c r="AQ213">
        <v>8.6999999999999993</v>
      </c>
      <c r="AR213">
        <v>0.6</v>
      </c>
      <c r="AS213">
        <v>1.7</v>
      </c>
      <c r="AT213">
        <v>1.5</v>
      </c>
      <c r="AU213">
        <v>2.8</v>
      </c>
      <c r="AV213">
        <v>10.4</v>
      </c>
      <c r="AW213">
        <v>4.8</v>
      </c>
      <c r="AX213">
        <v>10.9</v>
      </c>
    </row>
    <row r="214" spans="1:50" x14ac:dyDescent="0.2">
      <c r="A214" s="1" t="s">
        <v>245</v>
      </c>
      <c r="B214" s="1" t="s">
        <v>26</v>
      </c>
      <c r="C214">
        <v>32</v>
      </c>
      <c r="D214" s="1" t="s">
        <v>70</v>
      </c>
      <c r="E214">
        <v>70</v>
      </c>
      <c r="F214">
        <v>17</v>
      </c>
      <c r="G214">
        <v>24.2</v>
      </c>
      <c r="H214">
        <v>3.6</v>
      </c>
      <c r="I214">
        <v>9</v>
      </c>
      <c r="J214">
        <v>0.40500000000000003</v>
      </c>
      <c r="K214">
        <v>1.1000000000000001</v>
      </c>
      <c r="L214">
        <v>3.3</v>
      </c>
      <c r="M214">
        <v>0.32900000000000001</v>
      </c>
      <c r="N214">
        <v>2.4</v>
      </c>
      <c r="O214">
        <v>2.9</v>
      </c>
      <c r="P214">
        <v>0.83399999999999996</v>
      </c>
      <c r="Q214">
        <v>0.5</v>
      </c>
      <c r="R214">
        <v>2.2000000000000002</v>
      </c>
      <c r="S214">
        <v>2.7</v>
      </c>
      <c r="T214">
        <v>4.9000000000000004</v>
      </c>
      <c r="U214">
        <v>0.8</v>
      </c>
      <c r="V214">
        <v>0.2</v>
      </c>
      <c r="W214">
        <v>1.8</v>
      </c>
      <c r="X214">
        <v>1.6</v>
      </c>
      <c r="Y214">
        <v>10.8</v>
      </c>
      <c r="AP214">
        <v>3.6</v>
      </c>
      <c r="AQ214">
        <v>9</v>
      </c>
      <c r="AR214">
        <v>1.1000000000000001</v>
      </c>
      <c r="AS214">
        <v>3.3</v>
      </c>
      <c r="AT214">
        <v>2.4</v>
      </c>
      <c r="AU214">
        <v>2.9</v>
      </c>
      <c r="AV214">
        <v>2.7</v>
      </c>
      <c r="AW214">
        <v>4.9000000000000004</v>
      </c>
      <c r="AX214">
        <v>10.8</v>
      </c>
    </row>
    <row r="215" spans="1:50" x14ac:dyDescent="0.2">
      <c r="A215" s="1" t="s">
        <v>245</v>
      </c>
      <c r="B215" s="1" t="s">
        <v>26</v>
      </c>
      <c r="C215">
        <v>32</v>
      </c>
      <c r="D215" s="1" t="s">
        <v>109</v>
      </c>
      <c r="E215">
        <v>40</v>
      </c>
      <c r="F215">
        <v>14</v>
      </c>
      <c r="G215">
        <v>26.4</v>
      </c>
      <c r="H215">
        <v>4.3</v>
      </c>
      <c r="I215">
        <v>10.6</v>
      </c>
      <c r="J215">
        <v>0.40799999999999997</v>
      </c>
      <c r="K215">
        <v>1.4</v>
      </c>
      <c r="L215">
        <v>4.2</v>
      </c>
      <c r="M215">
        <v>0.34300000000000003</v>
      </c>
      <c r="N215">
        <v>2.7</v>
      </c>
      <c r="O215">
        <v>3.3</v>
      </c>
      <c r="P215">
        <v>0.82</v>
      </c>
      <c r="Q215">
        <v>0.6</v>
      </c>
      <c r="R215">
        <v>2.5</v>
      </c>
      <c r="S215">
        <v>3.1</v>
      </c>
      <c r="T215">
        <v>5.3</v>
      </c>
      <c r="U215">
        <v>0.8</v>
      </c>
      <c r="V215">
        <v>0.2</v>
      </c>
      <c r="W215">
        <v>2</v>
      </c>
      <c r="X215">
        <v>1.7</v>
      </c>
      <c r="Y215">
        <v>12.8</v>
      </c>
      <c r="AP215">
        <v>4.3</v>
      </c>
      <c r="AQ215">
        <v>10.6</v>
      </c>
      <c r="AR215">
        <v>1.4</v>
      </c>
      <c r="AS215">
        <v>4.2</v>
      </c>
      <c r="AT215">
        <v>2.7</v>
      </c>
      <c r="AU215">
        <v>3.3</v>
      </c>
      <c r="AV215">
        <v>3.1</v>
      </c>
      <c r="AW215">
        <v>5.3</v>
      </c>
      <c r="AX215">
        <v>12.8</v>
      </c>
    </row>
    <row r="216" spans="1:50" x14ac:dyDescent="0.2">
      <c r="A216" s="1" t="s">
        <v>245</v>
      </c>
      <c r="B216" s="1" t="s">
        <v>26</v>
      </c>
      <c r="C216">
        <v>32</v>
      </c>
      <c r="D216" s="1" t="s">
        <v>41</v>
      </c>
      <c r="E216">
        <v>30</v>
      </c>
      <c r="F216">
        <v>3</v>
      </c>
      <c r="G216">
        <v>21.4</v>
      </c>
      <c r="H216">
        <v>2.8</v>
      </c>
      <c r="I216">
        <v>6.9</v>
      </c>
      <c r="J216">
        <v>0.40100000000000002</v>
      </c>
      <c r="K216">
        <v>0.6</v>
      </c>
      <c r="L216">
        <v>2.1</v>
      </c>
      <c r="M216">
        <v>0.28999999999999998</v>
      </c>
      <c r="N216">
        <v>2.1</v>
      </c>
      <c r="O216">
        <v>2.4</v>
      </c>
      <c r="P216">
        <v>0.86099999999999999</v>
      </c>
      <c r="Q216">
        <v>0.4</v>
      </c>
      <c r="R216">
        <v>1.9</v>
      </c>
      <c r="S216">
        <v>2.2999999999999998</v>
      </c>
      <c r="T216">
        <v>4.3</v>
      </c>
      <c r="U216">
        <v>0.8</v>
      </c>
      <c r="V216">
        <v>0.2</v>
      </c>
      <c r="W216">
        <v>1.5</v>
      </c>
      <c r="X216">
        <v>1.4</v>
      </c>
      <c r="Y216">
        <v>8.1999999999999993</v>
      </c>
      <c r="AP216">
        <v>2.8</v>
      </c>
      <c r="AQ216">
        <v>6.9</v>
      </c>
      <c r="AR216">
        <v>0.6</v>
      </c>
      <c r="AS216">
        <v>2.1</v>
      </c>
      <c r="AT216">
        <v>2.1</v>
      </c>
      <c r="AU216">
        <v>2.4</v>
      </c>
      <c r="AV216">
        <v>2.2999999999999998</v>
      </c>
      <c r="AW216">
        <v>4.3</v>
      </c>
      <c r="AX216">
        <v>8.1999999999999993</v>
      </c>
    </row>
    <row r="217" spans="1:50" x14ac:dyDescent="0.2">
      <c r="A217" s="1" t="s">
        <v>246</v>
      </c>
      <c r="B217" s="1" t="s">
        <v>34</v>
      </c>
      <c r="C217">
        <v>25</v>
      </c>
      <c r="D217" s="1" t="s">
        <v>104</v>
      </c>
      <c r="E217">
        <v>12</v>
      </c>
      <c r="F217">
        <v>0</v>
      </c>
      <c r="G217">
        <v>25.6</v>
      </c>
      <c r="H217">
        <v>3.5</v>
      </c>
      <c r="I217">
        <v>9.3000000000000007</v>
      </c>
      <c r="J217">
        <v>0.375</v>
      </c>
      <c r="K217">
        <v>1.8</v>
      </c>
      <c r="L217">
        <v>5.5</v>
      </c>
      <c r="M217">
        <v>0.33300000000000002</v>
      </c>
      <c r="N217">
        <v>1.9</v>
      </c>
      <c r="O217">
        <v>2.2999999999999998</v>
      </c>
      <c r="P217">
        <v>0.85199999999999998</v>
      </c>
      <c r="Q217">
        <v>0.7</v>
      </c>
      <c r="R217">
        <v>3.5</v>
      </c>
      <c r="S217">
        <v>4.2</v>
      </c>
      <c r="T217">
        <v>1</v>
      </c>
      <c r="U217">
        <v>0.9</v>
      </c>
      <c r="V217">
        <v>0.3</v>
      </c>
      <c r="W217">
        <v>0.9</v>
      </c>
      <c r="X217">
        <v>2.6</v>
      </c>
      <c r="Y217">
        <v>10.8</v>
      </c>
      <c r="AP217">
        <v>3.5</v>
      </c>
      <c r="AQ217">
        <v>9.3000000000000007</v>
      </c>
      <c r="AR217">
        <v>1.8</v>
      </c>
      <c r="AS217">
        <v>5.5</v>
      </c>
      <c r="AT217">
        <v>1.9</v>
      </c>
      <c r="AU217">
        <v>2.2999999999999998</v>
      </c>
      <c r="AV217">
        <v>4.2</v>
      </c>
      <c r="AW217">
        <v>1</v>
      </c>
      <c r="AX217">
        <v>10.8</v>
      </c>
    </row>
    <row r="218" spans="1:50" x14ac:dyDescent="0.2">
      <c r="A218" s="1" t="s">
        <v>247</v>
      </c>
      <c r="B218" s="1" t="s">
        <v>31</v>
      </c>
      <c r="C218">
        <v>27</v>
      </c>
      <c r="D218" s="1" t="s">
        <v>109</v>
      </c>
      <c r="E218">
        <v>31</v>
      </c>
      <c r="F218">
        <v>6</v>
      </c>
      <c r="G218">
        <v>26.5</v>
      </c>
      <c r="H218">
        <v>3.8</v>
      </c>
      <c r="I218">
        <v>8.8000000000000007</v>
      </c>
      <c r="J218">
        <v>0.43099999999999999</v>
      </c>
      <c r="K218">
        <v>2</v>
      </c>
      <c r="L218">
        <v>5.9</v>
      </c>
      <c r="M218">
        <v>0.33500000000000002</v>
      </c>
      <c r="N218">
        <v>1.3</v>
      </c>
      <c r="O218">
        <v>1.5</v>
      </c>
      <c r="P218">
        <v>0.84799999999999998</v>
      </c>
      <c r="Q218">
        <v>1.1000000000000001</v>
      </c>
      <c r="R218">
        <v>2</v>
      </c>
      <c r="S218">
        <v>3.1</v>
      </c>
      <c r="T218">
        <v>1.3</v>
      </c>
      <c r="U218">
        <v>0.7</v>
      </c>
      <c r="V218">
        <v>0.2</v>
      </c>
      <c r="W218">
        <v>0.7</v>
      </c>
      <c r="X218">
        <v>2.4</v>
      </c>
      <c r="Y218">
        <v>10.8</v>
      </c>
      <c r="AP218">
        <v>3.8</v>
      </c>
      <c r="AQ218">
        <v>8.8000000000000007</v>
      </c>
      <c r="AR218">
        <v>2</v>
      </c>
      <c r="AS218">
        <v>5.9</v>
      </c>
      <c r="AT218">
        <v>1.3</v>
      </c>
      <c r="AU218">
        <v>1.5</v>
      </c>
      <c r="AV218">
        <v>3.1</v>
      </c>
      <c r="AW218">
        <v>1.3</v>
      </c>
      <c r="AX218">
        <v>10.8</v>
      </c>
    </row>
    <row r="219" spans="1:50" x14ac:dyDescent="0.2">
      <c r="A219" s="1" t="s">
        <v>248</v>
      </c>
      <c r="B219" s="1" t="s">
        <v>43</v>
      </c>
      <c r="C219">
        <v>30</v>
      </c>
      <c r="D219" s="1" t="s">
        <v>83</v>
      </c>
      <c r="E219">
        <v>45</v>
      </c>
      <c r="F219">
        <v>43</v>
      </c>
      <c r="G219">
        <v>25.1</v>
      </c>
      <c r="H219">
        <v>4.7</v>
      </c>
      <c r="I219">
        <v>6.8</v>
      </c>
      <c r="J219">
        <v>0.69499999999999995</v>
      </c>
      <c r="K219">
        <v>0</v>
      </c>
      <c r="L219">
        <v>0</v>
      </c>
      <c r="N219">
        <v>1.3</v>
      </c>
      <c r="O219">
        <v>2.1</v>
      </c>
      <c r="P219">
        <v>0.624</v>
      </c>
      <c r="Q219">
        <v>2.5</v>
      </c>
      <c r="R219">
        <v>4.5</v>
      </c>
      <c r="S219">
        <v>7.1</v>
      </c>
      <c r="T219">
        <v>2</v>
      </c>
      <c r="U219">
        <v>0.8</v>
      </c>
      <c r="V219">
        <v>0.7</v>
      </c>
      <c r="W219">
        <v>1.2</v>
      </c>
      <c r="X219">
        <v>3.2</v>
      </c>
      <c r="Y219">
        <v>10.7</v>
      </c>
      <c r="AP219">
        <v>4.7</v>
      </c>
      <c r="AQ219">
        <v>6.8</v>
      </c>
      <c r="AR219">
        <v>0</v>
      </c>
      <c r="AS219">
        <v>0</v>
      </c>
      <c r="AT219">
        <v>1.3</v>
      </c>
      <c r="AU219">
        <v>2.1</v>
      </c>
      <c r="AV219">
        <v>7.1</v>
      </c>
      <c r="AW219">
        <v>2</v>
      </c>
      <c r="AX219">
        <v>10.7</v>
      </c>
    </row>
    <row r="220" spans="1:50" x14ac:dyDescent="0.2">
      <c r="A220" s="1" t="s">
        <v>249</v>
      </c>
      <c r="B220" s="1" t="s">
        <v>43</v>
      </c>
      <c r="C220">
        <v>30</v>
      </c>
      <c r="D220" s="1" t="s">
        <v>70</v>
      </c>
      <c r="E220">
        <v>68</v>
      </c>
      <c r="F220">
        <v>27</v>
      </c>
      <c r="G220">
        <v>22.1</v>
      </c>
      <c r="H220">
        <v>4.0999999999999996</v>
      </c>
      <c r="I220">
        <v>8.1</v>
      </c>
      <c r="J220">
        <v>0.51500000000000001</v>
      </c>
      <c r="K220">
        <v>1.1000000000000001</v>
      </c>
      <c r="L220">
        <v>2.8</v>
      </c>
      <c r="M220">
        <v>0.38300000000000001</v>
      </c>
      <c r="N220">
        <v>1.2</v>
      </c>
      <c r="O220">
        <v>1.9</v>
      </c>
      <c r="P220">
        <v>0.63500000000000001</v>
      </c>
      <c r="Q220">
        <v>2.7</v>
      </c>
      <c r="R220">
        <v>3</v>
      </c>
      <c r="S220">
        <v>5.7</v>
      </c>
      <c r="T220">
        <v>1.7</v>
      </c>
      <c r="U220">
        <v>0.5</v>
      </c>
      <c r="V220">
        <v>0.5</v>
      </c>
      <c r="W220">
        <v>0.9</v>
      </c>
      <c r="X220">
        <v>2.2000000000000002</v>
      </c>
      <c r="Y220">
        <v>10.6</v>
      </c>
      <c r="AP220">
        <v>4.0999999999999996</v>
      </c>
      <c r="AQ220">
        <v>8.1</v>
      </c>
      <c r="AR220">
        <v>1.1000000000000001</v>
      </c>
      <c r="AS220">
        <v>2.8</v>
      </c>
      <c r="AT220">
        <v>1.2</v>
      </c>
      <c r="AU220">
        <v>1.9</v>
      </c>
      <c r="AV220">
        <v>5.7</v>
      </c>
      <c r="AW220">
        <v>1.7</v>
      </c>
      <c r="AX220">
        <v>10.6</v>
      </c>
    </row>
    <row r="221" spans="1:50" x14ac:dyDescent="0.2">
      <c r="A221" s="1" t="s">
        <v>249</v>
      </c>
      <c r="B221" s="1" t="s">
        <v>43</v>
      </c>
      <c r="C221">
        <v>30</v>
      </c>
      <c r="D221" s="1" t="s">
        <v>104</v>
      </c>
      <c r="E221">
        <v>45</v>
      </c>
      <c r="F221">
        <v>25</v>
      </c>
      <c r="G221">
        <v>23.6</v>
      </c>
      <c r="H221">
        <v>4.4000000000000004</v>
      </c>
      <c r="I221">
        <v>8.6</v>
      </c>
      <c r="J221">
        <v>0.51400000000000001</v>
      </c>
      <c r="K221">
        <v>1.1000000000000001</v>
      </c>
      <c r="L221">
        <v>2.9</v>
      </c>
      <c r="M221">
        <v>0.38</v>
      </c>
      <c r="N221">
        <v>1.3</v>
      </c>
      <c r="O221">
        <v>2</v>
      </c>
      <c r="P221">
        <v>0.67400000000000004</v>
      </c>
      <c r="Q221">
        <v>3.1</v>
      </c>
      <c r="R221">
        <v>3.4</v>
      </c>
      <c r="S221">
        <v>6.5</v>
      </c>
      <c r="T221">
        <v>1.7</v>
      </c>
      <c r="U221">
        <v>0.6</v>
      </c>
      <c r="V221">
        <v>0.5</v>
      </c>
      <c r="W221">
        <v>1</v>
      </c>
      <c r="X221">
        <v>2.2999999999999998</v>
      </c>
      <c r="Y221">
        <v>11.3</v>
      </c>
      <c r="AP221">
        <v>4.4000000000000004</v>
      </c>
      <c r="AQ221">
        <v>8.6</v>
      </c>
      <c r="AR221">
        <v>1.1000000000000001</v>
      </c>
      <c r="AS221">
        <v>2.9</v>
      </c>
      <c r="AT221">
        <v>1.3</v>
      </c>
      <c r="AU221">
        <v>2</v>
      </c>
      <c r="AV221">
        <v>6.5</v>
      </c>
      <c r="AW221">
        <v>1.7</v>
      </c>
      <c r="AX221">
        <v>11.3</v>
      </c>
    </row>
    <row r="222" spans="1:50" x14ac:dyDescent="0.2">
      <c r="A222" s="1" t="s">
        <v>249</v>
      </c>
      <c r="B222" s="1" t="s">
        <v>43</v>
      </c>
      <c r="C222">
        <v>30</v>
      </c>
      <c r="D222" s="1" t="s">
        <v>74</v>
      </c>
      <c r="E222">
        <v>23</v>
      </c>
      <c r="F222">
        <v>2</v>
      </c>
      <c r="G222">
        <v>19.399999999999999</v>
      </c>
      <c r="H222">
        <v>3.6</v>
      </c>
      <c r="I222">
        <v>6.9</v>
      </c>
      <c r="J222">
        <v>0.51600000000000001</v>
      </c>
      <c r="K222">
        <v>1.1000000000000001</v>
      </c>
      <c r="L222">
        <v>2.8</v>
      </c>
      <c r="M222">
        <v>0.39100000000000001</v>
      </c>
      <c r="N222">
        <v>0.9</v>
      </c>
      <c r="O222">
        <v>1.6</v>
      </c>
      <c r="P222">
        <v>0.54100000000000004</v>
      </c>
      <c r="Q222">
        <v>1.8</v>
      </c>
      <c r="R222">
        <v>2.2999999999999998</v>
      </c>
      <c r="S222">
        <v>4.0999999999999996</v>
      </c>
      <c r="T222">
        <v>1.7</v>
      </c>
      <c r="U222">
        <v>0.4</v>
      </c>
      <c r="V222">
        <v>0.6</v>
      </c>
      <c r="W222">
        <v>0.6</v>
      </c>
      <c r="X222">
        <v>2.1</v>
      </c>
      <c r="Y222">
        <v>9.1</v>
      </c>
      <c r="AP222">
        <v>3.6</v>
      </c>
      <c r="AQ222">
        <v>6.9</v>
      </c>
      <c r="AR222">
        <v>1.1000000000000001</v>
      </c>
      <c r="AS222">
        <v>2.8</v>
      </c>
      <c r="AT222">
        <v>0.9</v>
      </c>
      <c r="AU222">
        <v>1.6</v>
      </c>
      <c r="AV222">
        <v>4.0999999999999996</v>
      </c>
      <c r="AW222">
        <v>1.7</v>
      </c>
      <c r="AX222">
        <v>9.1</v>
      </c>
    </row>
    <row r="223" spans="1:50" x14ac:dyDescent="0.2">
      <c r="A223" s="1" t="s">
        <v>250</v>
      </c>
      <c r="B223" s="1" t="s">
        <v>26</v>
      </c>
      <c r="C223">
        <v>20</v>
      </c>
      <c r="D223" s="1" t="s">
        <v>113</v>
      </c>
      <c r="E223">
        <v>81</v>
      </c>
      <c r="F223">
        <v>47</v>
      </c>
      <c r="G223">
        <v>27.6</v>
      </c>
      <c r="H223">
        <v>3.8</v>
      </c>
      <c r="I223">
        <v>8.9</v>
      </c>
      <c r="J223">
        <v>0.42499999999999999</v>
      </c>
      <c r="K223">
        <v>2</v>
      </c>
      <c r="L223">
        <v>5</v>
      </c>
      <c r="M223">
        <v>0.40400000000000003</v>
      </c>
      <c r="N223">
        <v>1</v>
      </c>
      <c r="O223">
        <v>1.3</v>
      </c>
      <c r="P223">
        <v>0.73099999999999998</v>
      </c>
      <c r="Q223">
        <v>0.4</v>
      </c>
      <c r="R223">
        <v>3</v>
      </c>
      <c r="S223">
        <v>3.4</v>
      </c>
      <c r="T223">
        <v>4.5999999999999996</v>
      </c>
      <c r="U223">
        <v>0.6</v>
      </c>
      <c r="V223">
        <v>0.2</v>
      </c>
      <c r="W223">
        <v>2.2999999999999998</v>
      </c>
      <c r="X223">
        <v>2.2000000000000002</v>
      </c>
      <c r="Y223">
        <v>10.6</v>
      </c>
      <c r="AP223">
        <v>3.8</v>
      </c>
      <c r="AQ223">
        <v>8.9</v>
      </c>
      <c r="AR223">
        <v>2</v>
      </c>
      <c r="AS223">
        <v>5</v>
      </c>
      <c r="AT223">
        <v>1</v>
      </c>
      <c r="AU223">
        <v>1.3</v>
      </c>
      <c r="AV223">
        <v>3.4</v>
      </c>
      <c r="AW223">
        <v>4.5999999999999996</v>
      </c>
      <c r="AX223">
        <v>10.6</v>
      </c>
    </row>
    <row r="224" spans="1:50" x14ac:dyDescent="0.2">
      <c r="A224" s="1" t="s">
        <v>251</v>
      </c>
      <c r="B224" s="1" t="s">
        <v>31</v>
      </c>
      <c r="C224">
        <v>24</v>
      </c>
      <c r="D224" s="1" t="s">
        <v>62</v>
      </c>
      <c r="E224">
        <v>48</v>
      </c>
      <c r="F224">
        <v>1</v>
      </c>
      <c r="G224">
        <v>21.1</v>
      </c>
      <c r="H224">
        <v>4</v>
      </c>
      <c r="I224">
        <v>10.199999999999999</v>
      </c>
      <c r="J224">
        <v>0.38900000000000001</v>
      </c>
      <c r="K224">
        <v>1.9</v>
      </c>
      <c r="L224">
        <v>6.1</v>
      </c>
      <c r="M224">
        <v>0.32</v>
      </c>
      <c r="N224">
        <v>0.8</v>
      </c>
      <c r="O224">
        <v>1</v>
      </c>
      <c r="P224">
        <v>0.73499999999999999</v>
      </c>
      <c r="Q224">
        <v>0.5</v>
      </c>
      <c r="R224">
        <v>1.9</v>
      </c>
      <c r="S224">
        <v>2.4</v>
      </c>
      <c r="T224">
        <v>2.6</v>
      </c>
      <c r="U224">
        <v>0.6</v>
      </c>
      <c r="V224">
        <v>0.1</v>
      </c>
      <c r="W224">
        <v>1.3</v>
      </c>
      <c r="X224">
        <v>1</v>
      </c>
      <c r="Y224">
        <v>10.6</v>
      </c>
      <c r="AP224">
        <v>4</v>
      </c>
      <c r="AQ224">
        <v>10.199999999999999</v>
      </c>
      <c r="AR224">
        <v>1.9</v>
      </c>
      <c r="AS224">
        <v>6.1</v>
      </c>
      <c r="AT224">
        <v>0.8</v>
      </c>
      <c r="AU224">
        <v>1</v>
      </c>
      <c r="AV224">
        <v>2.4</v>
      </c>
      <c r="AW224">
        <v>2.6</v>
      </c>
      <c r="AX224">
        <v>10.6</v>
      </c>
    </row>
    <row r="225" spans="1:50" x14ac:dyDescent="0.2">
      <c r="A225" s="1" t="s">
        <v>252</v>
      </c>
      <c r="B225" s="1" t="s">
        <v>23</v>
      </c>
      <c r="C225">
        <v>26</v>
      </c>
      <c r="D225" s="1" t="s">
        <v>70</v>
      </c>
      <c r="E225">
        <v>60</v>
      </c>
      <c r="F225">
        <v>12</v>
      </c>
      <c r="G225">
        <v>20</v>
      </c>
      <c r="H225">
        <v>4.2</v>
      </c>
      <c r="I225">
        <v>6.9</v>
      </c>
      <c r="J225">
        <v>0.61799999999999999</v>
      </c>
      <c r="K225">
        <v>0.4</v>
      </c>
      <c r="L225">
        <v>0.9</v>
      </c>
      <c r="M225">
        <v>0.46200000000000002</v>
      </c>
      <c r="N225">
        <v>1.6</v>
      </c>
      <c r="O225">
        <v>2.4</v>
      </c>
      <c r="P225">
        <v>0.66</v>
      </c>
      <c r="Q225">
        <v>2.5</v>
      </c>
      <c r="R225">
        <v>3.6</v>
      </c>
      <c r="S225">
        <v>6.1</v>
      </c>
      <c r="T225">
        <v>1.4</v>
      </c>
      <c r="U225">
        <v>0.5</v>
      </c>
      <c r="V225">
        <v>0.7</v>
      </c>
      <c r="W225">
        <v>1</v>
      </c>
      <c r="X225">
        <v>2.1</v>
      </c>
      <c r="Y225">
        <v>10.5</v>
      </c>
      <c r="AP225">
        <v>4.2</v>
      </c>
      <c r="AQ225">
        <v>6.9</v>
      </c>
      <c r="AR225">
        <v>0.4</v>
      </c>
      <c r="AS225">
        <v>0.9</v>
      </c>
      <c r="AT225">
        <v>1.6</v>
      </c>
      <c r="AU225">
        <v>2.4</v>
      </c>
      <c r="AV225">
        <v>6.1</v>
      </c>
      <c r="AW225">
        <v>1.4</v>
      </c>
      <c r="AX225">
        <v>10.5</v>
      </c>
    </row>
    <row r="226" spans="1:50" x14ac:dyDescent="0.2">
      <c r="A226" s="1" t="s">
        <v>252</v>
      </c>
      <c r="B226" s="1" t="s">
        <v>23</v>
      </c>
      <c r="C226">
        <v>26</v>
      </c>
      <c r="D226" s="1" t="s">
        <v>113</v>
      </c>
      <c r="E226">
        <v>38</v>
      </c>
      <c r="F226">
        <v>8</v>
      </c>
      <c r="G226">
        <v>19.2</v>
      </c>
      <c r="H226">
        <v>4.0999999999999996</v>
      </c>
      <c r="I226">
        <v>6.5</v>
      </c>
      <c r="J226">
        <v>0.626</v>
      </c>
      <c r="K226">
        <v>0.2</v>
      </c>
      <c r="L226">
        <v>0.5</v>
      </c>
      <c r="M226">
        <v>0.42099999999999999</v>
      </c>
      <c r="N226">
        <v>1.8</v>
      </c>
      <c r="O226">
        <v>2.6</v>
      </c>
      <c r="P226">
        <v>0.71099999999999997</v>
      </c>
      <c r="Q226">
        <v>2.6</v>
      </c>
      <c r="R226">
        <v>3.1</v>
      </c>
      <c r="S226">
        <v>5.7</v>
      </c>
      <c r="T226">
        <v>1.5</v>
      </c>
      <c r="U226">
        <v>0.5</v>
      </c>
      <c r="V226">
        <v>0.7</v>
      </c>
      <c r="W226">
        <v>1.2</v>
      </c>
      <c r="X226">
        <v>2.1</v>
      </c>
      <c r="Y226">
        <v>10.1</v>
      </c>
      <c r="AP226">
        <v>4.0999999999999996</v>
      </c>
      <c r="AQ226">
        <v>6.5</v>
      </c>
      <c r="AR226">
        <v>0.2</v>
      </c>
      <c r="AS226">
        <v>0.5</v>
      </c>
      <c r="AT226">
        <v>1.8</v>
      </c>
      <c r="AU226">
        <v>2.6</v>
      </c>
      <c r="AV226">
        <v>5.7</v>
      </c>
      <c r="AW226">
        <v>1.5</v>
      </c>
      <c r="AX226">
        <v>10.1</v>
      </c>
    </row>
    <row r="227" spans="1:50" x14ac:dyDescent="0.2">
      <c r="A227" s="1" t="s">
        <v>252</v>
      </c>
      <c r="B227" s="1" t="s">
        <v>23</v>
      </c>
      <c r="C227">
        <v>26</v>
      </c>
      <c r="D227" s="1" t="s">
        <v>85</v>
      </c>
      <c r="E227">
        <v>22</v>
      </c>
      <c r="F227">
        <v>4</v>
      </c>
      <c r="G227">
        <v>21.4</v>
      </c>
      <c r="H227">
        <v>4.5</v>
      </c>
      <c r="I227">
        <v>7.5</v>
      </c>
      <c r="J227">
        <v>0.60599999999999998</v>
      </c>
      <c r="K227">
        <v>0.7</v>
      </c>
      <c r="L227">
        <v>1.5</v>
      </c>
      <c r="M227">
        <v>0.48499999999999999</v>
      </c>
      <c r="N227">
        <v>1.2</v>
      </c>
      <c r="O227">
        <v>2.1</v>
      </c>
      <c r="P227">
        <v>0.55300000000000005</v>
      </c>
      <c r="Q227">
        <v>2.4</v>
      </c>
      <c r="R227">
        <v>4.4000000000000004</v>
      </c>
      <c r="S227">
        <v>6.8</v>
      </c>
      <c r="T227">
        <v>1.3</v>
      </c>
      <c r="U227">
        <v>0.4</v>
      </c>
      <c r="V227">
        <v>0.7</v>
      </c>
      <c r="W227">
        <v>0.8</v>
      </c>
      <c r="X227">
        <v>2</v>
      </c>
      <c r="Y227">
        <v>11</v>
      </c>
      <c r="AP227">
        <v>4.5</v>
      </c>
      <c r="AQ227">
        <v>7.5</v>
      </c>
      <c r="AR227">
        <v>0.7</v>
      </c>
      <c r="AS227">
        <v>1.5</v>
      </c>
      <c r="AT227">
        <v>1.2</v>
      </c>
      <c r="AU227">
        <v>2.1</v>
      </c>
      <c r="AV227">
        <v>6.8</v>
      </c>
      <c r="AW227">
        <v>1.3</v>
      </c>
      <c r="AX227">
        <v>11</v>
      </c>
    </row>
    <row r="228" spans="1:50" x14ac:dyDescent="0.2">
      <c r="A228" s="1" t="s">
        <v>253</v>
      </c>
      <c r="B228" s="1" t="s">
        <v>34</v>
      </c>
      <c r="C228">
        <v>19</v>
      </c>
      <c r="D228" s="1" t="s">
        <v>113</v>
      </c>
      <c r="E228">
        <v>73</v>
      </c>
      <c r="F228">
        <v>17</v>
      </c>
      <c r="G228">
        <v>21.9</v>
      </c>
      <c r="H228">
        <v>3.7</v>
      </c>
      <c r="I228">
        <v>8.3000000000000007</v>
      </c>
      <c r="J228">
        <v>0.443</v>
      </c>
      <c r="K228">
        <v>1.1000000000000001</v>
      </c>
      <c r="L228">
        <v>3.3</v>
      </c>
      <c r="M228">
        <v>0.32</v>
      </c>
      <c r="N228">
        <v>1.9</v>
      </c>
      <c r="O228">
        <v>2.4</v>
      </c>
      <c r="P228">
        <v>0.79800000000000004</v>
      </c>
      <c r="Q228">
        <v>0.8</v>
      </c>
      <c r="R228">
        <v>2.1</v>
      </c>
      <c r="S228">
        <v>2.8</v>
      </c>
      <c r="T228">
        <v>1.9</v>
      </c>
      <c r="U228">
        <v>0.7</v>
      </c>
      <c r="V228">
        <v>0.1</v>
      </c>
      <c r="W228">
        <v>1.3</v>
      </c>
      <c r="X228">
        <v>1.2</v>
      </c>
      <c r="Y228">
        <v>10.4</v>
      </c>
      <c r="AP228">
        <v>3.7</v>
      </c>
      <c r="AQ228">
        <v>8.3000000000000007</v>
      </c>
      <c r="AR228">
        <v>1.1000000000000001</v>
      </c>
      <c r="AS228">
        <v>3.3</v>
      </c>
      <c r="AT228">
        <v>1.9</v>
      </c>
      <c r="AU228">
        <v>2.4</v>
      </c>
      <c r="AV228">
        <v>2.8</v>
      </c>
      <c r="AW228">
        <v>1.9</v>
      </c>
      <c r="AX228">
        <v>10.4</v>
      </c>
    </row>
    <row r="229" spans="1:50" x14ac:dyDescent="0.2">
      <c r="A229" s="1" t="s">
        <v>254</v>
      </c>
      <c r="B229" s="1" t="s">
        <v>26</v>
      </c>
      <c r="C229">
        <v>19</v>
      </c>
      <c r="D229" s="1" t="s">
        <v>66</v>
      </c>
      <c r="E229">
        <v>52</v>
      </c>
      <c r="F229">
        <v>45</v>
      </c>
      <c r="G229">
        <v>25.2</v>
      </c>
      <c r="H229">
        <v>3.4</v>
      </c>
      <c r="I229">
        <v>8.6</v>
      </c>
      <c r="J229">
        <v>0.39900000000000002</v>
      </c>
      <c r="K229">
        <v>2.4</v>
      </c>
      <c r="L229">
        <v>6.2</v>
      </c>
      <c r="M229">
        <v>0.38500000000000001</v>
      </c>
      <c r="N229">
        <v>1</v>
      </c>
      <c r="O229">
        <v>1.3</v>
      </c>
      <c r="P229">
        <v>0.83099999999999996</v>
      </c>
      <c r="Q229">
        <v>0.4</v>
      </c>
      <c r="R229">
        <v>2.8</v>
      </c>
      <c r="S229">
        <v>3.2</v>
      </c>
      <c r="T229">
        <v>3.3</v>
      </c>
      <c r="U229">
        <v>0.8</v>
      </c>
      <c r="V229">
        <v>0.3</v>
      </c>
      <c r="W229">
        <v>1.7</v>
      </c>
      <c r="X229">
        <v>1.8</v>
      </c>
      <c r="Y229">
        <v>10.3</v>
      </c>
      <c r="AP229">
        <v>3.4</v>
      </c>
      <c r="AQ229">
        <v>8.6</v>
      </c>
      <c r="AR229">
        <v>2.4</v>
      </c>
      <c r="AS229">
        <v>6.2</v>
      </c>
      <c r="AT229">
        <v>1</v>
      </c>
      <c r="AU229">
        <v>1.3</v>
      </c>
      <c r="AV229">
        <v>3.2</v>
      </c>
      <c r="AW229">
        <v>3.3</v>
      </c>
      <c r="AX229">
        <v>10.3</v>
      </c>
    </row>
    <row r="230" spans="1:50" x14ac:dyDescent="0.2">
      <c r="A230" s="1" t="s">
        <v>255</v>
      </c>
      <c r="B230" s="1" t="s">
        <v>23</v>
      </c>
      <c r="C230">
        <v>24</v>
      </c>
      <c r="D230" s="1" t="s">
        <v>57</v>
      </c>
      <c r="E230">
        <v>59</v>
      </c>
      <c r="F230">
        <v>33</v>
      </c>
      <c r="G230">
        <v>25.8</v>
      </c>
      <c r="H230">
        <v>3.9</v>
      </c>
      <c r="I230">
        <v>9.5</v>
      </c>
      <c r="J230">
        <v>0.41399999999999998</v>
      </c>
      <c r="K230">
        <v>1.6</v>
      </c>
      <c r="L230">
        <v>4.3</v>
      </c>
      <c r="M230">
        <v>0.36099999999999999</v>
      </c>
      <c r="N230">
        <v>0.8</v>
      </c>
      <c r="O230">
        <v>1.1000000000000001</v>
      </c>
      <c r="P230">
        <v>0.76600000000000001</v>
      </c>
      <c r="Q230">
        <v>2.1</v>
      </c>
      <c r="R230">
        <v>4.2</v>
      </c>
      <c r="S230">
        <v>6.2</v>
      </c>
      <c r="T230">
        <v>1.5</v>
      </c>
      <c r="U230">
        <v>1.2</v>
      </c>
      <c r="V230">
        <v>0.5</v>
      </c>
      <c r="W230">
        <v>1.3</v>
      </c>
      <c r="X230">
        <v>2.2999999999999998</v>
      </c>
      <c r="Y230">
        <v>10.3</v>
      </c>
      <c r="AP230">
        <v>3.9</v>
      </c>
      <c r="AQ230">
        <v>9.5</v>
      </c>
      <c r="AR230">
        <v>1.6</v>
      </c>
      <c r="AS230">
        <v>4.3</v>
      </c>
      <c r="AT230">
        <v>0.8</v>
      </c>
      <c r="AU230">
        <v>1.1000000000000001</v>
      </c>
      <c r="AV230">
        <v>6.2</v>
      </c>
      <c r="AW230">
        <v>1.5</v>
      </c>
      <c r="AX230">
        <v>10.3</v>
      </c>
    </row>
    <row r="231" spans="1:50" x14ac:dyDescent="0.2">
      <c r="A231" s="1" t="s">
        <v>256</v>
      </c>
      <c r="B231" s="1" t="s">
        <v>31</v>
      </c>
      <c r="C231">
        <v>26</v>
      </c>
      <c r="D231" s="1" t="s">
        <v>46</v>
      </c>
      <c r="E231">
        <v>77</v>
      </c>
      <c r="F231">
        <v>67</v>
      </c>
      <c r="G231">
        <v>29</v>
      </c>
      <c r="H231">
        <v>3.3</v>
      </c>
      <c r="I231">
        <v>7.8</v>
      </c>
      <c r="J231">
        <v>0.42399999999999999</v>
      </c>
      <c r="K231">
        <v>2.9</v>
      </c>
      <c r="L231">
        <v>7</v>
      </c>
      <c r="M231">
        <v>0.42</v>
      </c>
      <c r="N231">
        <v>0.7</v>
      </c>
      <c r="O231">
        <v>0.8</v>
      </c>
      <c r="P231">
        <v>0.85499999999999998</v>
      </c>
      <c r="Q231">
        <v>0.4</v>
      </c>
      <c r="R231">
        <v>2.2999999999999998</v>
      </c>
      <c r="S231">
        <v>2.7</v>
      </c>
      <c r="T231">
        <v>2</v>
      </c>
      <c r="U231">
        <v>0.5</v>
      </c>
      <c r="V231">
        <v>0.1</v>
      </c>
      <c r="W231">
        <v>0.9</v>
      </c>
      <c r="X231">
        <v>2.2999999999999998</v>
      </c>
      <c r="Y231">
        <v>10.3</v>
      </c>
      <c r="AP231">
        <v>3.3</v>
      </c>
      <c r="AQ231">
        <v>7.8</v>
      </c>
      <c r="AR231">
        <v>2.9</v>
      </c>
      <c r="AS231">
        <v>7</v>
      </c>
      <c r="AT231">
        <v>0.7</v>
      </c>
      <c r="AU231">
        <v>0.8</v>
      </c>
      <c r="AV231">
        <v>2.7</v>
      </c>
      <c r="AW231">
        <v>2</v>
      </c>
      <c r="AX231">
        <v>10.3</v>
      </c>
    </row>
    <row r="232" spans="1:50" x14ac:dyDescent="0.2">
      <c r="A232" s="1" t="s">
        <v>257</v>
      </c>
      <c r="B232" s="1" t="s">
        <v>34</v>
      </c>
      <c r="C232">
        <v>28</v>
      </c>
      <c r="D232" s="1" t="s">
        <v>39</v>
      </c>
      <c r="E232">
        <v>49</v>
      </c>
      <c r="F232">
        <v>44</v>
      </c>
      <c r="G232">
        <v>27.1</v>
      </c>
      <c r="H232">
        <v>3.9</v>
      </c>
      <c r="I232">
        <v>7.7</v>
      </c>
      <c r="J232">
        <v>0.504</v>
      </c>
      <c r="K232">
        <v>1.1000000000000001</v>
      </c>
      <c r="L232">
        <v>3.1</v>
      </c>
      <c r="M232">
        <v>0.36199999999999999</v>
      </c>
      <c r="N232">
        <v>1.4</v>
      </c>
      <c r="O232">
        <v>1.9</v>
      </c>
      <c r="P232">
        <v>0.76300000000000001</v>
      </c>
      <c r="Q232">
        <v>1.2</v>
      </c>
      <c r="R232">
        <v>2.2000000000000002</v>
      </c>
      <c r="S232">
        <v>3.4</v>
      </c>
      <c r="T232">
        <v>1.4</v>
      </c>
      <c r="U232">
        <v>0.9</v>
      </c>
      <c r="V232">
        <v>1</v>
      </c>
      <c r="W232">
        <v>0.8</v>
      </c>
      <c r="X232">
        <v>2.1</v>
      </c>
      <c r="Y232">
        <v>10.3</v>
      </c>
      <c r="AP232">
        <v>3.9</v>
      </c>
      <c r="AQ232">
        <v>7.7</v>
      </c>
      <c r="AR232">
        <v>1.1000000000000001</v>
      </c>
      <c r="AS232">
        <v>3.1</v>
      </c>
      <c r="AT232">
        <v>1.4</v>
      </c>
      <c r="AU232">
        <v>1.9</v>
      </c>
      <c r="AV232">
        <v>3.4</v>
      </c>
      <c r="AW232">
        <v>1.4</v>
      </c>
      <c r="AX232">
        <v>10.3</v>
      </c>
    </row>
    <row r="233" spans="1:50" x14ac:dyDescent="0.2">
      <c r="A233" s="1" t="s">
        <v>258</v>
      </c>
      <c r="B233" s="1" t="s">
        <v>34</v>
      </c>
      <c r="C233">
        <v>34</v>
      </c>
      <c r="D233" s="1" t="s">
        <v>70</v>
      </c>
      <c r="E233">
        <v>62</v>
      </c>
      <c r="F233">
        <v>49</v>
      </c>
      <c r="G233">
        <v>23.1</v>
      </c>
      <c r="H233">
        <v>3.6</v>
      </c>
      <c r="I233">
        <v>8.6999999999999993</v>
      </c>
      <c r="J233">
        <v>0.41899999999999998</v>
      </c>
      <c r="K233">
        <v>1</v>
      </c>
      <c r="L233">
        <v>3</v>
      </c>
      <c r="M233">
        <v>0.35499999999999998</v>
      </c>
      <c r="N233">
        <v>1.9</v>
      </c>
      <c r="O233">
        <v>2.2000000000000002</v>
      </c>
      <c r="P233">
        <v>0.873</v>
      </c>
      <c r="Q233">
        <v>0.8</v>
      </c>
      <c r="R233">
        <v>2.9</v>
      </c>
      <c r="S233">
        <v>3.7</v>
      </c>
      <c r="T233">
        <v>2.8</v>
      </c>
      <c r="U233">
        <v>0.7</v>
      </c>
      <c r="V233">
        <v>0.1</v>
      </c>
      <c r="W233">
        <v>1.7</v>
      </c>
      <c r="X233">
        <v>2.2999999999999998</v>
      </c>
      <c r="Y233">
        <v>10.199999999999999</v>
      </c>
      <c r="AP233">
        <v>3.6</v>
      </c>
      <c r="AQ233">
        <v>8.6999999999999993</v>
      </c>
      <c r="AR233">
        <v>1</v>
      </c>
      <c r="AS233">
        <v>3</v>
      </c>
      <c r="AT233">
        <v>1.9</v>
      </c>
      <c r="AU233">
        <v>2.2000000000000002</v>
      </c>
      <c r="AV233">
        <v>3.7</v>
      </c>
      <c r="AW233">
        <v>2.8</v>
      </c>
      <c r="AX233">
        <v>10.199999999999999</v>
      </c>
    </row>
    <row r="234" spans="1:50" x14ac:dyDescent="0.2">
      <c r="A234" s="1" t="s">
        <v>258</v>
      </c>
      <c r="B234" s="1" t="s">
        <v>34</v>
      </c>
      <c r="C234">
        <v>34</v>
      </c>
      <c r="D234" s="1" t="s">
        <v>113</v>
      </c>
      <c r="E234">
        <v>34</v>
      </c>
      <c r="F234">
        <v>34</v>
      </c>
      <c r="G234">
        <v>24.3</v>
      </c>
      <c r="H234">
        <v>3.8</v>
      </c>
      <c r="I234">
        <v>8.8000000000000007</v>
      </c>
      <c r="J234">
        <v>0.433</v>
      </c>
      <c r="K234">
        <v>1</v>
      </c>
      <c r="L234">
        <v>2.9</v>
      </c>
      <c r="M234">
        <v>0.33300000000000002</v>
      </c>
      <c r="N234">
        <v>1.7</v>
      </c>
      <c r="O234">
        <v>2</v>
      </c>
      <c r="P234">
        <v>0.84099999999999997</v>
      </c>
      <c r="Q234">
        <v>0.9</v>
      </c>
      <c r="R234">
        <v>3.1</v>
      </c>
      <c r="S234">
        <v>3.9</v>
      </c>
      <c r="T234">
        <v>3.3</v>
      </c>
      <c r="U234">
        <v>0.8</v>
      </c>
      <c r="V234">
        <v>0.3</v>
      </c>
      <c r="W234">
        <v>1.7</v>
      </c>
      <c r="X234">
        <v>2.5</v>
      </c>
      <c r="Y234">
        <v>10.3</v>
      </c>
      <c r="AP234">
        <v>3.8</v>
      </c>
      <c r="AQ234">
        <v>8.8000000000000007</v>
      </c>
      <c r="AR234">
        <v>1</v>
      </c>
      <c r="AS234">
        <v>2.9</v>
      </c>
      <c r="AT234">
        <v>1.7</v>
      </c>
      <c r="AU234">
        <v>2</v>
      </c>
      <c r="AV234">
        <v>3.9</v>
      </c>
      <c r="AW234">
        <v>3.3</v>
      </c>
      <c r="AX234">
        <v>10.3</v>
      </c>
    </row>
    <row r="235" spans="1:50" x14ac:dyDescent="0.2">
      <c r="A235" s="1" t="s">
        <v>258</v>
      </c>
      <c r="B235" s="1" t="s">
        <v>34</v>
      </c>
      <c r="C235">
        <v>34</v>
      </c>
      <c r="D235" s="1" t="s">
        <v>85</v>
      </c>
      <c r="E235">
        <v>28</v>
      </c>
      <c r="F235">
        <v>15</v>
      </c>
      <c r="G235">
        <v>21.6</v>
      </c>
      <c r="H235">
        <v>3.4</v>
      </c>
      <c r="I235">
        <v>8.5</v>
      </c>
      <c r="J235">
        <v>0.40100000000000002</v>
      </c>
      <c r="K235">
        <v>1.1000000000000001</v>
      </c>
      <c r="L235">
        <v>3</v>
      </c>
      <c r="M235">
        <v>0.38100000000000001</v>
      </c>
      <c r="N235">
        <v>2.1</v>
      </c>
      <c r="O235">
        <v>2.2999999999999998</v>
      </c>
      <c r="P235">
        <v>0.90800000000000003</v>
      </c>
      <c r="Q235">
        <v>0.8</v>
      </c>
      <c r="R235">
        <v>2.7</v>
      </c>
      <c r="S235">
        <v>3.4</v>
      </c>
      <c r="T235">
        <v>2.2999999999999998</v>
      </c>
      <c r="U235">
        <v>0.5</v>
      </c>
      <c r="V235">
        <v>0</v>
      </c>
      <c r="W235">
        <v>1.8</v>
      </c>
      <c r="X235">
        <v>2.1</v>
      </c>
      <c r="Y235">
        <v>10</v>
      </c>
      <c r="AP235">
        <v>3.4</v>
      </c>
      <c r="AQ235">
        <v>8.5</v>
      </c>
      <c r="AR235">
        <v>1.1000000000000001</v>
      </c>
      <c r="AS235">
        <v>3</v>
      </c>
      <c r="AT235">
        <v>2.1</v>
      </c>
      <c r="AU235">
        <v>2.2999999999999998</v>
      </c>
      <c r="AV235">
        <v>3.4</v>
      </c>
      <c r="AW235">
        <v>2.2999999999999998</v>
      </c>
      <c r="AX235">
        <v>10</v>
      </c>
    </row>
    <row r="236" spans="1:50" x14ac:dyDescent="0.2">
      <c r="A236" s="1" t="s">
        <v>259</v>
      </c>
      <c r="B236" s="1" t="s">
        <v>43</v>
      </c>
      <c r="C236">
        <v>26</v>
      </c>
      <c r="D236" s="1" t="s">
        <v>35</v>
      </c>
      <c r="E236">
        <v>76</v>
      </c>
      <c r="F236">
        <v>75</v>
      </c>
      <c r="G236">
        <v>25.3</v>
      </c>
      <c r="H236">
        <v>4.3</v>
      </c>
      <c r="I236">
        <v>6.6</v>
      </c>
      <c r="J236">
        <v>0.65300000000000002</v>
      </c>
      <c r="K236">
        <v>0</v>
      </c>
      <c r="L236">
        <v>0.1</v>
      </c>
      <c r="M236">
        <v>0.125</v>
      </c>
      <c r="N236">
        <v>1.6</v>
      </c>
      <c r="O236">
        <v>2.2999999999999998</v>
      </c>
      <c r="P236">
        <v>0.70299999999999996</v>
      </c>
      <c r="Q236">
        <v>3</v>
      </c>
      <c r="R236">
        <v>5.3</v>
      </c>
      <c r="S236">
        <v>8.4</v>
      </c>
      <c r="T236">
        <v>1.7</v>
      </c>
      <c r="U236">
        <v>0.8</v>
      </c>
      <c r="V236">
        <v>1.3</v>
      </c>
      <c r="W236">
        <v>1</v>
      </c>
      <c r="X236">
        <v>2.8</v>
      </c>
      <c r="Y236">
        <v>10.199999999999999</v>
      </c>
      <c r="AP236">
        <v>4.3</v>
      </c>
      <c r="AQ236">
        <v>6.6</v>
      </c>
      <c r="AR236">
        <v>0</v>
      </c>
      <c r="AS236">
        <v>0.1</v>
      </c>
      <c r="AT236">
        <v>1.6</v>
      </c>
      <c r="AU236">
        <v>2.2999999999999998</v>
      </c>
      <c r="AV236">
        <v>8.4</v>
      </c>
      <c r="AW236">
        <v>1.7</v>
      </c>
      <c r="AX236">
        <v>10.199999999999999</v>
      </c>
    </row>
    <row r="237" spans="1:50" x14ac:dyDescent="0.2">
      <c r="A237" s="1" t="s">
        <v>260</v>
      </c>
      <c r="B237" s="1" t="s">
        <v>26</v>
      </c>
      <c r="C237">
        <v>29</v>
      </c>
      <c r="D237" s="1" t="s">
        <v>85</v>
      </c>
      <c r="E237">
        <v>26</v>
      </c>
      <c r="F237">
        <v>3</v>
      </c>
      <c r="G237">
        <v>19</v>
      </c>
      <c r="H237">
        <v>3.6</v>
      </c>
      <c r="I237">
        <v>8.9</v>
      </c>
      <c r="J237">
        <v>0.40500000000000003</v>
      </c>
      <c r="K237">
        <v>1.3</v>
      </c>
      <c r="L237">
        <v>4.3</v>
      </c>
      <c r="M237">
        <v>0.29499999999999998</v>
      </c>
      <c r="N237">
        <v>1.7</v>
      </c>
      <c r="O237">
        <v>2.2999999999999998</v>
      </c>
      <c r="P237">
        <v>0.71699999999999997</v>
      </c>
      <c r="Q237">
        <v>0.3</v>
      </c>
      <c r="R237">
        <v>2</v>
      </c>
      <c r="S237">
        <v>2.2999999999999998</v>
      </c>
      <c r="T237">
        <v>4</v>
      </c>
      <c r="U237">
        <v>0.5</v>
      </c>
      <c r="V237">
        <v>0.1</v>
      </c>
      <c r="W237">
        <v>1.9</v>
      </c>
      <c r="X237">
        <v>1.2</v>
      </c>
      <c r="Y237">
        <v>10.199999999999999</v>
      </c>
      <c r="AP237">
        <v>3.6</v>
      </c>
      <c r="AQ237">
        <v>8.9</v>
      </c>
      <c r="AR237">
        <v>1.3</v>
      </c>
      <c r="AS237">
        <v>4.3</v>
      </c>
      <c r="AT237">
        <v>1.7</v>
      </c>
      <c r="AU237">
        <v>2.2999999999999998</v>
      </c>
      <c r="AV237">
        <v>2.2999999999999998</v>
      </c>
      <c r="AW237">
        <v>4</v>
      </c>
      <c r="AX237">
        <v>10.199999999999999</v>
      </c>
    </row>
    <row r="238" spans="1:50" x14ac:dyDescent="0.2">
      <c r="A238" s="1" t="s">
        <v>261</v>
      </c>
      <c r="B238" s="1" t="s">
        <v>43</v>
      </c>
      <c r="C238">
        <v>25</v>
      </c>
      <c r="D238" s="1" t="s">
        <v>128</v>
      </c>
      <c r="E238">
        <v>53</v>
      </c>
      <c r="F238">
        <v>21</v>
      </c>
      <c r="G238">
        <v>20.7</v>
      </c>
      <c r="H238">
        <v>3.7</v>
      </c>
      <c r="I238">
        <v>7.6</v>
      </c>
      <c r="J238">
        <v>0.48299999999999998</v>
      </c>
      <c r="K238">
        <v>1.5</v>
      </c>
      <c r="L238">
        <v>4.2</v>
      </c>
      <c r="M238">
        <v>0.373</v>
      </c>
      <c r="N238">
        <v>1.3</v>
      </c>
      <c r="O238">
        <v>1.8</v>
      </c>
      <c r="P238">
        <v>0.74199999999999999</v>
      </c>
      <c r="Q238">
        <v>1.8</v>
      </c>
      <c r="R238">
        <v>4.8</v>
      </c>
      <c r="S238">
        <v>6.7</v>
      </c>
      <c r="T238">
        <v>1.2</v>
      </c>
      <c r="U238">
        <v>0.5</v>
      </c>
      <c r="V238">
        <v>0.8</v>
      </c>
      <c r="W238">
        <v>1</v>
      </c>
      <c r="X238">
        <v>2.1</v>
      </c>
      <c r="Y238">
        <v>10.199999999999999</v>
      </c>
      <c r="AP238">
        <v>3.7</v>
      </c>
      <c r="AQ238">
        <v>7.6</v>
      </c>
      <c r="AR238">
        <v>1.5</v>
      </c>
      <c r="AS238">
        <v>4.2</v>
      </c>
      <c r="AT238">
        <v>1.3</v>
      </c>
      <c r="AU238">
        <v>1.8</v>
      </c>
      <c r="AV238">
        <v>6.7</v>
      </c>
      <c r="AW238">
        <v>1.2</v>
      </c>
      <c r="AX238">
        <v>10.199999999999999</v>
      </c>
    </row>
    <row r="239" spans="1:50" x14ac:dyDescent="0.2">
      <c r="A239" s="1" t="s">
        <v>262</v>
      </c>
      <c r="B239" s="1" t="s">
        <v>34</v>
      </c>
      <c r="C239">
        <v>24</v>
      </c>
      <c r="D239" s="1" t="s">
        <v>66</v>
      </c>
      <c r="E239">
        <v>56</v>
      </c>
      <c r="F239">
        <v>13</v>
      </c>
      <c r="G239">
        <v>22.9</v>
      </c>
      <c r="H239">
        <v>3.3</v>
      </c>
      <c r="I239">
        <v>7.7</v>
      </c>
      <c r="J239">
        <v>0.42499999999999999</v>
      </c>
      <c r="K239">
        <v>1.5</v>
      </c>
      <c r="L239">
        <v>4.5</v>
      </c>
      <c r="M239">
        <v>0.34300000000000003</v>
      </c>
      <c r="N239">
        <v>2.1</v>
      </c>
      <c r="O239">
        <v>2.5</v>
      </c>
      <c r="P239">
        <v>0.85</v>
      </c>
      <c r="Q239">
        <v>0.5</v>
      </c>
      <c r="R239">
        <v>1.9</v>
      </c>
      <c r="S239">
        <v>2.4</v>
      </c>
      <c r="T239">
        <v>1.1000000000000001</v>
      </c>
      <c r="U239">
        <v>1.4</v>
      </c>
      <c r="V239">
        <v>0.4</v>
      </c>
      <c r="W239">
        <v>1.1000000000000001</v>
      </c>
      <c r="X239">
        <v>2.1</v>
      </c>
      <c r="Y239">
        <v>10.199999999999999</v>
      </c>
      <c r="AP239">
        <v>3.3</v>
      </c>
      <c r="AQ239">
        <v>7.7</v>
      </c>
      <c r="AR239">
        <v>1.5</v>
      </c>
      <c r="AS239">
        <v>4.5</v>
      </c>
      <c r="AT239">
        <v>2.1</v>
      </c>
      <c r="AU239">
        <v>2.5</v>
      </c>
      <c r="AV239">
        <v>2.4</v>
      </c>
      <c r="AW239">
        <v>1.1000000000000001</v>
      </c>
      <c r="AX239">
        <v>10.199999999999999</v>
      </c>
    </row>
    <row r="240" spans="1:50" x14ac:dyDescent="0.2">
      <c r="A240" s="1" t="s">
        <v>263</v>
      </c>
      <c r="B240" s="1" t="s">
        <v>31</v>
      </c>
      <c r="C240">
        <v>27</v>
      </c>
      <c r="D240" s="1" t="s">
        <v>70</v>
      </c>
      <c r="E240">
        <v>68</v>
      </c>
      <c r="F240">
        <v>14</v>
      </c>
      <c r="G240">
        <v>22.5</v>
      </c>
      <c r="H240">
        <v>3.9</v>
      </c>
      <c r="I240">
        <v>8.6</v>
      </c>
      <c r="J240">
        <v>0.45100000000000001</v>
      </c>
      <c r="K240">
        <v>1.4</v>
      </c>
      <c r="L240">
        <v>4.7</v>
      </c>
      <c r="M240">
        <v>0.30499999999999999</v>
      </c>
      <c r="N240">
        <v>0.8</v>
      </c>
      <c r="O240">
        <v>1</v>
      </c>
      <c r="P240">
        <v>0.76800000000000002</v>
      </c>
      <c r="Q240">
        <v>0.5</v>
      </c>
      <c r="R240">
        <v>3</v>
      </c>
      <c r="S240">
        <v>3.5</v>
      </c>
      <c r="T240">
        <v>2.6</v>
      </c>
      <c r="U240">
        <v>0.9</v>
      </c>
      <c r="V240">
        <v>0.5</v>
      </c>
      <c r="W240">
        <v>1.1000000000000001</v>
      </c>
      <c r="X240">
        <v>1.7</v>
      </c>
      <c r="Y240">
        <v>10</v>
      </c>
      <c r="AP240">
        <v>3.9</v>
      </c>
      <c r="AQ240">
        <v>8.6</v>
      </c>
      <c r="AR240">
        <v>1.4</v>
      </c>
      <c r="AS240">
        <v>4.7</v>
      </c>
      <c r="AT240">
        <v>0.8</v>
      </c>
      <c r="AU240">
        <v>1</v>
      </c>
      <c r="AV240">
        <v>3.5</v>
      </c>
      <c r="AW240">
        <v>2.6</v>
      </c>
      <c r="AX240">
        <v>10</v>
      </c>
    </row>
    <row r="241" spans="1:50" x14ac:dyDescent="0.2">
      <c r="A241" s="1" t="s">
        <v>263</v>
      </c>
      <c r="B241" s="1" t="s">
        <v>34</v>
      </c>
      <c r="C241">
        <v>27</v>
      </c>
      <c r="D241" s="1" t="s">
        <v>128</v>
      </c>
      <c r="E241">
        <v>44</v>
      </c>
      <c r="F241">
        <v>11</v>
      </c>
      <c r="G241">
        <v>23.6</v>
      </c>
      <c r="H241">
        <v>4.2</v>
      </c>
      <c r="I241">
        <v>9.1999999999999993</v>
      </c>
      <c r="J241">
        <v>0.45500000000000002</v>
      </c>
      <c r="K241">
        <v>1.6</v>
      </c>
      <c r="L241">
        <v>5.0999999999999996</v>
      </c>
      <c r="M241">
        <v>0.314</v>
      </c>
      <c r="N241">
        <v>0.9</v>
      </c>
      <c r="O241">
        <v>1.3</v>
      </c>
      <c r="P241">
        <v>0.73199999999999998</v>
      </c>
      <c r="Q241">
        <v>0.5</v>
      </c>
      <c r="R241">
        <v>3.3</v>
      </c>
      <c r="S241">
        <v>3.8</v>
      </c>
      <c r="T241">
        <v>2.6</v>
      </c>
      <c r="U241">
        <v>0.8</v>
      </c>
      <c r="V241">
        <v>0.6</v>
      </c>
      <c r="W241">
        <v>1.1000000000000001</v>
      </c>
      <c r="X241">
        <v>1.9</v>
      </c>
      <c r="Y241">
        <v>10.9</v>
      </c>
      <c r="AP241">
        <v>4.2</v>
      </c>
      <c r="AQ241">
        <v>9.1999999999999993</v>
      </c>
      <c r="AR241">
        <v>1.6</v>
      </c>
      <c r="AS241">
        <v>5.0999999999999996</v>
      </c>
      <c r="AT241">
        <v>0.9</v>
      </c>
      <c r="AU241">
        <v>1.3</v>
      </c>
      <c r="AV241">
        <v>3.8</v>
      </c>
      <c r="AW241">
        <v>2.6</v>
      </c>
      <c r="AX241">
        <v>10.9</v>
      </c>
    </row>
    <row r="242" spans="1:50" x14ac:dyDescent="0.2">
      <c r="A242" s="1" t="s">
        <v>263</v>
      </c>
      <c r="B242" s="1" t="s">
        <v>31</v>
      </c>
      <c r="C242">
        <v>27</v>
      </c>
      <c r="D242" s="1" t="s">
        <v>64</v>
      </c>
      <c r="E242">
        <v>24</v>
      </c>
      <c r="F242">
        <v>3</v>
      </c>
      <c r="G242">
        <v>20.5</v>
      </c>
      <c r="H242">
        <v>3.3</v>
      </c>
      <c r="I242">
        <v>7.6</v>
      </c>
      <c r="J242">
        <v>0.44</v>
      </c>
      <c r="K242">
        <v>1.1000000000000001</v>
      </c>
      <c r="L242">
        <v>4</v>
      </c>
      <c r="M242">
        <v>0.28399999999999997</v>
      </c>
      <c r="N242">
        <v>0.5</v>
      </c>
      <c r="O242">
        <v>0.5</v>
      </c>
      <c r="P242">
        <v>0.92300000000000004</v>
      </c>
      <c r="Q242">
        <v>0.5</v>
      </c>
      <c r="R242">
        <v>2.4</v>
      </c>
      <c r="S242">
        <v>2.9</v>
      </c>
      <c r="T242">
        <v>2.5</v>
      </c>
      <c r="U242">
        <v>1</v>
      </c>
      <c r="V242">
        <v>0.3</v>
      </c>
      <c r="W242">
        <v>1</v>
      </c>
      <c r="X242">
        <v>1.3</v>
      </c>
      <c r="Y242">
        <v>8.3000000000000007</v>
      </c>
      <c r="AP242">
        <v>3.3</v>
      </c>
      <c r="AQ242">
        <v>7.6</v>
      </c>
      <c r="AR242">
        <v>1.1000000000000001</v>
      </c>
      <c r="AS242">
        <v>4</v>
      </c>
      <c r="AT242">
        <v>0.5</v>
      </c>
      <c r="AU242">
        <v>0.5</v>
      </c>
      <c r="AV242">
        <v>2.9</v>
      </c>
      <c r="AW242">
        <v>2.5</v>
      </c>
      <c r="AX242">
        <v>8.3000000000000007</v>
      </c>
    </row>
    <row r="243" spans="1:50" x14ac:dyDescent="0.2">
      <c r="A243" s="1" t="s">
        <v>264</v>
      </c>
      <c r="B243" s="1" t="s">
        <v>23</v>
      </c>
      <c r="C243">
        <v>23</v>
      </c>
      <c r="D243" s="1" t="s">
        <v>104</v>
      </c>
      <c r="E243">
        <v>53</v>
      </c>
      <c r="F243">
        <v>24</v>
      </c>
      <c r="G243">
        <v>18.600000000000001</v>
      </c>
      <c r="H243">
        <v>3.6</v>
      </c>
      <c r="I243">
        <v>6.6</v>
      </c>
      <c r="J243">
        <v>0.54900000000000004</v>
      </c>
      <c r="K243">
        <v>1.1000000000000001</v>
      </c>
      <c r="L243">
        <v>2.8</v>
      </c>
      <c r="M243">
        <v>0.40500000000000003</v>
      </c>
      <c r="N243">
        <v>1.6</v>
      </c>
      <c r="O243">
        <v>2.2000000000000002</v>
      </c>
      <c r="P243">
        <v>0.754</v>
      </c>
      <c r="Q243">
        <v>1.1000000000000001</v>
      </c>
      <c r="R243">
        <v>2.4</v>
      </c>
      <c r="S243">
        <v>3.5</v>
      </c>
      <c r="T243">
        <v>1</v>
      </c>
      <c r="U243">
        <v>0.8</v>
      </c>
      <c r="V243">
        <v>0.2</v>
      </c>
      <c r="W243">
        <v>0.9</v>
      </c>
      <c r="X243">
        <v>1.6</v>
      </c>
      <c r="Y243">
        <v>10</v>
      </c>
      <c r="AP243">
        <v>3.6</v>
      </c>
      <c r="AQ243">
        <v>6.6</v>
      </c>
      <c r="AR243">
        <v>1.1000000000000001</v>
      </c>
      <c r="AS243">
        <v>2.8</v>
      </c>
      <c r="AT243">
        <v>1.6</v>
      </c>
      <c r="AU243">
        <v>2.2000000000000002</v>
      </c>
      <c r="AV243">
        <v>3.5</v>
      </c>
      <c r="AW243">
        <v>1</v>
      </c>
      <c r="AX243">
        <v>10</v>
      </c>
    </row>
    <row r="244" spans="1:50" x14ac:dyDescent="0.2">
      <c r="A244" s="1" t="s">
        <v>265</v>
      </c>
      <c r="B244" s="1" t="s">
        <v>23</v>
      </c>
      <c r="C244">
        <v>33</v>
      </c>
      <c r="D244" s="1" t="s">
        <v>60</v>
      </c>
      <c r="E244">
        <v>76</v>
      </c>
      <c r="F244">
        <v>52</v>
      </c>
      <c r="G244">
        <v>25.8</v>
      </c>
      <c r="H244">
        <v>3.4</v>
      </c>
      <c r="I244">
        <v>7.4</v>
      </c>
      <c r="J244">
        <v>0.45600000000000002</v>
      </c>
      <c r="K244">
        <v>1.8</v>
      </c>
      <c r="L244">
        <v>4.5999999999999996</v>
      </c>
      <c r="M244">
        <v>0.38800000000000001</v>
      </c>
      <c r="N244">
        <v>1.3</v>
      </c>
      <c r="O244">
        <v>1.6</v>
      </c>
      <c r="P244">
        <v>0.82899999999999996</v>
      </c>
      <c r="Q244">
        <v>0.8</v>
      </c>
      <c r="R244">
        <v>2</v>
      </c>
      <c r="S244">
        <v>2.8</v>
      </c>
      <c r="T244">
        <v>1.9</v>
      </c>
      <c r="U244">
        <v>0.6</v>
      </c>
      <c r="V244">
        <v>0.2</v>
      </c>
      <c r="W244">
        <v>0.8</v>
      </c>
      <c r="X244">
        <v>1.1000000000000001</v>
      </c>
      <c r="Y244">
        <v>9.9</v>
      </c>
      <c r="AP244">
        <v>3.4</v>
      </c>
      <c r="AQ244">
        <v>7.4</v>
      </c>
      <c r="AR244">
        <v>1.8</v>
      </c>
      <c r="AS244">
        <v>4.5999999999999996</v>
      </c>
      <c r="AT244">
        <v>1.3</v>
      </c>
      <c r="AU244">
        <v>1.6</v>
      </c>
      <c r="AV244">
        <v>2.8</v>
      </c>
      <c r="AW244">
        <v>1.9</v>
      </c>
      <c r="AX244">
        <v>9.9</v>
      </c>
    </row>
    <row r="245" spans="1:50" x14ac:dyDescent="0.2">
      <c r="A245" s="1" t="s">
        <v>266</v>
      </c>
      <c r="B245" s="1" t="s">
        <v>34</v>
      </c>
      <c r="C245">
        <v>24</v>
      </c>
      <c r="D245" s="1" t="s">
        <v>76</v>
      </c>
      <c r="E245">
        <v>76</v>
      </c>
      <c r="F245">
        <v>34</v>
      </c>
      <c r="G245">
        <v>24.7</v>
      </c>
      <c r="H245">
        <v>3.6</v>
      </c>
      <c r="I245">
        <v>8.1</v>
      </c>
      <c r="J245">
        <v>0.45</v>
      </c>
      <c r="K245">
        <v>1.6</v>
      </c>
      <c r="L245">
        <v>4.2</v>
      </c>
      <c r="M245">
        <v>0.376</v>
      </c>
      <c r="N245">
        <v>1.1000000000000001</v>
      </c>
      <c r="O245">
        <v>1.2</v>
      </c>
      <c r="P245">
        <v>0.88200000000000001</v>
      </c>
      <c r="Q245">
        <v>0.8</v>
      </c>
      <c r="R245">
        <v>2.9</v>
      </c>
      <c r="S245">
        <v>3.7</v>
      </c>
      <c r="T245">
        <v>1.6</v>
      </c>
      <c r="U245">
        <v>0.9</v>
      </c>
      <c r="V245">
        <v>0.3</v>
      </c>
      <c r="W245">
        <v>0.9</v>
      </c>
      <c r="X245">
        <v>1.5</v>
      </c>
      <c r="Y245">
        <v>9.9</v>
      </c>
      <c r="AP245">
        <v>3.6</v>
      </c>
      <c r="AQ245">
        <v>8.1</v>
      </c>
      <c r="AR245">
        <v>1.6</v>
      </c>
      <c r="AS245">
        <v>4.2</v>
      </c>
      <c r="AT245">
        <v>1.1000000000000001</v>
      </c>
      <c r="AU245">
        <v>1.2</v>
      </c>
      <c r="AV245">
        <v>3.7</v>
      </c>
      <c r="AW245">
        <v>1.6</v>
      </c>
      <c r="AX245">
        <v>9.9</v>
      </c>
    </row>
    <row r="246" spans="1:50" x14ac:dyDescent="0.2">
      <c r="A246" s="1" t="s">
        <v>267</v>
      </c>
      <c r="B246" s="1" t="s">
        <v>34</v>
      </c>
      <c r="C246">
        <v>26</v>
      </c>
      <c r="D246" s="1" t="s">
        <v>39</v>
      </c>
      <c r="E246">
        <v>59</v>
      </c>
      <c r="F246">
        <v>1</v>
      </c>
      <c r="G246">
        <v>22</v>
      </c>
      <c r="H246">
        <v>3.5</v>
      </c>
      <c r="I246">
        <v>6.7</v>
      </c>
      <c r="J246">
        <v>0.52900000000000003</v>
      </c>
      <c r="K246">
        <v>0.6</v>
      </c>
      <c r="L246">
        <v>1.8</v>
      </c>
      <c r="M246">
        <v>0.34300000000000003</v>
      </c>
      <c r="N246">
        <v>2.2000000000000002</v>
      </c>
      <c r="O246">
        <v>2.9</v>
      </c>
      <c r="P246">
        <v>0.77100000000000002</v>
      </c>
      <c r="Q246">
        <v>0.8</v>
      </c>
      <c r="R246">
        <v>2.2000000000000002</v>
      </c>
      <c r="S246">
        <v>3</v>
      </c>
      <c r="T246">
        <v>2.2000000000000002</v>
      </c>
      <c r="U246">
        <v>0.8</v>
      </c>
      <c r="V246">
        <v>0.2</v>
      </c>
      <c r="W246">
        <v>1</v>
      </c>
      <c r="X246">
        <v>1</v>
      </c>
      <c r="Y246">
        <v>9.9</v>
      </c>
      <c r="AP246">
        <v>3.5</v>
      </c>
      <c r="AQ246">
        <v>6.7</v>
      </c>
      <c r="AR246">
        <v>0.6</v>
      </c>
      <c r="AS246">
        <v>1.8</v>
      </c>
      <c r="AT246">
        <v>2.2000000000000002</v>
      </c>
      <c r="AU246">
        <v>2.9</v>
      </c>
      <c r="AV246">
        <v>3</v>
      </c>
      <c r="AW246">
        <v>2.2000000000000002</v>
      </c>
      <c r="AX246">
        <v>9.9</v>
      </c>
    </row>
    <row r="247" spans="1:50" x14ac:dyDescent="0.2">
      <c r="A247" s="1" t="s">
        <v>268</v>
      </c>
      <c r="B247" s="1" t="s">
        <v>43</v>
      </c>
      <c r="C247">
        <v>24</v>
      </c>
      <c r="D247" s="1" t="s">
        <v>64</v>
      </c>
      <c r="E247">
        <v>57</v>
      </c>
      <c r="F247">
        <v>13</v>
      </c>
      <c r="G247">
        <v>22.8</v>
      </c>
      <c r="H247">
        <v>3.8</v>
      </c>
      <c r="I247">
        <v>6.9</v>
      </c>
      <c r="J247">
        <v>0.54500000000000004</v>
      </c>
      <c r="K247">
        <v>0.7</v>
      </c>
      <c r="L247">
        <v>2.1</v>
      </c>
      <c r="M247">
        <v>0.33100000000000002</v>
      </c>
      <c r="N247">
        <v>1.7</v>
      </c>
      <c r="O247">
        <v>2.2999999999999998</v>
      </c>
      <c r="P247">
        <v>0.76</v>
      </c>
      <c r="Q247">
        <v>1.6</v>
      </c>
      <c r="R247">
        <v>3.4</v>
      </c>
      <c r="S247">
        <v>5</v>
      </c>
      <c r="T247">
        <v>1.2</v>
      </c>
      <c r="U247">
        <v>0.3</v>
      </c>
      <c r="V247">
        <v>1.6</v>
      </c>
      <c r="W247">
        <v>1.1000000000000001</v>
      </c>
      <c r="X247">
        <v>2.9</v>
      </c>
      <c r="Y247">
        <v>9.9</v>
      </c>
      <c r="AP247">
        <v>3.8</v>
      </c>
      <c r="AQ247">
        <v>6.9</v>
      </c>
      <c r="AR247">
        <v>0.7</v>
      </c>
      <c r="AS247">
        <v>2.1</v>
      </c>
      <c r="AT247">
        <v>1.7</v>
      </c>
      <c r="AU247">
        <v>2.2999999999999998</v>
      </c>
      <c r="AV247">
        <v>5</v>
      </c>
      <c r="AW247">
        <v>1.2</v>
      </c>
      <c r="AX247">
        <v>9.9</v>
      </c>
    </row>
    <row r="248" spans="1:50" x14ac:dyDescent="0.2">
      <c r="A248" s="1" t="s">
        <v>269</v>
      </c>
      <c r="B248" s="1" t="s">
        <v>34</v>
      </c>
      <c r="C248">
        <v>23</v>
      </c>
      <c r="D248" s="1" t="s">
        <v>64</v>
      </c>
      <c r="E248">
        <v>72</v>
      </c>
      <c r="F248">
        <v>71</v>
      </c>
      <c r="G248">
        <v>26</v>
      </c>
      <c r="H248">
        <v>4.2</v>
      </c>
      <c r="I248">
        <v>8</v>
      </c>
      <c r="J248">
        <v>0.52400000000000002</v>
      </c>
      <c r="K248">
        <v>0.1</v>
      </c>
      <c r="L248">
        <v>0.3</v>
      </c>
      <c r="M248">
        <v>0.25</v>
      </c>
      <c r="N248">
        <v>1.5</v>
      </c>
      <c r="O248">
        <v>2.6</v>
      </c>
      <c r="P248">
        <v>0.57099999999999995</v>
      </c>
      <c r="Q248">
        <v>2.1</v>
      </c>
      <c r="R248">
        <v>3.7</v>
      </c>
      <c r="S248">
        <v>5.7</v>
      </c>
      <c r="T248">
        <v>3.1</v>
      </c>
      <c r="U248">
        <v>2</v>
      </c>
      <c r="V248">
        <v>0.9</v>
      </c>
      <c r="W248">
        <v>1.5</v>
      </c>
      <c r="X248">
        <v>2.7</v>
      </c>
      <c r="Y248">
        <v>9.9</v>
      </c>
      <c r="AP248">
        <v>4.2</v>
      </c>
      <c r="AQ248">
        <v>8</v>
      </c>
      <c r="AR248">
        <v>0.1</v>
      </c>
      <c r="AS248">
        <v>0.3</v>
      </c>
      <c r="AT248">
        <v>1.5</v>
      </c>
      <c r="AU248">
        <v>2.6</v>
      </c>
      <c r="AV248">
        <v>5.7</v>
      </c>
      <c r="AW248">
        <v>3.1</v>
      </c>
      <c r="AX248">
        <v>9.9</v>
      </c>
    </row>
    <row r="249" spans="1:50" x14ac:dyDescent="0.2">
      <c r="A249" s="1" t="s">
        <v>270</v>
      </c>
      <c r="B249" s="1" t="s">
        <v>43</v>
      </c>
      <c r="C249">
        <v>26</v>
      </c>
      <c r="D249" s="1" t="s">
        <v>109</v>
      </c>
      <c r="E249">
        <v>72</v>
      </c>
      <c r="F249">
        <v>56</v>
      </c>
      <c r="G249">
        <v>23.8</v>
      </c>
      <c r="H249">
        <v>4.3</v>
      </c>
      <c r="I249">
        <v>8</v>
      </c>
      <c r="J249">
        <v>0.53</v>
      </c>
      <c r="K249">
        <v>0.4</v>
      </c>
      <c r="L249">
        <v>1.3</v>
      </c>
      <c r="M249">
        <v>0.28699999999999998</v>
      </c>
      <c r="N249">
        <v>1</v>
      </c>
      <c r="O249">
        <v>1.8</v>
      </c>
      <c r="P249">
        <v>0.54700000000000004</v>
      </c>
      <c r="Q249">
        <v>2.4</v>
      </c>
      <c r="R249">
        <v>4.3</v>
      </c>
      <c r="S249">
        <v>6.7</v>
      </c>
      <c r="T249">
        <v>1.3</v>
      </c>
      <c r="U249">
        <v>0.9</v>
      </c>
      <c r="V249">
        <v>0.7</v>
      </c>
      <c r="W249">
        <v>0.9</v>
      </c>
      <c r="X249">
        <v>1.7</v>
      </c>
      <c r="Y249">
        <v>9.8000000000000007</v>
      </c>
      <c r="AP249">
        <v>4.3</v>
      </c>
      <c r="AQ249">
        <v>8</v>
      </c>
      <c r="AR249">
        <v>0.4</v>
      </c>
      <c r="AS249">
        <v>1.3</v>
      </c>
      <c r="AT249">
        <v>1</v>
      </c>
      <c r="AU249">
        <v>1.8</v>
      </c>
      <c r="AV249">
        <v>6.7</v>
      </c>
      <c r="AW249">
        <v>1.3</v>
      </c>
      <c r="AX249">
        <v>9.8000000000000007</v>
      </c>
    </row>
    <row r="250" spans="1:50" x14ac:dyDescent="0.2">
      <c r="A250" s="1" t="s">
        <v>271</v>
      </c>
      <c r="B250" s="1" t="s">
        <v>34</v>
      </c>
      <c r="C250">
        <v>32</v>
      </c>
      <c r="D250" s="1" t="s">
        <v>53</v>
      </c>
      <c r="E250">
        <v>78</v>
      </c>
      <c r="F250">
        <v>67</v>
      </c>
      <c r="G250">
        <v>28.4</v>
      </c>
      <c r="H250">
        <v>3.4</v>
      </c>
      <c r="I250">
        <v>8</v>
      </c>
      <c r="J250">
        <v>0.42099999999999999</v>
      </c>
      <c r="K250">
        <v>2.7</v>
      </c>
      <c r="L250">
        <v>6.7</v>
      </c>
      <c r="M250">
        <v>0.40799999999999997</v>
      </c>
      <c r="N250">
        <v>0.3</v>
      </c>
      <c r="O250">
        <v>0.5</v>
      </c>
      <c r="P250">
        <v>0.71099999999999997</v>
      </c>
      <c r="Q250">
        <v>0.8</v>
      </c>
      <c r="R250">
        <v>4</v>
      </c>
      <c r="S250">
        <v>4.8</v>
      </c>
      <c r="T250">
        <v>2.7</v>
      </c>
      <c r="U250">
        <v>1.1000000000000001</v>
      </c>
      <c r="V250">
        <v>0.4</v>
      </c>
      <c r="W250">
        <v>1.3</v>
      </c>
      <c r="X250">
        <v>2.2999999999999998</v>
      </c>
      <c r="Y250">
        <v>9.8000000000000007</v>
      </c>
      <c r="AP250">
        <v>3.4</v>
      </c>
      <c r="AQ250">
        <v>8</v>
      </c>
      <c r="AR250">
        <v>2.7</v>
      </c>
      <c r="AS250">
        <v>6.7</v>
      </c>
      <c r="AT250">
        <v>0.3</v>
      </c>
      <c r="AU250">
        <v>0.5</v>
      </c>
      <c r="AV250">
        <v>4.8</v>
      </c>
      <c r="AW250">
        <v>2.7</v>
      </c>
      <c r="AX250">
        <v>9.8000000000000007</v>
      </c>
    </row>
    <row r="251" spans="1:50" x14ac:dyDescent="0.2">
      <c r="A251" s="1" t="s">
        <v>272</v>
      </c>
      <c r="B251" s="1" t="s">
        <v>43</v>
      </c>
      <c r="C251">
        <v>28</v>
      </c>
      <c r="D251" s="1" t="s">
        <v>128</v>
      </c>
      <c r="E251">
        <v>10</v>
      </c>
      <c r="F251">
        <v>0</v>
      </c>
      <c r="G251">
        <v>18.399999999999999</v>
      </c>
      <c r="H251">
        <v>3.7</v>
      </c>
      <c r="I251">
        <v>6.4</v>
      </c>
      <c r="J251">
        <v>0.57799999999999996</v>
      </c>
      <c r="K251">
        <v>0.9</v>
      </c>
      <c r="L251">
        <v>2.1</v>
      </c>
      <c r="M251">
        <v>0.42899999999999999</v>
      </c>
      <c r="N251">
        <v>1.4</v>
      </c>
      <c r="O251">
        <v>2</v>
      </c>
      <c r="P251">
        <v>0.7</v>
      </c>
      <c r="Q251">
        <v>1.6</v>
      </c>
      <c r="R251">
        <v>4</v>
      </c>
      <c r="S251">
        <v>5.6</v>
      </c>
      <c r="T251">
        <v>1.5</v>
      </c>
      <c r="U251">
        <v>0.2</v>
      </c>
      <c r="V251">
        <v>0.4</v>
      </c>
      <c r="W251">
        <v>1</v>
      </c>
      <c r="X251">
        <v>1.8</v>
      </c>
      <c r="Y251">
        <v>9.6999999999999993</v>
      </c>
      <c r="AP251">
        <v>3.7</v>
      </c>
      <c r="AQ251">
        <v>6.4</v>
      </c>
      <c r="AR251">
        <v>0.9</v>
      </c>
      <c r="AS251">
        <v>2.1</v>
      </c>
      <c r="AT251">
        <v>1.4</v>
      </c>
      <c r="AU251">
        <v>2</v>
      </c>
      <c r="AV251">
        <v>5.6</v>
      </c>
      <c r="AW251">
        <v>1.5</v>
      </c>
      <c r="AX251">
        <v>9.6999999999999993</v>
      </c>
    </row>
    <row r="252" spans="1:50" x14ac:dyDescent="0.2">
      <c r="A252" s="1" t="s">
        <v>273</v>
      </c>
      <c r="B252" s="1" t="s">
        <v>43</v>
      </c>
      <c r="C252">
        <v>27</v>
      </c>
      <c r="D252" s="1" t="s">
        <v>68</v>
      </c>
      <c r="E252">
        <v>46</v>
      </c>
      <c r="F252">
        <v>6</v>
      </c>
      <c r="G252">
        <v>19</v>
      </c>
      <c r="H252">
        <v>3.2</v>
      </c>
      <c r="I252">
        <v>6.1</v>
      </c>
      <c r="J252">
        <v>0.51800000000000002</v>
      </c>
      <c r="K252">
        <v>1.5</v>
      </c>
      <c r="L252">
        <v>3.4</v>
      </c>
      <c r="M252">
        <v>0.43</v>
      </c>
      <c r="N252">
        <v>1.8</v>
      </c>
      <c r="O252">
        <v>2.2000000000000002</v>
      </c>
      <c r="P252">
        <v>0.84199999999999997</v>
      </c>
      <c r="Q252">
        <v>1.2</v>
      </c>
      <c r="R252">
        <v>3.6</v>
      </c>
      <c r="S252">
        <v>4.8</v>
      </c>
      <c r="T252">
        <v>1.5</v>
      </c>
      <c r="U252">
        <v>0.4</v>
      </c>
      <c r="V252">
        <v>0.3</v>
      </c>
      <c r="W252">
        <v>0.9</v>
      </c>
      <c r="X252">
        <v>1.7</v>
      </c>
      <c r="Y252">
        <v>9.6</v>
      </c>
      <c r="AP252">
        <v>3.2</v>
      </c>
      <c r="AQ252">
        <v>6.1</v>
      </c>
      <c r="AR252">
        <v>1.5</v>
      </c>
      <c r="AS252">
        <v>3.4</v>
      </c>
      <c r="AT252">
        <v>1.8</v>
      </c>
      <c r="AU252">
        <v>2.2000000000000002</v>
      </c>
      <c r="AV252">
        <v>4.8</v>
      </c>
      <c r="AW252">
        <v>1.5</v>
      </c>
      <c r="AX252">
        <v>9.6</v>
      </c>
    </row>
    <row r="253" spans="1:50" x14ac:dyDescent="0.2">
      <c r="A253" s="1" t="s">
        <v>274</v>
      </c>
      <c r="B253" s="1" t="s">
        <v>43</v>
      </c>
      <c r="C253">
        <v>27</v>
      </c>
      <c r="D253" s="1" t="s">
        <v>85</v>
      </c>
      <c r="E253">
        <v>55</v>
      </c>
      <c r="F253">
        <v>44</v>
      </c>
      <c r="G253">
        <v>21.7</v>
      </c>
      <c r="H253">
        <v>3.8</v>
      </c>
      <c r="I253">
        <v>5.7</v>
      </c>
      <c r="J253">
        <v>0.65500000000000003</v>
      </c>
      <c r="K253">
        <v>0</v>
      </c>
      <c r="L253">
        <v>0</v>
      </c>
      <c r="N253">
        <v>2</v>
      </c>
      <c r="O253">
        <v>2.9</v>
      </c>
      <c r="P253">
        <v>0.68300000000000005</v>
      </c>
      <c r="Q253">
        <v>2.5</v>
      </c>
      <c r="R253">
        <v>4.4000000000000004</v>
      </c>
      <c r="S253">
        <v>6.9</v>
      </c>
      <c r="T253">
        <v>1.1000000000000001</v>
      </c>
      <c r="U253">
        <v>0.8</v>
      </c>
      <c r="V253">
        <v>1.3</v>
      </c>
      <c r="W253">
        <v>1.1000000000000001</v>
      </c>
      <c r="X253">
        <v>2.6</v>
      </c>
      <c r="Y253">
        <v>9.5</v>
      </c>
      <c r="AP253">
        <v>3.8</v>
      </c>
      <c r="AQ253">
        <v>5.7</v>
      </c>
      <c r="AR253">
        <v>0</v>
      </c>
      <c r="AS253">
        <v>0</v>
      </c>
      <c r="AT253">
        <v>2</v>
      </c>
      <c r="AU253">
        <v>2.9</v>
      </c>
      <c r="AV253">
        <v>6.9</v>
      </c>
      <c r="AW253">
        <v>1.1000000000000001</v>
      </c>
      <c r="AX253">
        <v>9.5</v>
      </c>
    </row>
    <row r="254" spans="1:50" x14ac:dyDescent="0.2">
      <c r="A254" s="1" t="s">
        <v>275</v>
      </c>
      <c r="B254" s="1" t="s">
        <v>43</v>
      </c>
      <c r="C254">
        <v>27</v>
      </c>
      <c r="D254" s="1" t="s">
        <v>68</v>
      </c>
      <c r="E254">
        <v>81</v>
      </c>
      <c r="F254">
        <v>47</v>
      </c>
      <c r="G254">
        <v>20.9</v>
      </c>
      <c r="H254">
        <v>3.5</v>
      </c>
      <c r="I254">
        <v>7.4</v>
      </c>
      <c r="J254">
        <v>0.47599999999999998</v>
      </c>
      <c r="K254">
        <v>1.4</v>
      </c>
      <c r="L254">
        <v>4.5</v>
      </c>
      <c r="M254">
        <v>0.318</v>
      </c>
      <c r="N254">
        <v>1</v>
      </c>
      <c r="O254">
        <v>1.2</v>
      </c>
      <c r="P254">
        <v>0.82299999999999995</v>
      </c>
      <c r="Q254">
        <v>0.9</v>
      </c>
      <c r="R254">
        <v>3.1</v>
      </c>
      <c r="S254">
        <v>4</v>
      </c>
      <c r="T254">
        <v>1.5</v>
      </c>
      <c r="U254">
        <v>0.5</v>
      </c>
      <c r="V254">
        <v>1.8</v>
      </c>
      <c r="W254">
        <v>0.9</v>
      </c>
      <c r="X254">
        <v>2.2999999999999998</v>
      </c>
      <c r="Y254">
        <v>9.5</v>
      </c>
      <c r="AP254">
        <v>3.5</v>
      </c>
      <c r="AQ254">
        <v>7.4</v>
      </c>
      <c r="AR254">
        <v>1.4</v>
      </c>
      <c r="AS254">
        <v>4.5</v>
      </c>
      <c r="AT254">
        <v>1</v>
      </c>
      <c r="AU254">
        <v>1.2</v>
      </c>
      <c r="AV254">
        <v>4</v>
      </c>
      <c r="AW254">
        <v>1.5</v>
      </c>
      <c r="AX254">
        <v>9.5</v>
      </c>
    </row>
    <row r="255" spans="1:50" x14ac:dyDescent="0.2">
      <c r="A255" s="1" t="s">
        <v>276</v>
      </c>
      <c r="B255" s="1" t="s">
        <v>34</v>
      </c>
      <c r="C255">
        <v>20</v>
      </c>
      <c r="D255" s="1" t="s">
        <v>74</v>
      </c>
      <c r="E255">
        <v>66</v>
      </c>
      <c r="F255">
        <v>45</v>
      </c>
      <c r="G255">
        <v>22.4</v>
      </c>
      <c r="H255">
        <v>3.6</v>
      </c>
      <c r="I255">
        <v>8</v>
      </c>
      <c r="J255">
        <v>0.45300000000000001</v>
      </c>
      <c r="K255">
        <v>1.4</v>
      </c>
      <c r="L255">
        <v>3.9</v>
      </c>
      <c r="M255">
        <v>0.36899999999999999</v>
      </c>
      <c r="N255">
        <v>0.9</v>
      </c>
      <c r="O255">
        <v>1.4</v>
      </c>
      <c r="P255">
        <v>0.64400000000000002</v>
      </c>
      <c r="Q255">
        <v>1</v>
      </c>
      <c r="R255">
        <v>2.7</v>
      </c>
      <c r="S255">
        <v>3.8</v>
      </c>
      <c r="T255">
        <v>1.1000000000000001</v>
      </c>
      <c r="U255">
        <v>0.9</v>
      </c>
      <c r="V255">
        <v>0.5</v>
      </c>
      <c r="W255">
        <v>0.8</v>
      </c>
      <c r="X255">
        <v>2.2000000000000002</v>
      </c>
      <c r="Y255">
        <v>9.5</v>
      </c>
      <c r="AP255">
        <v>3.6</v>
      </c>
      <c r="AQ255">
        <v>8</v>
      </c>
      <c r="AR255">
        <v>1.4</v>
      </c>
      <c r="AS255">
        <v>3.9</v>
      </c>
      <c r="AT255">
        <v>0.9</v>
      </c>
      <c r="AU255">
        <v>1.4</v>
      </c>
      <c r="AV255">
        <v>3.8</v>
      </c>
      <c r="AW255">
        <v>1.1000000000000001</v>
      </c>
      <c r="AX255">
        <v>9.5</v>
      </c>
    </row>
    <row r="256" spans="1:50" x14ac:dyDescent="0.2">
      <c r="A256" s="1" t="s">
        <v>277</v>
      </c>
      <c r="B256" s="1" t="s">
        <v>26</v>
      </c>
      <c r="C256">
        <v>23</v>
      </c>
      <c r="D256" s="1" t="s">
        <v>104</v>
      </c>
      <c r="E256">
        <v>40</v>
      </c>
      <c r="F256">
        <v>12</v>
      </c>
      <c r="G256">
        <v>20.100000000000001</v>
      </c>
      <c r="H256">
        <v>3.2</v>
      </c>
      <c r="I256">
        <v>6.7</v>
      </c>
      <c r="J256">
        <v>0.47199999999999998</v>
      </c>
      <c r="K256">
        <v>1.5</v>
      </c>
      <c r="L256">
        <v>3.3</v>
      </c>
      <c r="M256">
        <v>0.439</v>
      </c>
      <c r="N256">
        <v>1.7</v>
      </c>
      <c r="O256">
        <v>2</v>
      </c>
      <c r="P256">
        <v>0.82499999999999996</v>
      </c>
      <c r="Q256">
        <v>0.9</v>
      </c>
      <c r="R256">
        <v>2.2999999999999998</v>
      </c>
      <c r="S256">
        <v>3.1</v>
      </c>
      <c r="T256">
        <v>3.8</v>
      </c>
      <c r="U256">
        <v>0.8</v>
      </c>
      <c r="V256">
        <v>0.2</v>
      </c>
      <c r="W256">
        <v>1.4</v>
      </c>
      <c r="X256">
        <v>1.6</v>
      </c>
      <c r="Y256">
        <v>9.5</v>
      </c>
      <c r="AP256">
        <v>3.2</v>
      </c>
      <c r="AQ256">
        <v>6.7</v>
      </c>
      <c r="AR256">
        <v>1.5</v>
      </c>
      <c r="AS256">
        <v>3.3</v>
      </c>
      <c r="AT256">
        <v>1.7</v>
      </c>
      <c r="AU256">
        <v>2</v>
      </c>
      <c r="AV256">
        <v>3.1</v>
      </c>
      <c r="AW256">
        <v>3.8</v>
      </c>
      <c r="AX256">
        <v>9.5</v>
      </c>
    </row>
    <row r="257" spans="1:50" x14ac:dyDescent="0.2">
      <c r="A257" s="1" t="s">
        <v>278</v>
      </c>
      <c r="B257" s="1" t="s">
        <v>31</v>
      </c>
      <c r="C257">
        <v>27</v>
      </c>
      <c r="D257" s="1" t="s">
        <v>29</v>
      </c>
      <c r="E257">
        <v>64</v>
      </c>
      <c r="F257">
        <v>20</v>
      </c>
      <c r="G257">
        <v>21.7</v>
      </c>
      <c r="H257">
        <v>3.6</v>
      </c>
      <c r="I257">
        <v>8.3000000000000007</v>
      </c>
      <c r="J257">
        <v>0.435</v>
      </c>
      <c r="K257">
        <v>1.5</v>
      </c>
      <c r="L257">
        <v>4.2</v>
      </c>
      <c r="M257">
        <v>0.35599999999999998</v>
      </c>
      <c r="N257">
        <v>0.8</v>
      </c>
      <c r="O257">
        <v>1.1000000000000001</v>
      </c>
      <c r="P257">
        <v>0.73599999999999999</v>
      </c>
      <c r="Q257">
        <v>0.6</v>
      </c>
      <c r="R257">
        <v>2.5</v>
      </c>
      <c r="S257">
        <v>3.1</v>
      </c>
      <c r="T257">
        <v>1.6</v>
      </c>
      <c r="U257">
        <v>0.9</v>
      </c>
      <c r="V257">
        <v>0.4</v>
      </c>
      <c r="W257">
        <v>1.2</v>
      </c>
      <c r="X257">
        <v>1.3</v>
      </c>
      <c r="Y257">
        <v>9.5</v>
      </c>
      <c r="AP257">
        <v>3.6</v>
      </c>
      <c r="AQ257">
        <v>8.3000000000000007</v>
      </c>
      <c r="AR257">
        <v>1.5</v>
      </c>
      <c r="AS257">
        <v>4.2</v>
      </c>
      <c r="AT257">
        <v>0.8</v>
      </c>
      <c r="AU257">
        <v>1.1000000000000001</v>
      </c>
      <c r="AV257">
        <v>3.1</v>
      </c>
      <c r="AW257">
        <v>1.6</v>
      </c>
      <c r="AX257">
        <v>9.5</v>
      </c>
    </row>
    <row r="258" spans="1:50" x14ac:dyDescent="0.2">
      <c r="A258" s="1" t="s">
        <v>279</v>
      </c>
      <c r="B258" s="1" t="s">
        <v>26</v>
      </c>
      <c r="C258">
        <v>24</v>
      </c>
      <c r="D258" s="1" t="s">
        <v>64</v>
      </c>
      <c r="E258">
        <v>71</v>
      </c>
      <c r="F258">
        <v>19</v>
      </c>
      <c r="G258">
        <v>20.2</v>
      </c>
      <c r="H258">
        <v>3.3</v>
      </c>
      <c r="I258">
        <v>7.9</v>
      </c>
      <c r="J258">
        <v>0.41199999999999998</v>
      </c>
      <c r="K258">
        <v>1</v>
      </c>
      <c r="L258">
        <v>2.7</v>
      </c>
      <c r="M258">
        <v>0.376</v>
      </c>
      <c r="N258">
        <v>1.9</v>
      </c>
      <c r="O258">
        <v>2.2999999999999998</v>
      </c>
      <c r="P258">
        <v>0.83199999999999996</v>
      </c>
      <c r="Q258">
        <v>0.7</v>
      </c>
      <c r="R258">
        <v>1.6</v>
      </c>
      <c r="S258">
        <v>2.2999999999999998</v>
      </c>
      <c r="T258">
        <v>3.9</v>
      </c>
      <c r="U258">
        <v>0.9</v>
      </c>
      <c r="V258">
        <v>0.2</v>
      </c>
      <c r="W258">
        <v>1.6</v>
      </c>
      <c r="X258">
        <v>1.5</v>
      </c>
      <c r="Y258">
        <v>9.4</v>
      </c>
      <c r="AP258">
        <v>3.3</v>
      </c>
      <c r="AQ258">
        <v>7.9</v>
      </c>
      <c r="AR258">
        <v>1</v>
      </c>
      <c r="AS258">
        <v>2.7</v>
      </c>
      <c r="AT258">
        <v>1.9</v>
      </c>
      <c r="AU258">
        <v>2.2999999999999998</v>
      </c>
      <c r="AV258">
        <v>2.2999999999999998</v>
      </c>
      <c r="AW258">
        <v>3.9</v>
      </c>
      <c r="AX258">
        <v>9.4</v>
      </c>
    </row>
    <row r="259" spans="1:50" x14ac:dyDescent="0.2">
      <c r="A259" s="1" t="s">
        <v>280</v>
      </c>
      <c r="B259" s="1" t="s">
        <v>26</v>
      </c>
      <c r="C259">
        <v>33</v>
      </c>
      <c r="D259" s="1" t="s">
        <v>68</v>
      </c>
      <c r="E259">
        <v>56</v>
      </c>
      <c r="F259">
        <v>4</v>
      </c>
      <c r="G259">
        <v>17.2</v>
      </c>
      <c r="H259">
        <v>4.3</v>
      </c>
      <c r="I259">
        <v>8</v>
      </c>
      <c r="J259">
        <v>0.53800000000000003</v>
      </c>
      <c r="K259">
        <v>0.3</v>
      </c>
      <c r="L259">
        <v>0.9</v>
      </c>
      <c r="M259">
        <v>0.32</v>
      </c>
      <c r="N259">
        <v>0.4</v>
      </c>
      <c r="O259">
        <v>0.5</v>
      </c>
      <c r="P259">
        <v>0.86199999999999999</v>
      </c>
      <c r="Q259">
        <v>0.4</v>
      </c>
      <c r="R259">
        <v>1.8</v>
      </c>
      <c r="S259">
        <v>2.2000000000000002</v>
      </c>
      <c r="T259">
        <v>5.0999999999999996</v>
      </c>
      <c r="U259">
        <v>1</v>
      </c>
      <c r="V259">
        <v>0.2</v>
      </c>
      <c r="W259">
        <v>1.1000000000000001</v>
      </c>
      <c r="X259">
        <v>1.1000000000000001</v>
      </c>
      <c r="Y259">
        <v>9.4</v>
      </c>
      <c r="AP259">
        <v>4.3</v>
      </c>
      <c r="AQ259">
        <v>8</v>
      </c>
      <c r="AR259">
        <v>0.3</v>
      </c>
      <c r="AS259">
        <v>0.9</v>
      </c>
      <c r="AT259">
        <v>0.4</v>
      </c>
      <c r="AU259">
        <v>0.5</v>
      </c>
      <c r="AV259">
        <v>2.2000000000000002</v>
      </c>
      <c r="AW259">
        <v>5.0999999999999996</v>
      </c>
      <c r="AX259">
        <v>9.4</v>
      </c>
    </row>
    <row r="260" spans="1:50" x14ac:dyDescent="0.2">
      <c r="A260" s="1" t="s">
        <v>281</v>
      </c>
      <c r="B260" s="1" t="s">
        <v>34</v>
      </c>
      <c r="C260">
        <v>28</v>
      </c>
      <c r="D260" s="1" t="s">
        <v>49</v>
      </c>
      <c r="E260">
        <v>50</v>
      </c>
      <c r="F260">
        <v>41</v>
      </c>
      <c r="G260">
        <v>23.1</v>
      </c>
      <c r="H260">
        <v>3.5</v>
      </c>
      <c r="I260">
        <v>7.2</v>
      </c>
      <c r="J260">
        <v>0.47799999999999998</v>
      </c>
      <c r="K260">
        <v>2</v>
      </c>
      <c r="L260">
        <v>4.8</v>
      </c>
      <c r="M260">
        <v>0.40799999999999997</v>
      </c>
      <c r="N260">
        <v>0.5</v>
      </c>
      <c r="O260">
        <v>0.6</v>
      </c>
      <c r="P260">
        <v>0.89300000000000002</v>
      </c>
      <c r="Q260">
        <v>0.7</v>
      </c>
      <c r="R260">
        <v>1.8</v>
      </c>
      <c r="S260">
        <v>2.5</v>
      </c>
      <c r="T260">
        <v>1.9</v>
      </c>
      <c r="U260">
        <v>0.5</v>
      </c>
      <c r="V260">
        <v>0.1</v>
      </c>
      <c r="W260">
        <v>0.8</v>
      </c>
      <c r="X260">
        <v>1.3</v>
      </c>
      <c r="Y260">
        <v>9.4</v>
      </c>
      <c r="AP260">
        <v>3.5</v>
      </c>
      <c r="AQ260">
        <v>7.2</v>
      </c>
      <c r="AR260">
        <v>2</v>
      </c>
      <c r="AS260">
        <v>4.8</v>
      </c>
      <c r="AT260">
        <v>0.5</v>
      </c>
      <c r="AU260">
        <v>0.6</v>
      </c>
      <c r="AV260">
        <v>2.5</v>
      </c>
      <c r="AW260">
        <v>1.9</v>
      </c>
      <c r="AX260">
        <v>9.4</v>
      </c>
    </row>
    <row r="261" spans="1:50" x14ac:dyDescent="0.2">
      <c r="A261" s="1" t="s">
        <v>282</v>
      </c>
      <c r="B261" s="1" t="s">
        <v>31</v>
      </c>
      <c r="C261">
        <v>31</v>
      </c>
      <c r="D261" s="1" t="s">
        <v>27</v>
      </c>
      <c r="E261">
        <v>61</v>
      </c>
      <c r="F261">
        <v>53</v>
      </c>
      <c r="G261">
        <v>28.6</v>
      </c>
      <c r="H261">
        <v>3.1</v>
      </c>
      <c r="I261">
        <v>7.7</v>
      </c>
      <c r="J261">
        <v>0.39900000000000002</v>
      </c>
      <c r="K261">
        <v>1.6</v>
      </c>
      <c r="L261">
        <v>4.7</v>
      </c>
      <c r="M261">
        <v>0.33300000000000002</v>
      </c>
      <c r="N261">
        <v>1.7</v>
      </c>
      <c r="O261">
        <v>2.1</v>
      </c>
      <c r="P261">
        <v>0.81899999999999995</v>
      </c>
      <c r="Q261">
        <v>0.6</v>
      </c>
      <c r="R261">
        <v>2.2000000000000002</v>
      </c>
      <c r="S261">
        <v>2.8</v>
      </c>
      <c r="T261">
        <v>2.9</v>
      </c>
      <c r="U261">
        <v>1.4</v>
      </c>
      <c r="V261">
        <v>0.4</v>
      </c>
      <c r="W261">
        <v>1.5</v>
      </c>
      <c r="X261">
        <v>2.6</v>
      </c>
      <c r="Y261">
        <v>9.4</v>
      </c>
      <c r="AP261">
        <v>3.1</v>
      </c>
      <c r="AQ261">
        <v>7.7</v>
      </c>
      <c r="AR261">
        <v>1.6</v>
      </c>
      <c r="AS261">
        <v>4.7</v>
      </c>
      <c r="AT261">
        <v>1.7</v>
      </c>
      <c r="AU261">
        <v>2.1</v>
      </c>
      <c r="AV261">
        <v>2.8</v>
      </c>
      <c r="AW261">
        <v>2.9</v>
      </c>
      <c r="AX261">
        <v>9.4</v>
      </c>
    </row>
    <row r="262" spans="1:50" x14ac:dyDescent="0.2">
      <c r="A262" s="1" t="s">
        <v>283</v>
      </c>
      <c r="B262" s="1" t="s">
        <v>26</v>
      </c>
      <c r="C262">
        <v>27</v>
      </c>
      <c r="D262" s="1" t="s">
        <v>79</v>
      </c>
      <c r="E262">
        <v>69</v>
      </c>
      <c r="F262">
        <v>69</v>
      </c>
      <c r="G262">
        <v>28.6</v>
      </c>
      <c r="H262">
        <v>3.7</v>
      </c>
      <c r="I262">
        <v>7.6</v>
      </c>
      <c r="J262">
        <v>0.48599999999999999</v>
      </c>
      <c r="K262">
        <v>1.3</v>
      </c>
      <c r="L262">
        <v>3.3</v>
      </c>
      <c r="M262">
        <v>0.38900000000000001</v>
      </c>
      <c r="N262">
        <v>0.6</v>
      </c>
      <c r="O262">
        <v>0.9</v>
      </c>
      <c r="P262">
        <v>0.64600000000000002</v>
      </c>
      <c r="Q262">
        <v>0.5</v>
      </c>
      <c r="R262">
        <v>2.2000000000000002</v>
      </c>
      <c r="S262">
        <v>2.7</v>
      </c>
      <c r="T262">
        <v>6.6</v>
      </c>
      <c r="U262">
        <v>1</v>
      </c>
      <c r="V262">
        <v>0.2</v>
      </c>
      <c r="W262">
        <v>1.6</v>
      </c>
      <c r="X262">
        <v>2.6</v>
      </c>
      <c r="Y262">
        <v>9.3000000000000007</v>
      </c>
      <c r="AP262">
        <v>3.7</v>
      </c>
      <c r="AQ262">
        <v>7.6</v>
      </c>
      <c r="AR262">
        <v>1.3</v>
      </c>
      <c r="AS262">
        <v>3.3</v>
      </c>
      <c r="AT262">
        <v>0.6</v>
      </c>
      <c r="AU262">
        <v>0.9</v>
      </c>
      <c r="AV262">
        <v>2.7</v>
      </c>
      <c r="AW262">
        <v>6.6</v>
      </c>
      <c r="AX262">
        <v>9.3000000000000007</v>
      </c>
    </row>
    <row r="263" spans="1:50" x14ac:dyDescent="0.2">
      <c r="A263" s="1" t="s">
        <v>284</v>
      </c>
      <c r="B263" s="1" t="s">
        <v>31</v>
      </c>
      <c r="C263">
        <v>25</v>
      </c>
      <c r="D263" s="1" t="s">
        <v>128</v>
      </c>
      <c r="E263">
        <v>63</v>
      </c>
      <c r="F263">
        <v>62</v>
      </c>
      <c r="G263">
        <v>26.9</v>
      </c>
      <c r="H263">
        <v>3.3</v>
      </c>
      <c r="I263">
        <v>7.3</v>
      </c>
      <c r="J263">
        <v>0.46</v>
      </c>
      <c r="K263">
        <v>1.2</v>
      </c>
      <c r="L263">
        <v>3.5</v>
      </c>
      <c r="M263">
        <v>0.33</v>
      </c>
      <c r="N263">
        <v>1.4</v>
      </c>
      <c r="O263">
        <v>1.8</v>
      </c>
      <c r="P263">
        <v>0.79500000000000004</v>
      </c>
      <c r="Q263">
        <v>1.1000000000000001</v>
      </c>
      <c r="R263">
        <v>1.7</v>
      </c>
      <c r="S263">
        <v>2.7</v>
      </c>
      <c r="T263">
        <v>1.6</v>
      </c>
      <c r="U263">
        <v>0.7</v>
      </c>
      <c r="V263">
        <v>0.5</v>
      </c>
      <c r="W263">
        <v>0.7</v>
      </c>
      <c r="X263">
        <v>2.6</v>
      </c>
      <c r="Y263">
        <v>9.3000000000000007</v>
      </c>
      <c r="AP263">
        <v>3.3</v>
      </c>
      <c r="AQ263">
        <v>7.3</v>
      </c>
      <c r="AR263">
        <v>1.2</v>
      </c>
      <c r="AS263">
        <v>3.5</v>
      </c>
      <c r="AT263">
        <v>1.4</v>
      </c>
      <c r="AU263">
        <v>1.8</v>
      </c>
      <c r="AV263">
        <v>2.7</v>
      </c>
      <c r="AW263">
        <v>1.6</v>
      </c>
      <c r="AX263">
        <v>9.3000000000000007</v>
      </c>
    </row>
    <row r="264" spans="1:50" x14ac:dyDescent="0.2">
      <c r="A264" s="1" t="s">
        <v>285</v>
      </c>
      <c r="B264" s="1" t="s">
        <v>31</v>
      </c>
      <c r="C264">
        <v>28</v>
      </c>
      <c r="D264" s="1" t="s">
        <v>55</v>
      </c>
      <c r="E264">
        <v>51</v>
      </c>
      <c r="F264">
        <v>12</v>
      </c>
      <c r="G264">
        <v>23</v>
      </c>
      <c r="H264">
        <v>3.1</v>
      </c>
      <c r="I264">
        <v>7.1</v>
      </c>
      <c r="J264">
        <v>0.437</v>
      </c>
      <c r="K264">
        <v>2</v>
      </c>
      <c r="L264">
        <v>5.2</v>
      </c>
      <c r="M264">
        <v>0.39200000000000002</v>
      </c>
      <c r="N264">
        <v>1.1000000000000001</v>
      </c>
      <c r="O264">
        <v>1.5</v>
      </c>
      <c r="P264">
        <v>0.71099999999999997</v>
      </c>
      <c r="Q264">
        <v>0.5</v>
      </c>
      <c r="R264">
        <v>1.4</v>
      </c>
      <c r="S264">
        <v>1.8</v>
      </c>
      <c r="T264">
        <v>1.4</v>
      </c>
      <c r="U264">
        <v>0.6</v>
      </c>
      <c r="V264">
        <v>0.2</v>
      </c>
      <c r="W264">
        <v>0.6</v>
      </c>
      <c r="X264">
        <v>1.5</v>
      </c>
      <c r="Y264">
        <v>9.3000000000000007</v>
      </c>
      <c r="AP264">
        <v>3.1</v>
      </c>
      <c r="AQ264">
        <v>7.1</v>
      </c>
      <c r="AR264">
        <v>2</v>
      </c>
      <c r="AS264">
        <v>5.2</v>
      </c>
      <c r="AT264">
        <v>1.1000000000000001</v>
      </c>
      <c r="AU264">
        <v>1.5</v>
      </c>
      <c r="AV264">
        <v>1.8</v>
      </c>
      <c r="AW264">
        <v>1.4</v>
      </c>
      <c r="AX264">
        <v>9.3000000000000007</v>
      </c>
    </row>
    <row r="265" spans="1:50" x14ac:dyDescent="0.2">
      <c r="A265" s="1" t="s">
        <v>286</v>
      </c>
      <c r="B265" s="1" t="s">
        <v>31</v>
      </c>
      <c r="C265">
        <v>23</v>
      </c>
      <c r="D265" s="1" t="s">
        <v>70</v>
      </c>
      <c r="E265">
        <v>56</v>
      </c>
      <c r="F265">
        <v>4</v>
      </c>
      <c r="G265">
        <v>15.8</v>
      </c>
      <c r="H265">
        <v>3.2</v>
      </c>
      <c r="I265">
        <v>7.6</v>
      </c>
      <c r="J265">
        <v>0.42599999999999999</v>
      </c>
      <c r="K265">
        <v>1.8</v>
      </c>
      <c r="L265">
        <v>4.5999999999999996</v>
      </c>
      <c r="M265">
        <v>0.39500000000000002</v>
      </c>
      <c r="N265">
        <v>1</v>
      </c>
      <c r="O265">
        <v>1.3</v>
      </c>
      <c r="P265">
        <v>0.753</v>
      </c>
      <c r="Q265">
        <v>0.3</v>
      </c>
      <c r="R265">
        <v>1.3</v>
      </c>
      <c r="S265">
        <v>1.5</v>
      </c>
      <c r="T265">
        <v>1</v>
      </c>
      <c r="U265">
        <v>0.3</v>
      </c>
      <c r="V265">
        <v>0.1</v>
      </c>
      <c r="W265">
        <v>1.1000000000000001</v>
      </c>
      <c r="X265">
        <v>1.5</v>
      </c>
      <c r="Y265">
        <v>9.1999999999999993</v>
      </c>
      <c r="AP265">
        <v>3.2</v>
      </c>
      <c r="AQ265">
        <v>7.6</v>
      </c>
      <c r="AR265">
        <v>1.8</v>
      </c>
      <c r="AS265">
        <v>4.5999999999999996</v>
      </c>
      <c r="AT265">
        <v>1</v>
      </c>
      <c r="AU265">
        <v>1.3</v>
      </c>
      <c r="AV265">
        <v>1.5</v>
      </c>
      <c r="AW265">
        <v>1</v>
      </c>
      <c r="AX265">
        <v>9.1999999999999993</v>
      </c>
    </row>
    <row r="266" spans="1:50" x14ac:dyDescent="0.2">
      <c r="A266" s="1" t="s">
        <v>286</v>
      </c>
      <c r="B266" s="1" t="s">
        <v>31</v>
      </c>
      <c r="C266">
        <v>23</v>
      </c>
      <c r="D266" s="1" t="s">
        <v>85</v>
      </c>
      <c r="E266">
        <v>34</v>
      </c>
      <c r="F266">
        <v>4</v>
      </c>
      <c r="G266">
        <v>12.6</v>
      </c>
      <c r="H266">
        <v>2.2999999999999998</v>
      </c>
      <c r="I266">
        <v>5.7</v>
      </c>
      <c r="J266">
        <v>0.40200000000000002</v>
      </c>
      <c r="K266">
        <v>1.4</v>
      </c>
      <c r="L266">
        <v>3.6</v>
      </c>
      <c r="M266">
        <v>0.371</v>
      </c>
      <c r="N266">
        <v>0.9</v>
      </c>
      <c r="O266">
        <v>1.2</v>
      </c>
      <c r="P266">
        <v>0.77500000000000002</v>
      </c>
      <c r="Q266">
        <v>0.3</v>
      </c>
      <c r="R266">
        <v>1.1000000000000001</v>
      </c>
      <c r="S266">
        <v>1.4</v>
      </c>
      <c r="T266">
        <v>0.9</v>
      </c>
      <c r="U266">
        <v>0.3</v>
      </c>
      <c r="V266">
        <v>0.1</v>
      </c>
      <c r="W266">
        <v>0.8</v>
      </c>
      <c r="X266">
        <v>1.1000000000000001</v>
      </c>
      <c r="Y266">
        <v>6.9</v>
      </c>
      <c r="AP266">
        <v>2.2999999999999998</v>
      </c>
      <c r="AQ266">
        <v>5.7</v>
      </c>
      <c r="AR266">
        <v>1.4</v>
      </c>
      <c r="AS266">
        <v>3.6</v>
      </c>
      <c r="AT266">
        <v>0.9</v>
      </c>
      <c r="AU266">
        <v>1.2</v>
      </c>
      <c r="AV266">
        <v>1.4</v>
      </c>
      <c r="AW266">
        <v>0.9</v>
      </c>
      <c r="AX266">
        <v>6.9</v>
      </c>
    </row>
    <row r="267" spans="1:50" x14ac:dyDescent="0.2">
      <c r="A267" s="1" t="s">
        <v>286</v>
      </c>
      <c r="B267" s="1" t="s">
        <v>31</v>
      </c>
      <c r="C267">
        <v>23</v>
      </c>
      <c r="D267" s="1" t="s">
        <v>113</v>
      </c>
      <c r="E267">
        <v>22</v>
      </c>
      <c r="F267">
        <v>0</v>
      </c>
      <c r="G267">
        <v>20.6</v>
      </c>
      <c r="H267">
        <v>4.5999999999999996</v>
      </c>
      <c r="I267">
        <v>10.4</v>
      </c>
      <c r="J267">
        <v>0.44500000000000001</v>
      </c>
      <c r="K267">
        <v>2.5</v>
      </c>
      <c r="L267">
        <v>6.1</v>
      </c>
      <c r="M267">
        <v>0.41799999999999998</v>
      </c>
      <c r="N267">
        <v>1.1000000000000001</v>
      </c>
      <c r="O267">
        <v>1.5</v>
      </c>
      <c r="P267">
        <v>0.72699999999999998</v>
      </c>
      <c r="Q267">
        <v>0.2</v>
      </c>
      <c r="R267">
        <v>1.5</v>
      </c>
      <c r="S267">
        <v>1.7</v>
      </c>
      <c r="T267">
        <v>1.2</v>
      </c>
      <c r="U267">
        <v>0.3</v>
      </c>
      <c r="V267">
        <v>0.2</v>
      </c>
      <c r="W267">
        <v>1.6</v>
      </c>
      <c r="X267">
        <v>2</v>
      </c>
      <c r="Y267">
        <v>12.9</v>
      </c>
      <c r="AP267">
        <v>4.5999999999999996</v>
      </c>
      <c r="AQ267">
        <v>10.4</v>
      </c>
      <c r="AR267">
        <v>2.5</v>
      </c>
      <c r="AS267">
        <v>6.1</v>
      </c>
      <c r="AT267">
        <v>1.1000000000000001</v>
      </c>
      <c r="AU267">
        <v>1.5</v>
      </c>
      <c r="AV267">
        <v>1.7</v>
      </c>
      <c r="AW267">
        <v>1.2</v>
      </c>
      <c r="AX267">
        <v>12.9</v>
      </c>
    </row>
    <row r="268" spans="1:50" x14ac:dyDescent="0.2">
      <c r="A268" s="1" t="s">
        <v>287</v>
      </c>
      <c r="B268" s="1" t="s">
        <v>43</v>
      </c>
      <c r="C268">
        <v>27</v>
      </c>
      <c r="D268" s="1" t="s">
        <v>29</v>
      </c>
      <c r="E268">
        <v>47</v>
      </c>
      <c r="F268">
        <v>46</v>
      </c>
      <c r="G268">
        <v>24.2</v>
      </c>
      <c r="H268">
        <v>3.9</v>
      </c>
      <c r="I268">
        <v>6.3</v>
      </c>
      <c r="J268">
        <v>0.622</v>
      </c>
      <c r="K268">
        <v>0</v>
      </c>
      <c r="L268">
        <v>0.1</v>
      </c>
      <c r="M268">
        <v>0</v>
      </c>
      <c r="N268">
        <v>1.4</v>
      </c>
      <c r="O268">
        <v>2.2000000000000002</v>
      </c>
      <c r="P268">
        <v>0.61</v>
      </c>
      <c r="Q268">
        <v>3.2</v>
      </c>
      <c r="R268">
        <v>6.3</v>
      </c>
      <c r="S268">
        <v>9.4</v>
      </c>
      <c r="T268">
        <v>3.5</v>
      </c>
      <c r="U268">
        <v>1</v>
      </c>
      <c r="V268">
        <v>0.8</v>
      </c>
      <c r="W268">
        <v>1.7</v>
      </c>
      <c r="X268">
        <v>2.5</v>
      </c>
      <c r="Y268">
        <v>9.1999999999999993</v>
      </c>
      <c r="AP268">
        <v>3.9</v>
      </c>
      <c r="AQ268">
        <v>6.3</v>
      </c>
      <c r="AR268">
        <v>0</v>
      </c>
      <c r="AS268">
        <v>0.1</v>
      </c>
      <c r="AT268">
        <v>1.4</v>
      </c>
      <c r="AU268">
        <v>2.2000000000000002</v>
      </c>
      <c r="AV268">
        <v>9.4</v>
      </c>
      <c r="AW268">
        <v>3.5</v>
      </c>
      <c r="AX268">
        <v>9.1999999999999993</v>
      </c>
    </row>
    <row r="269" spans="1:50" x14ac:dyDescent="0.2">
      <c r="A269" s="1" t="s">
        <v>288</v>
      </c>
      <c r="B269" s="1" t="s">
        <v>23</v>
      </c>
      <c r="C269">
        <v>28</v>
      </c>
      <c r="D269" s="1" t="s">
        <v>35</v>
      </c>
      <c r="E269">
        <v>78</v>
      </c>
      <c r="F269">
        <v>49</v>
      </c>
      <c r="G269">
        <v>24.8</v>
      </c>
      <c r="H269">
        <v>3.2</v>
      </c>
      <c r="I269">
        <v>7.7</v>
      </c>
      <c r="J269">
        <v>0.41899999999999998</v>
      </c>
      <c r="K269">
        <v>2.5</v>
      </c>
      <c r="L269">
        <v>6.5</v>
      </c>
      <c r="M269">
        <v>0.39300000000000002</v>
      </c>
      <c r="N269">
        <v>0.2</v>
      </c>
      <c r="O269">
        <v>0.3</v>
      </c>
      <c r="P269">
        <v>0.85</v>
      </c>
      <c r="Q269">
        <v>0.7</v>
      </c>
      <c r="R269">
        <v>3.1</v>
      </c>
      <c r="S269">
        <v>3.8</v>
      </c>
      <c r="T269">
        <v>1.5</v>
      </c>
      <c r="U269">
        <v>0.5</v>
      </c>
      <c r="V269">
        <v>0.3</v>
      </c>
      <c r="W269">
        <v>0.4</v>
      </c>
      <c r="X269">
        <v>1.4</v>
      </c>
      <c r="Y269">
        <v>9.1999999999999993</v>
      </c>
      <c r="AP269">
        <v>3.2</v>
      </c>
      <c r="AQ269">
        <v>7.7</v>
      </c>
      <c r="AR269">
        <v>2.5</v>
      </c>
      <c r="AS269">
        <v>6.5</v>
      </c>
      <c r="AT269">
        <v>0.2</v>
      </c>
      <c r="AU269">
        <v>0.3</v>
      </c>
      <c r="AV269">
        <v>3.8</v>
      </c>
      <c r="AW269">
        <v>1.5</v>
      </c>
      <c r="AX269">
        <v>9.1999999999999993</v>
      </c>
    </row>
    <row r="270" spans="1:50" x14ac:dyDescent="0.2">
      <c r="A270" s="1" t="s">
        <v>289</v>
      </c>
      <c r="B270" s="1" t="s">
        <v>23</v>
      </c>
      <c r="C270">
        <v>23</v>
      </c>
      <c r="D270" s="1" t="s">
        <v>51</v>
      </c>
      <c r="E270">
        <v>67</v>
      </c>
      <c r="F270">
        <v>30</v>
      </c>
      <c r="G270">
        <v>20.6</v>
      </c>
      <c r="H270">
        <v>3.4</v>
      </c>
      <c r="I270">
        <v>6.8</v>
      </c>
      <c r="J270">
        <v>0.5</v>
      </c>
      <c r="K270">
        <v>1.2</v>
      </c>
      <c r="L270">
        <v>3.3</v>
      </c>
      <c r="M270">
        <v>0.35099999999999998</v>
      </c>
      <c r="N270">
        <v>1.3</v>
      </c>
      <c r="O270">
        <v>1.8</v>
      </c>
      <c r="P270">
        <v>0.72899999999999998</v>
      </c>
      <c r="Q270">
        <v>1.1000000000000001</v>
      </c>
      <c r="R270">
        <v>2.8</v>
      </c>
      <c r="S270">
        <v>3.9</v>
      </c>
      <c r="T270">
        <v>2.2999999999999998</v>
      </c>
      <c r="U270">
        <v>0.9</v>
      </c>
      <c r="V270">
        <v>0.3</v>
      </c>
      <c r="W270">
        <v>1.5</v>
      </c>
      <c r="X270">
        <v>2.1</v>
      </c>
      <c r="Y270">
        <v>9.1999999999999993</v>
      </c>
      <c r="AP270">
        <v>3.4</v>
      </c>
      <c r="AQ270">
        <v>6.8</v>
      </c>
      <c r="AR270">
        <v>1.2</v>
      </c>
      <c r="AS270">
        <v>3.3</v>
      </c>
      <c r="AT270">
        <v>1.3</v>
      </c>
      <c r="AU270">
        <v>1.8</v>
      </c>
      <c r="AV270">
        <v>3.9</v>
      </c>
      <c r="AW270">
        <v>2.2999999999999998</v>
      </c>
      <c r="AX270">
        <v>9.1999999999999993</v>
      </c>
    </row>
    <row r="271" spans="1:50" x14ac:dyDescent="0.2">
      <c r="A271" s="1" t="s">
        <v>290</v>
      </c>
      <c r="B271" s="1" t="s">
        <v>34</v>
      </c>
      <c r="C271">
        <v>21</v>
      </c>
      <c r="D271" s="1" t="s">
        <v>113</v>
      </c>
      <c r="E271">
        <v>21</v>
      </c>
      <c r="F271">
        <v>0</v>
      </c>
      <c r="G271">
        <v>16.899999999999999</v>
      </c>
      <c r="H271">
        <v>3.7</v>
      </c>
      <c r="I271">
        <v>8</v>
      </c>
      <c r="J271">
        <v>0.45600000000000002</v>
      </c>
      <c r="K271">
        <v>0.8</v>
      </c>
      <c r="L271">
        <v>2.7</v>
      </c>
      <c r="M271">
        <v>0.28599999999999998</v>
      </c>
      <c r="N271">
        <v>1.1000000000000001</v>
      </c>
      <c r="O271">
        <v>1.5</v>
      </c>
      <c r="P271">
        <v>0.74199999999999999</v>
      </c>
      <c r="Q271">
        <v>0.9</v>
      </c>
      <c r="R271">
        <v>1.9</v>
      </c>
      <c r="S271">
        <v>2.8</v>
      </c>
      <c r="T271">
        <v>0.7</v>
      </c>
      <c r="U271">
        <v>0.7</v>
      </c>
      <c r="V271">
        <v>0.4</v>
      </c>
      <c r="W271">
        <v>0.9</v>
      </c>
      <c r="X271">
        <v>1.2</v>
      </c>
      <c r="Y271">
        <v>9.1999999999999993</v>
      </c>
      <c r="AP271">
        <v>3.7</v>
      </c>
      <c r="AQ271">
        <v>8</v>
      </c>
      <c r="AR271">
        <v>0.8</v>
      </c>
      <c r="AS271">
        <v>2.7</v>
      </c>
      <c r="AT271">
        <v>1.1000000000000001</v>
      </c>
      <c r="AU271">
        <v>1.5</v>
      </c>
      <c r="AV271">
        <v>2.8</v>
      </c>
      <c r="AW271">
        <v>0.7</v>
      </c>
      <c r="AX271">
        <v>9.1999999999999993</v>
      </c>
    </row>
    <row r="272" spans="1:50" x14ac:dyDescent="0.2">
      <c r="A272" s="1" t="s">
        <v>291</v>
      </c>
      <c r="B272" s="1" t="s">
        <v>34</v>
      </c>
      <c r="C272">
        <v>26</v>
      </c>
      <c r="D272" s="1" t="s">
        <v>70</v>
      </c>
      <c r="E272">
        <v>57</v>
      </c>
      <c r="F272">
        <v>9</v>
      </c>
      <c r="G272">
        <v>18.399999999999999</v>
      </c>
      <c r="H272">
        <v>3.1</v>
      </c>
      <c r="I272">
        <v>6.7</v>
      </c>
      <c r="J272">
        <v>0.46300000000000002</v>
      </c>
      <c r="K272">
        <v>1.4</v>
      </c>
      <c r="L272">
        <v>4</v>
      </c>
      <c r="M272">
        <v>0.36</v>
      </c>
      <c r="N272">
        <v>1.3</v>
      </c>
      <c r="O272">
        <v>1.6</v>
      </c>
      <c r="P272">
        <v>0.79800000000000004</v>
      </c>
      <c r="Q272">
        <v>0.5</v>
      </c>
      <c r="R272">
        <v>1.8</v>
      </c>
      <c r="S272">
        <v>2.2999999999999998</v>
      </c>
      <c r="T272">
        <v>1.6</v>
      </c>
      <c r="U272">
        <v>0.3</v>
      </c>
      <c r="V272">
        <v>0.2</v>
      </c>
      <c r="W272">
        <v>0.8</v>
      </c>
      <c r="X272">
        <v>1</v>
      </c>
      <c r="Y272">
        <v>9</v>
      </c>
      <c r="AP272">
        <v>3.1</v>
      </c>
      <c r="AQ272">
        <v>6.7</v>
      </c>
      <c r="AR272">
        <v>1.4</v>
      </c>
      <c r="AS272">
        <v>4</v>
      </c>
      <c r="AT272">
        <v>1.3</v>
      </c>
      <c r="AU272">
        <v>1.6</v>
      </c>
      <c r="AV272">
        <v>2.2999999999999998</v>
      </c>
      <c r="AW272">
        <v>1.6</v>
      </c>
      <c r="AX272">
        <v>9</v>
      </c>
    </row>
    <row r="273" spans="1:50" x14ac:dyDescent="0.2">
      <c r="A273" s="1" t="s">
        <v>291</v>
      </c>
      <c r="B273" s="1" t="s">
        <v>34</v>
      </c>
      <c r="C273">
        <v>26</v>
      </c>
      <c r="D273" s="1" t="s">
        <v>113</v>
      </c>
      <c r="E273">
        <v>19</v>
      </c>
      <c r="F273">
        <v>2</v>
      </c>
      <c r="G273">
        <v>19.5</v>
      </c>
      <c r="H273">
        <v>3.1</v>
      </c>
      <c r="I273">
        <v>6.3</v>
      </c>
      <c r="J273">
        <v>0.496</v>
      </c>
      <c r="K273">
        <v>1.6</v>
      </c>
      <c r="L273">
        <v>4</v>
      </c>
      <c r="M273">
        <v>0.39500000000000002</v>
      </c>
      <c r="N273">
        <v>1.4</v>
      </c>
      <c r="O273">
        <v>1.8</v>
      </c>
      <c r="P273">
        <v>0.76500000000000001</v>
      </c>
      <c r="Q273">
        <v>0.3</v>
      </c>
      <c r="R273">
        <v>2</v>
      </c>
      <c r="S273">
        <v>2.2999999999999998</v>
      </c>
      <c r="T273">
        <v>1.7</v>
      </c>
      <c r="U273">
        <v>0.4</v>
      </c>
      <c r="V273">
        <v>0.2</v>
      </c>
      <c r="W273">
        <v>0.7</v>
      </c>
      <c r="X273">
        <v>1.1000000000000001</v>
      </c>
      <c r="Y273">
        <v>9.1999999999999993</v>
      </c>
      <c r="AP273">
        <v>3.1</v>
      </c>
      <c r="AQ273">
        <v>6.3</v>
      </c>
      <c r="AR273">
        <v>1.6</v>
      </c>
      <c r="AS273">
        <v>4</v>
      </c>
      <c r="AT273">
        <v>1.4</v>
      </c>
      <c r="AU273">
        <v>1.8</v>
      </c>
      <c r="AV273">
        <v>2.2999999999999998</v>
      </c>
      <c r="AW273">
        <v>1.7</v>
      </c>
      <c r="AX273">
        <v>9.1999999999999993</v>
      </c>
    </row>
    <row r="274" spans="1:50" x14ac:dyDescent="0.2">
      <c r="A274" s="1" t="s">
        <v>291</v>
      </c>
      <c r="B274" s="1" t="s">
        <v>34</v>
      </c>
      <c r="C274">
        <v>26</v>
      </c>
      <c r="D274" s="1" t="s">
        <v>74</v>
      </c>
      <c r="E274">
        <v>38</v>
      </c>
      <c r="F274">
        <v>7</v>
      </c>
      <c r="G274">
        <v>17.899999999999999</v>
      </c>
      <c r="H274">
        <v>3.1</v>
      </c>
      <c r="I274">
        <v>6.9</v>
      </c>
      <c r="J274">
        <v>0.44900000000000001</v>
      </c>
      <c r="K274">
        <v>1.4</v>
      </c>
      <c r="L274">
        <v>4</v>
      </c>
      <c r="M274">
        <v>0.34200000000000003</v>
      </c>
      <c r="N274">
        <v>1.3</v>
      </c>
      <c r="O274">
        <v>1.6</v>
      </c>
      <c r="P274">
        <v>0.81699999999999995</v>
      </c>
      <c r="Q274">
        <v>0.5</v>
      </c>
      <c r="R274">
        <v>1.7</v>
      </c>
      <c r="S274">
        <v>2.2000000000000002</v>
      </c>
      <c r="T274">
        <v>1.5</v>
      </c>
      <c r="U274">
        <v>0.2</v>
      </c>
      <c r="V274">
        <v>0.2</v>
      </c>
      <c r="W274">
        <v>0.8</v>
      </c>
      <c r="X274">
        <v>1</v>
      </c>
      <c r="Y274">
        <v>8.9</v>
      </c>
      <c r="AP274">
        <v>3.1</v>
      </c>
      <c r="AQ274">
        <v>6.9</v>
      </c>
      <c r="AR274">
        <v>1.4</v>
      </c>
      <c r="AS274">
        <v>4</v>
      </c>
      <c r="AT274">
        <v>1.3</v>
      </c>
      <c r="AU274">
        <v>1.6</v>
      </c>
      <c r="AV274">
        <v>2.2000000000000002</v>
      </c>
      <c r="AW274">
        <v>1.5</v>
      </c>
      <c r="AX274">
        <v>8.9</v>
      </c>
    </row>
    <row r="275" spans="1:50" x14ac:dyDescent="0.2">
      <c r="A275" s="1" t="s">
        <v>292</v>
      </c>
      <c r="B275" s="1" t="s">
        <v>34</v>
      </c>
      <c r="C275">
        <v>31</v>
      </c>
      <c r="D275" s="1" t="s">
        <v>46</v>
      </c>
      <c r="E275">
        <v>25</v>
      </c>
      <c r="F275">
        <v>6</v>
      </c>
      <c r="G275">
        <v>23.2</v>
      </c>
      <c r="H275">
        <v>3.2</v>
      </c>
      <c r="I275">
        <v>7.1</v>
      </c>
      <c r="J275">
        <v>0.45800000000000002</v>
      </c>
      <c r="K275">
        <v>2.2999999999999998</v>
      </c>
      <c r="L275">
        <v>5.2</v>
      </c>
      <c r="M275">
        <v>0.44600000000000001</v>
      </c>
      <c r="N275">
        <v>0.2</v>
      </c>
      <c r="O275">
        <v>0.2</v>
      </c>
      <c r="P275">
        <v>1</v>
      </c>
      <c r="Q275">
        <v>0.2</v>
      </c>
      <c r="R275">
        <v>2.9</v>
      </c>
      <c r="S275">
        <v>3</v>
      </c>
      <c r="T275">
        <v>1.8</v>
      </c>
      <c r="U275">
        <v>0.6</v>
      </c>
      <c r="V275">
        <v>0.2</v>
      </c>
      <c r="W275">
        <v>1.2</v>
      </c>
      <c r="X275">
        <v>1.9</v>
      </c>
      <c r="Y275">
        <v>9</v>
      </c>
      <c r="AP275">
        <v>3.2</v>
      </c>
      <c r="AQ275">
        <v>7.1</v>
      </c>
      <c r="AR275">
        <v>2.2999999999999998</v>
      </c>
      <c r="AS275">
        <v>5.2</v>
      </c>
      <c r="AT275">
        <v>0.2</v>
      </c>
      <c r="AU275">
        <v>0.2</v>
      </c>
      <c r="AV275">
        <v>3</v>
      </c>
      <c r="AW275">
        <v>1.8</v>
      </c>
      <c r="AX275">
        <v>9</v>
      </c>
    </row>
    <row r="276" spans="1:50" x14ac:dyDescent="0.2">
      <c r="A276" s="1" t="s">
        <v>293</v>
      </c>
      <c r="B276" s="1" t="s">
        <v>43</v>
      </c>
      <c r="C276">
        <v>22</v>
      </c>
      <c r="D276" s="1" t="s">
        <v>113</v>
      </c>
      <c r="E276">
        <v>49</v>
      </c>
      <c r="F276">
        <v>12</v>
      </c>
      <c r="G276">
        <v>13.7</v>
      </c>
      <c r="H276">
        <v>3.1</v>
      </c>
      <c r="I276">
        <v>6.5</v>
      </c>
      <c r="J276">
        <v>0.47899999999999998</v>
      </c>
      <c r="K276">
        <v>1</v>
      </c>
      <c r="L276">
        <v>2.9</v>
      </c>
      <c r="M276">
        <v>0.34699999999999998</v>
      </c>
      <c r="N276">
        <v>1.8</v>
      </c>
      <c r="O276">
        <v>2.2999999999999998</v>
      </c>
      <c r="P276">
        <v>0.78400000000000003</v>
      </c>
      <c r="Q276">
        <v>0.7</v>
      </c>
      <c r="R276">
        <v>2.2999999999999998</v>
      </c>
      <c r="S276">
        <v>3</v>
      </c>
      <c r="T276">
        <v>1.1000000000000001</v>
      </c>
      <c r="U276">
        <v>0.5</v>
      </c>
      <c r="V276">
        <v>0.7</v>
      </c>
      <c r="W276">
        <v>1.3</v>
      </c>
      <c r="X276">
        <v>1.7</v>
      </c>
      <c r="Y276">
        <v>9</v>
      </c>
      <c r="AP276">
        <v>3.1</v>
      </c>
      <c r="AQ276">
        <v>6.5</v>
      </c>
      <c r="AR276">
        <v>1</v>
      </c>
      <c r="AS276">
        <v>2.9</v>
      </c>
      <c r="AT276">
        <v>1.8</v>
      </c>
      <c r="AU276">
        <v>2.2999999999999998</v>
      </c>
      <c r="AV276">
        <v>3</v>
      </c>
      <c r="AW276">
        <v>1.1000000000000001</v>
      </c>
      <c r="AX276">
        <v>9</v>
      </c>
    </row>
    <row r="277" spans="1:50" x14ac:dyDescent="0.2">
      <c r="A277" s="1" t="s">
        <v>294</v>
      </c>
      <c r="B277" s="1" t="s">
        <v>26</v>
      </c>
      <c r="C277">
        <v>23</v>
      </c>
      <c r="D277" s="1" t="s">
        <v>109</v>
      </c>
      <c r="E277">
        <v>37</v>
      </c>
      <c r="F277">
        <v>11</v>
      </c>
      <c r="G277">
        <v>18</v>
      </c>
      <c r="H277">
        <v>3.2</v>
      </c>
      <c r="I277">
        <v>7.5</v>
      </c>
      <c r="J277">
        <v>0.42399999999999999</v>
      </c>
      <c r="K277">
        <v>0.8</v>
      </c>
      <c r="L277">
        <v>3</v>
      </c>
      <c r="M277">
        <v>0.27</v>
      </c>
      <c r="N277">
        <v>1.8</v>
      </c>
      <c r="O277">
        <v>2.4</v>
      </c>
      <c r="P277">
        <v>0.73</v>
      </c>
      <c r="Q277">
        <v>0.9</v>
      </c>
      <c r="R277">
        <v>2.4</v>
      </c>
      <c r="S277">
        <v>3.2</v>
      </c>
      <c r="T277">
        <v>2.5</v>
      </c>
      <c r="U277">
        <v>0.9</v>
      </c>
      <c r="V277">
        <v>0.2</v>
      </c>
      <c r="W277">
        <v>1.4</v>
      </c>
      <c r="X277">
        <v>1.3</v>
      </c>
      <c r="Y277">
        <v>8.9</v>
      </c>
      <c r="AP277">
        <v>3.2</v>
      </c>
      <c r="AQ277">
        <v>7.5</v>
      </c>
      <c r="AR277">
        <v>0.8</v>
      </c>
      <c r="AS277">
        <v>3</v>
      </c>
      <c r="AT277">
        <v>1.8</v>
      </c>
      <c r="AU277">
        <v>2.4</v>
      </c>
      <c r="AV277">
        <v>3.2</v>
      </c>
      <c r="AW277">
        <v>2.5</v>
      </c>
      <c r="AX277">
        <v>8.9</v>
      </c>
    </row>
    <row r="278" spans="1:50" x14ac:dyDescent="0.2">
      <c r="A278" s="1" t="s">
        <v>295</v>
      </c>
      <c r="B278" s="1" t="s">
        <v>26</v>
      </c>
      <c r="C278">
        <v>27</v>
      </c>
      <c r="D278" s="1" t="s">
        <v>68</v>
      </c>
      <c r="E278">
        <v>48</v>
      </c>
      <c r="F278">
        <v>18</v>
      </c>
      <c r="G278">
        <v>18.100000000000001</v>
      </c>
      <c r="H278">
        <v>3.1</v>
      </c>
      <c r="I278">
        <v>6.5</v>
      </c>
      <c r="J278">
        <v>0.47</v>
      </c>
      <c r="K278">
        <v>0.9</v>
      </c>
      <c r="L278">
        <v>2.4</v>
      </c>
      <c r="M278">
        <v>0.36</v>
      </c>
      <c r="N278">
        <v>1.9</v>
      </c>
      <c r="O278">
        <v>2.4</v>
      </c>
      <c r="P278">
        <v>0.81399999999999995</v>
      </c>
      <c r="Q278">
        <v>0.6</v>
      </c>
      <c r="R278">
        <v>1.8</v>
      </c>
      <c r="S278">
        <v>2.4</v>
      </c>
      <c r="T278">
        <v>2.8</v>
      </c>
      <c r="U278">
        <v>0.6</v>
      </c>
      <c r="V278">
        <v>0.1</v>
      </c>
      <c r="W278">
        <v>1.3</v>
      </c>
      <c r="X278">
        <v>1.7</v>
      </c>
      <c r="Y278">
        <v>8.9</v>
      </c>
      <c r="AP278">
        <v>3.1</v>
      </c>
      <c r="AQ278">
        <v>6.5</v>
      </c>
      <c r="AR278">
        <v>0.9</v>
      </c>
      <c r="AS278">
        <v>2.4</v>
      </c>
      <c r="AT278">
        <v>1.9</v>
      </c>
      <c r="AU278">
        <v>2.4</v>
      </c>
      <c r="AV278">
        <v>2.4</v>
      </c>
      <c r="AW278">
        <v>2.8</v>
      </c>
      <c r="AX278">
        <v>8.9</v>
      </c>
    </row>
    <row r="279" spans="1:50" x14ac:dyDescent="0.2">
      <c r="A279" s="1" t="s">
        <v>296</v>
      </c>
      <c r="B279" s="1" t="s">
        <v>34</v>
      </c>
      <c r="C279">
        <v>27</v>
      </c>
      <c r="D279" s="1" t="s">
        <v>81</v>
      </c>
      <c r="E279">
        <v>56</v>
      </c>
      <c r="F279">
        <v>56</v>
      </c>
      <c r="G279">
        <v>28.4</v>
      </c>
      <c r="H279">
        <v>3.3</v>
      </c>
      <c r="I279">
        <v>8.5</v>
      </c>
      <c r="J279">
        <v>0.38300000000000001</v>
      </c>
      <c r="K279">
        <v>1.4</v>
      </c>
      <c r="L279">
        <v>4.5999999999999996</v>
      </c>
      <c r="M279">
        <v>0.309</v>
      </c>
      <c r="N279">
        <v>0.9</v>
      </c>
      <c r="O279">
        <v>1.1000000000000001</v>
      </c>
      <c r="P279">
        <v>0.80600000000000005</v>
      </c>
      <c r="Q279">
        <v>0.8</v>
      </c>
      <c r="R279">
        <v>2.6</v>
      </c>
      <c r="S279">
        <v>3.4</v>
      </c>
      <c r="T279">
        <v>2.8</v>
      </c>
      <c r="U279">
        <v>1.6</v>
      </c>
      <c r="V279">
        <v>0.5</v>
      </c>
      <c r="W279">
        <v>1.3</v>
      </c>
      <c r="X279">
        <v>3.2</v>
      </c>
      <c r="Y279">
        <v>8.9</v>
      </c>
      <c r="AP279">
        <v>3.3</v>
      </c>
      <c r="AQ279">
        <v>8.5</v>
      </c>
      <c r="AR279">
        <v>1.4</v>
      </c>
      <c r="AS279">
        <v>4.5999999999999996</v>
      </c>
      <c r="AT279">
        <v>0.9</v>
      </c>
      <c r="AU279">
        <v>1.1000000000000001</v>
      </c>
      <c r="AV279">
        <v>3.4</v>
      </c>
      <c r="AW279">
        <v>2.8</v>
      </c>
      <c r="AX279">
        <v>8.9</v>
      </c>
    </row>
    <row r="280" spans="1:50" x14ac:dyDescent="0.2">
      <c r="A280" s="1" t="s">
        <v>297</v>
      </c>
      <c r="B280" s="1" t="s">
        <v>26</v>
      </c>
      <c r="C280">
        <v>19</v>
      </c>
      <c r="D280" s="1" t="s">
        <v>66</v>
      </c>
      <c r="E280">
        <v>56</v>
      </c>
      <c r="F280">
        <v>31</v>
      </c>
      <c r="G280">
        <v>22.2</v>
      </c>
      <c r="H280">
        <v>3.3</v>
      </c>
      <c r="I280">
        <v>8.6</v>
      </c>
      <c r="J280">
        <v>0.38</v>
      </c>
      <c r="K280">
        <v>1.1000000000000001</v>
      </c>
      <c r="L280">
        <v>3.4</v>
      </c>
      <c r="M280">
        <v>0.318</v>
      </c>
      <c r="N280">
        <v>1.3</v>
      </c>
      <c r="O280">
        <v>1.7</v>
      </c>
      <c r="P280">
        <v>0.78700000000000003</v>
      </c>
      <c r="Q280">
        <v>0.3</v>
      </c>
      <c r="R280">
        <v>1.5</v>
      </c>
      <c r="S280">
        <v>1.8</v>
      </c>
      <c r="T280">
        <v>3.8</v>
      </c>
      <c r="U280">
        <v>0.8</v>
      </c>
      <c r="V280">
        <v>0.4</v>
      </c>
      <c r="W280">
        <v>2.2999999999999998</v>
      </c>
      <c r="X280">
        <v>2.1</v>
      </c>
      <c r="Y280">
        <v>8.9</v>
      </c>
      <c r="AP280">
        <v>3.3</v>
      </c>
      <c r="AQ280">
        <v>8.6</v>
      </c>
      <c r="AR280">
        <v>1.1000000000000001</v>
      </c>
      <c r="AS280">
        <v>3.4</v>
      </c>
      <c r="AT280">
        <v>1.3</v>
      </c>
      <c r="AU280">
        <v>1.7</v>
      </c>
      <c r="AV280">
        <v>1.8</v>
      </c>
      <c r="AW280">
        <v>3.8</v>
      </c>
      <c r="AX280">
        <v>8.9</v>
      </c>
    </row>
    <row r="281" spans="1:50" x14ac:dyDescent="0.2">
      <c r="A281" s="1" t="s">
        <v>298</v>
      </c>
      <c r="B281" s="1" t="s">
        <v>23</v>
      </c>
      <c r="C281">
        <v>21</v>
      </c>
      <c r="D281" s="1" t="s">
        <v>66</v>
      </c>
      <c r="E281">
        <v>57</v>
      </c>
      <c r="F281">
        <v>15</v>
      </c>
      <c r="G281">
        <v>20.8</v>
      </c>
      <c r="H281">
        <v>3.1</v>
      </c>
      <c r="I281">
        <v>7.7</v>
      </c>
      <c r="J281">
        <v>0.40500000000000003</v>
      </c>
      <c r="K281">
        <v>1.2</v>
      </c>
      <c r="L281">
        <v>3.7</v>
      </c>
      <c r="M281">
        <v>0.32200000000000001</v>
      </c>
      <c r="N281">
        <v>1.5</v>
      </c>
      <c r="O281">
        <v>1.9</v>
      </c>
      <c r="P281">
        <v>0.77100000000000002</v>
      </c>
      <c r="Q281">
        <v>1</v>
      </c>
      <c r="R281">
        <v>3.9</v>
      </c>
      <c r="S281">
        <v>4.9000000000000004</v>
      </c>
      <c r="T281">
        <v>2.2000000000000002</v>
      </c>
      <c r="U281">
        <v>0.5</v>
      </c>
      <c r="V281">
        <v>0.6</v>
      </c>
      <c r="W281">
        <v>1.3</v>
      </c>
      <c r="X281">
        <v>2.2000000000000002</v>
      </c>
      <c r="Y281">
        <v>8.9</v>
      </c>
      <c r="AP281">
        <v>3.1</v>
      </c>
      <c r="AQ281">
        <v>7.7</v>
      </c>
      <c r="AR281">
        <v>1.2</v>
      </c>
      <c r="AS281">
        <v>3.7</v>
      </c>
      <c r="AT281">
        <v>1.5</v>
      </c>
      <c r="AU281">
        <v>1.9</v>
      </c>
      <c r="AV281">
        <v>4.9000000000000004</v>
      </c>
      <c r="AW281">
        <v>2.2000000000000002</v>
      </c>
      <c r="AX281">
        <v>8.9</v>
      </c>
    </row>
    <row r="282" spans="1:50" x14ac:dyDescent="0.2">
      <c r="A282" s="1" t="s">
        <v>299</v>
      </c>
      <c r="B282" s="1" t="s">
        <v>31</v>
      </c>
      <c r="C282">
        <v>33</v>
      </c>
      <c r="D282" s="1" t="s">
        <v>55</v>
      </c>
      <c r="E282">
        <v>71</v>
      </c>
      <c r="F282">
        <v>1</v>
      </c>
      <c r="G282">
        <v>17.8</v>
      </c>
      <c r="H282">
        <v>3.3</v>
      </c>
      <c r="I282">
        <v>7.3</v>
      </c>
      <c r="J282">
        <v>0.45300000000000001</v>
      </c>
      <c r="K282">
        <v>1</v>
      </c>
      <c r="L282">
        <v>3</v>
      </c>
      <c r="M282">
        <v>0.32900000000000001</v>
      </c>
      <c r="N282">
        <v>1.1000000000000001</v>
      </c>
      <c r="O282">
        <v>1.3</v>
      </c>
      <c r="P282">
        <v>0.83</v>
      </c>
      <c r="Q282">
        <v>0.9</v>
      </c>
      <c r="R282">
        <v>0.9</v>
      </c>
      <c r="S282">
        <v>1.7</v>
      </c>
      <c r="T282">
        <v>1.4</v>
      </c>
      <c r="U282">
        <v>0.4</v>
      </c>
      <c r="V282">
        <v>0.1</v>
      </c>
      <c r="W282">
        <v>0.9</v>
      </c>
      <c r="X282">
        <v>1.7</v>
      </c>
      <c r="Y282">
        <v>8.6999999999999993</v>
      </c>
      <c r="AP282">
        <v>3.3</v>
      </c>
      <c r="AQ282">
        <v>7.3</v>
      </c>
      <c r="AR282">
        <v>1</v>
      </c>
      <c r="AS282">
        <v>3</v>
      </c>
      <c r="AT282">
        <v>1.1000000000000001</v>
      </c>
      <c r="AU282">
        <v>1.3</v>
      </c>
      <c r="AV282">
        <v>1.7</v>
      </c>
      <c r="AW282">
        <v>1.4</v>
      </c>
      <c r="AX282">
        <v>8.6999999999999993</v>
      </c>
    </row>
    <row r="283" spans="1:50" x14ac:dyDescent="0.2">
      <c r="A283" s="1" t="s">
        <v>300</v>
      </c>
      <c r="B283" s="1" t="s">
        <v>26</v>
      </c>
      <c r="C283">
        <v>27</v>
      </c>
      <c r="D283" s="1" t="s">
        <v>53</v>
      </c>
      <c r="E283">
        <v>70</v>
      </c>
      <c r="F283">
        <v>10</v>
      </c>
      <c r="G283">
        <v>22.5</v>
      </c>
      <c r="H283">
        <v>3.3</v>
      </c>
      <c r="I283">
        <v>7.9</v>
      </c>
      <c r="J283">
        <v>0.41299999999999998</v>
      </c>
      <c r="K283">
        <v>1.6</v>
      </c>
      <c r="L283">
        <v>4.3</v>
      </c>
      <c r="M283">
        <v>0.371</v>
      </c>
      <c r="N283">
        <v>0.6</v>
      </c>
      <c r="O283">
        <v>0.8</v>
      </c>
      <c r="P283">
        <v>0.69599999999999995</v>
      </c>
      <c r="Q283">
        <v>2</v>
      </c>
      <c r="R283">
        <v>2.9</v>
      </c>
      <c r="S283">
        <v>4.9000000000000004</v>
      </c>
      <c r="T283">
        <v>2.2000000000000002</v>
      </c>
      <c r="U283">
        <v>1.5</v>
      </c>
      <c r="V283">
        <v>0.2</v>
      </c>
      <c r="W283">
        <v>1</v>
      </c>
      <c r="X283">
        <v>1.9</v>
      </c>
      <c r="Y283">
        <v>8.6999999999999993</v>
      </c>
      <c r="AP283">
        <v>3.3</v>
      </c>
      <c r="AQ283">
        <v>7.9</v>
      </c>
      <c r="AR283">
        <v>1.6</v>
      </c>
      <c r="AS283">
        <v>4.3</v>
      </c>
      <c r="AT283">
        <v>0.6</v>
      </c>
      <c r="AU283">
        <v>0.8</v>
      </c>
      <c r="AV283">
        <v>4.9000000000000004</v>
      </c>
      <c r="AW283">
        <v>2.2000000000000002</v>
      </c>
      <c r="AX283">
        <v>8.6999999999999993</v>
      </c>
    </row>
    <row r="284" spans="1:50" x14ac:dyDescent="0.2">
      <c r="A284" s="1" t="s">
        <v>301</v>
      </c>
      <c r="B284" s="1" t="s">
        <v>43</v>
      </c>
      <c r="C284">
        <v>24</v>
      </c>
      <c r="D284" s="1" t="s">
        <v>66</v>
      </c>
      <c r="E284">
        <v>62</v>
      </c>
      <c r="F284">
        <v>7</v>
      </c>
      <c r="G284">
        <v>18.7</v>
      </c>
      <c r="H284">
        <v>3.5</v>
      </c>
      <c r="I284">
        <v>5.7</v>
      </c>
      <c r="J284">
        <v>0.60099999999999998</v>
      </c>
      <c r="K284">
        <v>0.1</v>
      </c>
      <c r="L284">
        <v>0.6</v>
      </c>
      <c r="M284">
        <v>0.23100000000000001</v>
      </c>
      <c r="N284">
        <v>1.7</v>
      </c>
      <c r="O284">
        <v>2.5</v>
      </c>
      <c r="P284">
        <v>0.67800000000000005</v>
      </c>
      <c r="Q284">
        <v>2.8</v>
      </c>
      <c r="R284">
        <v>3.9</v>
      </c>
      <c r="S284">
        <v>6.7</v>
      </c>
      <c r="T284">
        <v>2.2999999999999998</v>
      </c>
      <c r="U284">
        <v>1.1000000000000001</v>
      </c>
      <c r="V284">
        <v>0.4</v>
      </c>
      <c r="W284">
        <v>1.7</v>
      </c>
      <c r="X284">
        <v>2.4</v>
      </c>
      <c r="Y284">
        <v>8.6999999999999993</v>
      </c>
      <c r="AP284">
        <v>3.5</v>
      </c>
      <c r="AQ284">
        <v>5.7</v>
      </c>
      <c r="AR284">
        <v>0.1</v>
      </c>
      <c r="AS284">
        <v>0.6</v>
      </c>
      <c r="AT284">
        <v>1.7</v>
      </c>
      <c r="AU284">
        <v>2.5</v>
      </c>
      <c r="AV284">
        <v>6.7</v>
      </c>
      <c r="AW284">
        <v>2.2999999999999998</v>
      </c>
      <c r="AX284">
        <v>8.6999999999999993</v>
      </c>
    </row>
    <row r="285" spans="1:50" x14ac:dyDescent="0.2">
      <c r="A285" s="1" t="s">
        <v>302</v>
      </c>
      <c r="B285" s="1" t="s">
        <v>31</v>
      </c>
      <c r="C285">
        <v>21</v>
      </c>
      <c r="D285" s="1" t="s">
        <v>49</v>
      </c>
      <c r="E285">
        <v>66</v>
      </c>
      <c r="F285">
        <v>40</v>
      </c>
      <c r="G285">
        <v>24.1</v>
      </c>
      <c r="H285">
        <v>3.5</v>
      </c>
      <c r="I285">
        <v>7.5</v>
      </c>
      <c r="J285">
        <v>0.47199999999999998</v>
      </c>
      <c r="K285">
        <v>0.4</v>
      </c>
      <c r="L285">
        <v>2</v>
      </c>
      <c r="M285">
        <v>0.217</v>
      </c>
      <c r="N285">
        <v>1.2</v>
      </c>
      <c r="O285">
        <v>1.7</v>
      </c>
      <c r="P285">
        <v>0.69599999999999995</v>
      </c>
      <c r="Q285">
        <v>0.9</v>
      </c>
      <c r="R285">
        <v>2</v>
      </c>
      <c r="S285">
        <v>3</v>
      </c>
      <c r="T285">
        <v>2</v>
      </c>
      <c r="U285">
        <v>0.7</v>
      </c>
      <c r="V285">
        <v>0.4</v>
      </c>
      <c r="W285">
        <v>1.1000000000000001</v>
      </c>
      <c r="X285">
        <v>1.8</v>
      </c>
      <c r="Y285">
        <v>8.6999999999999993</v>
      </c>
      <c r="AP285">
        <v>3.5</v>
      </c>
      <c r="AQ285">
        <v>7.5</v>
      </c>
      <c r="AR285">
        <v>0.4</v>
      </c>
      <c r="AS285">
        <v>2</v>
      </c>
      <c r="AT285">
        <v>1.2</v>
      </c>
      <c r="AU285">
        <v>1.7</v>
      </c>
      <c r="AV285">
        <v>3</v>
      </c>
      <c r="AW285">
        <v>2</v>
      </c>
      <c r="AX285">
        <v>8.6999999999999993</v>
      </c>
    </row>
    <row r="286" spans="1:50" x14ac:dyDescent="0.2">
      <c r="A286" s="1" t="s">
        <v>303</v>
      </c>
      <c r="B286" s="1" t="s">
        <v>26</v>
      </c>
      <c r="C286">
        <v>25</v>
      </c>
      <c r="D286" s="1" t="s">
        <v>70</v>
      </c>
      <c r="E286">
        <v>64</v>
      </c>
      <c r="F286">
        <v>8</v>
      </c>
      <c r="G286">
        <v>21.7</v>
      </c>
      <c r="H286">
        <v>3</v>
      </c>
      <c r="I286">
        <v>6.7</v>
      </c>
      <c r="J286">
        <v>0.44800000000000001</v>
      </c>
      <c r="K286">
        <v>2</v>
      </c>
      <c r="L286">
        <v>5.0999999999999996</v>
      </c>
      <c r="M286">
        <v>0.39100000000000001</v>
      </c>
      <c r="N286">
        <v>0.6</v>
      </c>
      <c r="O286">
        <v>0.8</v>
      </c>
      <c r="P286">
        <v>0.745</v>
      </c>
      <c r="Q286">
        <v>0.5</v>
      </c>
      <c r="R286">
        <v>1.8</v>
      </c>
      <c r="S286">
        <v>2.2999999999999998</v>
      </c>
      <c r="T286">
        <v>1.6</v>
      </c>
      <c r="U286">
        <v>0.7</v>
      </c>
      <c r="V286">
        <v>0.3</v>
      </c>
      <c r="W286">
        <v>0.6</v>
      </c>
      <c r="X286">
        <v>2.1</v>
      </c>
      <c r="Y286">
        <v>8.6</v>
      </c>
      <c r="AP286">
        <v>3</v>
      </c>
      <c r="AQ286">
        <v>6.7</v>
      </c>
      <c r="AR286">
        <v>2</v>
      </c>
      <c r="AS286">
        <v>5.0999999999999996</v>
      </c>
      <c r="AT286">
        <v>0.6</v>
      </c>
      <c r="AU286">
        <v>0.8</v>
      </c>
      <c r="AV286">
        <v>2.2999999999999998</v>
      </c>
      <c r="AW286">
        <v>1.6</v>
      </c>
      <c r="AX286">
        <v>8.6</v>
      </c>
    </row>
    <row r="287" spans="1:50" x14ac:dyDescent="0.2">
      <c r="A287" s="1" t="s">
        <v>303</v>
      </c>
      <c r="B287" s="1" t="s">
        <v>26</v>
      </c>
      <c r="C287">
        <v>25</v>
      </c>
      <c r="D287" s="1" t="s">
        <v>74</v>
      </c>
      <c r="E287">
        <v>46</v>
      </c>
      <c r="F287">
        <v>8</v>
      </c>
      <c r="G287">
        <v>22.3</v>
      </c>
      <c r="H287">
        <v>3.1</v>
      </c>
      <c r="I287">
        <v>6.7</v>
      </c>
      <c r="J287">
        <v>0.46400000000000002</v>
      </c>
      <c r="K287">
        <v>2.2000000000000002</v>
      </c>
      <c r="L287">
        <v>5.2</v>
      </c>
      <c r="M287">
        <v>0.42299999999999999</v>
      </c>
      <c r="N287">
        <v>0.6</v>
      </c>
      <c r="O287">
        <v>0.8</v>
      </c>
      <c r="P287">
        <v>0.75</v>
      </c>
      <c r="Q287">
        <v>0.4</v>
      </c>
      <c r="R287">
        <v>1.7</v>
      </c>
      <c r="S287">
        <v>2.1</v>
      </c>
      <c r="T287">
        <v>1.5</v>
      </c>
      <c r="U287">
        <v>0.8</v>
      </c>
      <c r="V287">
        <v>0.3</v>
      </c>
      <c r="W287">
        <v>0.7</v>
      </c>
      <c r="X287">
        <v>2.2999999999999998</v>
      </c>
      <c r="Y287">
        <v>9</v>
      </c>
      <c r="AP287">
        <v>3.1</v>
      </c>
      <c r="AQ287">
        <v>6.7</v>
      </c>
      <c r="AR287">
        <v>2.2000000000000002</v>
      </c>
      <c r="AS287">
        <v>5.2</v>
      </c>
      <c r="AT287">
        <v>0.6</v>
      </c>
      <c r="AU287">
        <v>0.8</v>
      </c>
      <c r="AV287">
        <v>2.1</v>
      </c>
      <c r="AW287">
        <v>1.5</v>
      </c>
      <c r="AX287">
        <v>9</v>
      </c>
    </row>
    <row r="288" spans="1:50" x14ac:dyDescent="0.2">
      <c r="A288" s="1" t="s">
        <v>303</v>
      </c>
      <c r="B288" s="1" t="s">
        <v>26</v>
      </c>
      <c r="C288">
        <v>25</v>
      </c>
      <c r="D288" s="1" t="s">
        <v>62</v>
      </c>
      <c r="E288">
        <v>18</v>
      </c>
      <c r="F288">
        <v>0</v>
      </c>
      <c r="G288">
        <v>19.899999999999999</v>
      </c>
      <c r="H288">
        <v>2.7</v>
      </c>
      <c r="I288">
        <v>6.6</v>
      </c>
      <c r="J288">
        <v>0.40699999999999997</v>
      </c>
      <c r="K288">
        <v>1.5</v>
      </c>
      <c r="L288">
        <v>4.9000000000000004</v>
      </c>
      <c r="M288">
        <v>0.307</v>
      </c>
      <c r="N288">
        <v>0.6</v>
      </c>
      <c r="O288">
        <v>0.8</v>
      </c>
      <c r="P288">
        <v>0.73299999999999998</v>
      </c>
      <c r="Q288">
        <v>0.7</v>
      </c>
      <c r="R288">
        <v>2.2000000000000002</v>
      </c>
      <c r="S288">
        <v>2.8</v>
      </c>
      <c r="T288">
        <v>1.8</v>
      </c>
      <c r="U288">
        <v>0.6</v>
      </c>
      <c r="V288">
        <v>0.3</v>
      </c>
      <c r="W288">
        <v>0.6</v>
      </c>
      <c r="X288">
        <v>1.6</v>
      </c>
      <c r="Y288">
        <v>7.4</v>
      </c>
      <c r="AP288">
        <v>2.7</v>
      </c>
      <c r="AQ288">
        <v>6.6</v>
      </c>
      <c r="AR288">
        <v>1.5</v>
      </c>
      <c r="AS288">
        <v>4.9000000000000004</v>
      </c>
      <c r="AT288">
        <v>0.6</v>
      </c>
      <c r="AU288">
        <v>0.8</v>
      </c>
      <c r="AV288">
        <v>2.8</v>
      </c>
      <c r="AW288">
        <v>1.8</v>
      </c>
      <c r="AX288">
        <v>7.4</v>
      </c>
    </row>
    <row r="289" spans="1:50" x14ac:dyDescent="0.2">
      <c r="A289" s="1" t="s">
        <v>304</v>
      </c>
      <c r="B289" s="1" t="s">
        <v>34</v>
      </c>
      <c r="C289">
        <v>24</v>
      </c>
      <c r="D289" s="1" t="s">
        <v>113</v>
      </c>
      <c r="E289">
        <v>68</v>
      </c>
      <c r="F289">
        <v>18</v>
      </c>
      <c r="G289">
        <v>19.8</v>
      </c>
      <c r="H289">
        <v>3.3</v>
      </c>
      <c r="I289">
        <v>6.6</v>
      </c>
      <c r="J289">
        <v>0.50700000000000001</v>
      </c>
      <c r="K289">
        <v>0.7</v>
      </c>
      <c r="L289">
        <v>2.2999999999999998</v>
      </c>
      <c r="M289">
        <v>0.32100000000000001</v>
      </c>
      <c r="N289">
        <v>1.2</v>
      </c>
      <c r="O289">
        <v>1.5</v>
      </c>
      <c r="P289">
        <v>0.78400000000000003</v>
      </c>
      <c r="Q289">
        <v>2.1</v>
      </c>
      <c r="R289">
        <v>3.5</v>
      </c>
      <c r="S289">
        <v>5.6</v>
      </c>
      <c r="T289">
        <v>1.2</v>
      </c>
      <c r="U289">
        <v>0.8</v>
      </c>
      <c r="V289">
        <v>0.6</v>
      </c>
      <c r="W289">
        <v>0.6</v>
      </c>
      <c r="X289">
        <v>1.6</v>
      </c>
      <c r="Y289">
        <v>8.6</v>
      </c>
      <c r="AP289">
        <v>3.3</v>
      </c>
      <c r="AQ289">
        <v>6.6</v>
      </c>
      <c r="AR289">
        <v>0.7</v>
      </c>
      <c r="AS289">
        <v>2.2999999999999998</v>
      </c>
      <c r="AT289">
        <v>1.2</v>
      </c>
      <c r="AU289">
        <v>1.5</v>
      </c>
      <c r="AV289">
        <v>5.6</v>
      </c>
      <c r="AW289">
        <v>1.2</v>
      </c>
      <c r="AX289">
        <v>8.6</v>
      </c>
    </row>
    <row r="290" spans="1:50" x14ac:dyDescent="0.2">
      <c r="A290" s="1" t="s">
        <v>305</v>
      </c>
      <c r="B290" s="1" t="s">
        <v>23</v>
      </c>
      <c r="C290">
        <v>20</v>
      </c>
      <c r="D290" s="1" t="s">
        <v>83</v>
      </c>
      <c r="E290">
        <v>56</v>
      </c>
      <c r="F290">
        <v>22</v>
      </c>
      <c r="G290">
        <v>22</v>
      </c>
      <c r="H290">
        <v>3.5</v>
      </c>
      <c r="I290">
        <v>6.1</v>
      </c>
      <c r="J290">
        <v>0.57899999999999996</v>
      </c>
      <c r="K290">
        <v>0.3</v>
      </c>
      <c r="L290">
        <v>0.9</v>
      </c>
      <c r="M290">
        <v>0.34</v>
      </c>
      <c r="N290">
        <v>1.2</v>
      </c>
      <c r="O290">
        <v>1.9</v>
      </c>
      <c r="P290">
        <v>0.65100000000000002</v>
      </c>
      <c r="Q290">
        <v>2.4</v>
      </c>
      <c r="R290">
        <v>2.7</v>
      </c>
      <c r="S290">
        <v>5.0999999999999996</v>
      </c>
      <c r="T290">
        <v>1.9</v>
      </c>
      <c r="U290">
        <v>0.9</v>
      </c>
      <c r="V290">
        <v>0.9</v>
      </c>
      <c r="W290">
        <v>1.1000000000000001</v>
      </c>
      <c r="X290">
        <v>2.5</v>
      </c>
      <c r="Y290">
        <v>8.6</v>
      </c>
      <c r="AP290">
        <v>3.5</v>
      </c>
      <c r="AQ290">
        <v>6.1</v>
      </c>
      <c r="AR290">
        <v>0.3</v>
      </c>
      <c r="AS290">
        <v>0.9</v>
      </c>
      <c r="AT290">
        <v>1.2</v>
      </c>
      <c r="AU290">
        <v>1.9</v>
      </c>
      <c r="AV290">
        <v>5.0999999999999996</v>
      </c>
      <c r="AW290">
        <v>1.9</v>
      </c>
      <c r="AX290">
        <v>8.6</v>
      </c>
    </row>
    <row r="291" spans="1:50" x14ac:dyDescent="0.2">
      <c r="A291" s="1" t="s">
        <v>306</v>
      </c>
      <c r="B291" s="1" t="s">
        <v>43</v>
      </c>
      <c r="C291">
        <v>33</v>
      </c>
      <c r="D291" s="1" t="s">
        <v>44</v>
      </c>
      <c r="E291">
        <v>64</v>
      </c>
      <c r="F291">
        <v>6</v>
      </c>
      <c r="G291">
        <v>13.3</v>
      </c>
      <c r="H291">
        <v>3.4</v>
      </c>
      <c r="I291">
        <v>5.8</v>
      </c>
      <c r="J291">
        <v>0.58599999999999997</v>
      </c>
      <c r="K291">
        <v>0.1</v>
      </c>
      <c r="L291">
        <v>0.4</v>
      </c>
      <c r="M291">
        <v>0.33300000000000002</v>
      </c>
      <c r="N291">
        <v>1.6</v>
      </c>
      <c r="O291">
        <v>2.1</v>
      </c>
      <c r="P291">
        <v>0.77200000000000002</v>
      </c>
      <c r="Q291">
        <v>1.6</v>
      </c>
      <c r="R291">
        <v>3.4</v>
      </c>
      <c r="S291">
        <v>5</v>
      </c>
      <c r="T291">
        <v>1.2</v>
      </c>
      <c r="U291">
        <v>0.2</v>
      </c>
      <c r="V291">
        <v>0.6</v>
      </c>
      <c r="W291">
        <v>1.1000000000000001</v>
      </c>
      <c r="X291">
        <v>2</v>
      </c>
      <c r="Y291">
        <v>8.6</v>
      </c>
      <c r="AP291">
        <v>3.4</v>
      </c>
      <c r="AQ291">
        <v>5.8</v>
      </c>
      <c r="AR291">
        <v>0.1</v>
      </c>
      <c r="AS291">
        <v>0.4</v>
      </c>
      <c r="AT291">
        <v>1.6</v>
      </c>
      <c r="AU291">
        <v>2.1</v>
      </c>
      <c r="AV291">
        <v>5</v>
      </c>
      <c r="AW291">
        <v>1.2</v>
      </c>
      <c r="AX291">
        <v>8.6</v>
      </c>
    </row>
    <row r="292" spans="1:50" x14ac:dyDescent="0.2">
      <c r="A292" s="1" t="s">
        <v>307</v>
      </c>
      <c r="B292" s="1" t="s">
        <v>31</v>
      </c>
      <c r="C292">
        <v>22</v>
      </c>
      <c r="D292" s="1" t="s">
        <v>29</v>
      </c>
      <c r="E292">
        <v>77</v>
      </c>
      <c r="F292">
        <v>58</v>
      </c>
      <c r="G292">
        <v>26.6</v>
      </c>
      <c r="H292">
        <v>3.3</v>
      </c>
      <c r="I292">
        <v>7.6</v>
      </c>
      <c r="J292">
        <v>0.432</v>
      </c>
      <c r="K292">
        <v>1.3</v>
      </c>
      <c r="L292">
        <v>3.7</v>
      </c>
      <c r="M292">
        <v>0.35099999999999998</v>
      </c>
      <c r="N292">
        <v>0.7</v>
      </c>
      <c r="O292">
        <v>0.9</v>
      </c>
      <c r="P292">
        <v>0.80900000000000005</v>
      </c>
      <c r="Q292">
        <v>0.8</v>
      </c>
      <c r="R292">
        <v>2.2999999999999998</v>
      </c>
      <c r="S292">
        <v>3.1</v>
      </c>
      <c r="T292">
        <v>2.6</v>
      </c>
      <c r="U292">
        <v>1.9</v>
      </c>
      <c r="V292">
        <v>0.4</v>
      </c>
      <c r="W292">
        <v>0.9</v>
      </c>
      <c r="X292">
        <v>2</v>
      </c>
      <c r="Y292">
        <v>8.6</v>
      </c>
      <c r="AP292">
        <v>3.3</v>
      </c>
      <c r="AQ292">
        <v>7.6</v>
      </c>
      <c r="AR292">
        <v>1.3</v>
      </c>
      <c r="AS292">
        <v>3.7</v>
      </c>
      <c r="AT292">
        <v>0.7</v>
      </c>
      <c r="AU292">
        <v>0.9</v>
      </c>
      <c r="AV292">
        <v>3.1</v>
      </c>
      <c r="AW292">
        <v>2.6</v>
      </c>
      <c r="AX292">
        <v>8.6</v>
      </c>
    </row>
    <row r="293" spans="1:50" x14ac:dyDescent="0.2">
      <c r="A293" s="1" t="s">
        <v>308</v>
      </c>
      <c r="B293" s="1" t="s">
        <v>31</v>
      </c>
      <c r="C293">
        <v>23</v>
      </c>
      <c r="D293" s="1" t="s">
        <v>70</v>
      </c>
      <c r="E293">
        <v>37</v>
      </c>
      <c r="F293">
        <v>5</v>
      </c>
      <c r="G293">
        <v>18.100000000000001</v>
      </c>
      <c r="H293">
        <v>3.1</v>
      </c>
      <c r="I293">
        <v>6.9</v>
      </c>
      <c r="J293">
        <v>0.44500000000000001</v>
      </c>
      <c r="K293">
        <v>1.4</v>
      </c>
      <c r="L293">
        <v>3.6</v>
      </c>
      <c r="M293">
        <v>0.373</v>
      </c>
      <c r="N293">
        <v>1</v>
      </c>
      <c r="O293">
        <v>1.3</v>
      </c>
      <c r="P293">
        <v>0.80900000000000005</v>
      </c>
      <c r="Q293">
        <v>0.6</v>
      </c>
      <c r="R293">
        <v>1.8</v>
      </c>
      <c r="S293">
        <v>2.5</v>
      </c>
      <c r="T293">
        <v>1.8</v>
      </c>
      <c r="U293">
        <v>0.6</v>
      </c>
      <c r="V293">
        <v>0.4</v>
      </c>
      <c r="W293">
        <v>1.1000000000000001</v>
      </c>
      <c r="X293">
        <v>1.4</v>
      </c>
      <c r="Y293">
        <v>8.5</v>
      </c>
      <c r="AP293">
        <v>3.1</v>
      </c>
      <c r="AQ293">
        <v>6.9</v>
      </c>
      <c r="AR293">
        <v>1.4</v>
      </c>
      <c r="AS293">
        <v>3.6</v>
      </c>
      <c r="AT293">
        <v>1</v>
      </c>
      <c r="AU293">
        <v>1.3</v>
      </c>
      <c r="AV293">
        <v>2.5</v>
      </c>
      <c r="AW293">
        <v>1.8</v>
      </c>
      <c r="AX293">
        <v>8.5</v>
      </c>
    </row>
    <row r="294" spans="1:50" x14ac:dyDescent="0.2">
      <c r="A294" s="1" t="s">
        <v>308</v>
      </c>
      <c r="B294" s="1" t="s">
        <v>31</v>
      </c>
      <c r="C294">
        <v>23</v>
      </c>
      <c r="D294" s="1" t="s">
        <v>64</v>
      </c>
      <c r="E294">
        <v>33</v>
      </c>
      <c r="F294">
        <v>2</v>
      </c>
      <c r="G294">
        <v>16.8</v>
      </c>
      <c r="H294">
        <v>3</v>
      </c>
      <c r="I294">
        <v>6.7</v>
      </c>
      <c r="J294">
        <v>0.45</v>
      </c>
      <c r="K294">
        <v>1.3</v>
      </c>
      <c r="L294">
        <v>3.4</v>
      </c>
      <c r="M294">
        <v>0.372</v>
      </c>
      <c r="N294">
        <v>0.9</v>
      </c>
      <c r="O294">
        <v>1.2</v>
      </c>
      <c r="P294">
        <v>0.78900000000000003</v>
      </c>
      <c r="Q294">
        <v>0.6</v>
      </c>
      <c r="R294">
        <v>1.6</v>
      </c>
      <c r="S294">
        <v>2.2000000000000002</v>
      </c>
      <c r="T294">
        <v>1.6</v>
      </c>
      <c r="U294">
        <v>0.5</v>
      </c>
      <c r="V294">
        <v>0.4</v>
      </c>
      <c r="W294">
        <v>1.1000000000000001</v>
      </c>
      <c r="X294">
        <v>1.3</v>
      </c>
      <c r="Y294">
        <v>8.1999999999999993</v>
      </c>
      <c r="AP294">
        <v>3</v>
      </c>
      <c r="AQ294">
        <v>6.7</v>
      </c>
      <c r="AR294">
        <v>1.3</v>
      </c>
      <c r="AS294">
        <v>3.4</v>
      </c>
      <c r="AT294">
        <v>0.9</v>
      </c>
      <c r="AU294">
        <v>1.2</v>
      </c>
      <c r="AV294">
        <v>2.2000000000000002</v>
      </c>
      <c r="AW294">
        <v>1.6</v>
      </c>
      <c r="AX294">
        <v>8.1999999999999993</v>
      </c>
    </row>
    <row r="295" spans="1:50" x14ac:dyDescent="0.2">
      <c r="A295" s="1" t="s">
        <v>309</v>
      </c>
      <c r="B295" s="1" t="s">
        <v>34</v>
      </c>
      <c r="C295">
        <v>30</v>
      </c>
      <c r="D295" s="1" t="s">
        <v>79</v>
      </c>
      <c r="E295">
        <v>70</v>
      </c>
      <c r="F295">
        <v>9</v>
      </c>
      <c r="G295">
        <v>16.8</v>
      </c>
      <c r="H295">
        <v>2.8</v>
      </c>
      <c r="I295">
        <v>6.7</v>
      </c>
      <c r="J295">
        <v>0.41199999999999998</v>
      </c>
      <c r="K295">
        <v>1.8</v>
      </c>
      <c r="L295">
        <v>4.7</v>
      </c>
      <c r="M295">
        <v>0.375</v>
      </c>
      <c r="N295">
        <v>1.2</v>
      </c>
      <c r="O295">
        <v>1.5</v>
      </c>
      <c r="P295">
        <v>0.84299999999999997</v>
      </c>
      <c r="Q295">
        <v>0.8</v>
      </c>
      <c r="R295">
        <v>2.2000000000000002</v>
      </c>
      <c r="S295">
        <v>3</v>
      </c>
      <c r="T295">
        <v>1.4</v>
      </c>
      <c r="U295">
        <v>0.5</v>
      </c>
      <c r="V295">
        <v>0.1</v>
      </c>
      <c r="W295">
        <v>0.7</v>
      </c>
      <c r="X295">
        <v>1.5</v>
      </c>
      <c r="Y295">
        <v>8.5</v>
      </c>
      <c r="AP295">
        <v>2.8</v>
      </c>
      <c r="AQ295">
        <v>6.7</v>
      </c>
      <c r="AR295">
        <v>1.8</v>
      </c>
      <c r="AS295">
        <v>4.7</v>
      </c>
      <c r="AT295">
        <v>1.2</v>
      </c>
      <c r="AU295">
        <v>1.5</v>
      </c>
      <c r="AV295">
        <v>3</v>
      </c>
      <c r="AW295">
        <v>1.4</v>
      </c>
      <c r="AX295">
        <v>8.5</v>
      </c>
    </row>
    <row r="296" spans="1:50" x14ac:dyDescent="0.2">
      <c r="A296" s="1" t="s">
        <v>310</v>
      </c>
      <c r="B296" s="1" t="s">
        <v>26</v>
      </c>
      <c r="C296">
        <v>25</v>
      </c>
      <c r="D296" s="1" t="s">
        <v>32</v>
      </c>
      <c r="E296">
        <v>71</v>
      </c>
      <c r="F296">
        <v>3</v>
      </c>
      <c r="G296">
        <v>16.600000000000001</v>
      </c>
      <c r="H296">
        <v>3</v>
      </c>
      <c r="I296">
        <v>6.6</v>
      </c>
      <c r="J296">
        <v>0.45300000000000001</v>
      </c>
      <c r="K296">
        <v>1.6</v>
      </c>
      <c r="L296">
        <v>4.2</v>
      </c>
      <c r="M296">
        <v>0.38800000000000001</v>
      </c>
      <c r="N296">
        <v>0.9</v>
      </c>
      <c r="O296">
        <v>1.2</v>
      </c>
      <c r="P296">
        <v>0.78</v>
      </c>
      <c r="Q296">
        <v>0.3</v>
      </c>
      <c r="R296">
        <v>1.5</v>
      </c>
      <c r="S296">
        <v>1.8</v>
      </c>
      <c r="T296">
        <v>2.6</v>
      </c>
      <c r="U296">
        <v>0.6</v>
      </c>
      <c r="V296">
        <v>0.2</v>
      </c>
      <c r="W296">
        <v>1</v>
      </c>
      <c r="X296">
        <v>1.7</v>
      </c>
      <c r="Y296">
        <v>8.5</v>
      </c>
      <c r="AP296">
        <v>3</v>
      </c>
      <c r="AQ296">
        <v>6.6</v>
      </c>
      <c r="AR296">
        <v>1.6</v>
      </c>
      <c r="AS296">
        <v>4.2</v>
      </c>
      <c r="AT296">
        <v>0.9</v>
      </c>
      <c r="AU296">
        <v>1.2</v>
      </c>
      <c r="AV296">
        <v>1.8</v>
      </c>
      <c r="AW296">
        <v>2.6</v>
      </c>
      <c r="AX296">
        <v>8.5</v>
      </c>
    </row>
    <row r="297" spans="1:50" x14ac:dyDescent="0.2">
      <c r="A297" s="1" t="s">
        <v>311</v>
      </c>
      <c r="B297" s="1" t="s">
        <v>43</v>
      </c>
      <c r="C297">
        <v>37</v>
      </c>
      <c r="D297" s="1" t="s">
        <v>39</v>
      </c>
      <c r="E297">
        <v>74</v>
      </c>
      <c r="F297">
        <v>39</v>
      </c>
      <c r="G297">
        <v>21.8</v>
      </c>
      <c r="H297">
        <v>3.1</v>
      </c>
      <c r="I297">
        <v>7.2</v>
      </c>
      <c r="J297">
        <v>0.42899999999999999</v>
      </c>
      <c r="K297">
        <v>1.5</v>
      </c>
      <c r="L297">
        <v>4.2</v>
      </c>
      <c r="M297">
        <v>0.36099999999999999</v>
      </c>
      <c r="N297">
        <v>0.8</v>
      </c>
      <c r="O297">
        <v>1</v>
      </c>
      <c r="P297">
        <v>0.75700000000000001</v>
      </c>
      <c r="Q297">
        <v>0.6</v>
      </c>
      <c r="R297">
        <v>3</v>
      </c>
      <c r="S297">
        <v>3.6</v>
      </c>
      <c r="T297">
        <v>1.3</v>
      </c>
      <c r="U297">
        <v>0.6</v>
      </c>
      <c r="V297">
        <v>1.2</v>
      </c>
      <c r="W297">
        <v>0.8</v>
      </c>
      <c r="X297">
        <v>2</v>
      </c>
      <c r="Y297">
        <v>8.5</v>
      </c>
      <c r="AP297">
        <v>3.1</v>
      </c>
      <c r="AQ297">
        <v>7.2</v>
      </c>
      <c r="AR297">
        <v>1.5</v>
      </c>
      <c r="AS297">
        <v>4.2</v>
      </c>
      <c r="AT297">
        <v>0.8</v>
      </c>
      <c r="AU297">
        <v>1</v>
      </c>
      <c r="AV297">
        <v>3.6</v>
      </c>
      <c r="AW297">
        <v>1.3</v>
      </c>
      <c r="AX297">
        <v>8.5</v>
      </c>
    </row>
    <row r="298" spans="1:50" x14ac:dyDescent="0.2">
      <c r="A298" s="1" t="s">
        <v>312</v>
      </c>
      <c r="B298" s="1" t="s">
        <v>31</v>
      </c>
      <c r="C298">
        <v>29</v>
      </c>
      <c r="D298" s="1" t="s">
        <v>70</v>
      </c>
      <c r="E298">
        <v>77</v>
      </c>
      <c r="F298">
        <v>5</v>
      </c>
      <c r="G298">
        <v>21.7</v>
      </c>
      <c r="H298">
        <v>3.1</v>
      </c>
      <c r="I298">
        <v>5.7</v>
      </c>
      <c r="J298">
        <v>0.53200000000000003</v>
      </c>
      <c r="K298">
        <v>1.5</v>
      </c>
      <c r="L298">
        <v>3.2</v>
      </c>
      <c r="M298">
        <v>0.47799999999999998</v>
      </c>
      <c r="N298">
        <v>0.8</v>
      </c>
      <c r="O298">
        <v>0.9</v>
      </c>
      <c r="P298">
        <v>0.92500000000000004</v>
      </c>
      <c r="Q298">
        <v>0.4</v>
      </c>
      <c r="R298">
        <v>1.9</v>
      </c>
      <c r="S298">
        <v>2.4</v>
      </c>
      <c r="T298">
        <v>2.2000000000000002</v>
      </c>
      <c r="U298">
        <v>0.7</v>
      </c>
      <c r="V298">
        <v>0.1</v>
      </c>
      <c r="W298">
        <v>0.8</v>
      </c>
      <c r="X298">
        <v>1.3</v>
      </c>
      <c r="Y298">
        <v>8.4</v>
      </c>
      <c r="AP298">
        <v>3.1</v>
      </c>
      <c r="AQ298">
        <v>5.7</v>
      </c>
      <c r="AR298">
        <v>1.5</v>
      </c>
      <c r="AS298">
        <v>3.2</v>
      </c>
      <c r="AT298">
        <v>0.8</v>
      </c>
      <c r="AU298">
        <v>0.9</v>
      </c>
      <c r="AV298">
        <v>2.4</v>
      </c>
      <c r="AW298">
        <v>2.2000000000000002</v>
      </c>
      <c r="AX298">
        <v>8.4</v>
      </c>
    </row>
    <row r="299" spans="1:50" x14ac:dyDescent="0.2">
      <c r="A299" s="1" t="s">
        <v>312</v>
      </c>
      <c r="B299" s="1" t="s">
        <v>31</v>
      </c>
      <c r="C299">
        <v>29</v>
      </c>
      <c r="D299" s="1" t="s">
        <v>74</v>
      </c>
      <c r="E299">
        <v>46</v>
      </c>
      <c r="F299">
        <v>0</v>
      </c>
      <c r="G299">
        <v>20.5</v>
      </c>
      <c r="H299">
        <v>2.8</v>
      </c>
      <c r="I299">
        <v>5.2</v>
      </c>
      <c r="J299">
        <v>0.53800000000000003</v>
      </c>
      <c r="K299">
        <v>1.6</v>
      </c>
      <c r="L299">
        <v>3.2</v>
      </c>
      <c r="M299">
        <v>0.497</v>
      </c>
      <c r="N299">
        <v>0.7</v>
      </c>
      <c r="O299">
        <v>0.8</v>
      </c>
      <c r="P299">
        <v>0.91400000000000003</v>
      </c>
      <c r="Q299">
        <v>0.4</v>
      </c>
      <c r="R299">
        <v>1.7</v>
      </c>
      <c r="S299">
        <v>2.2000000000000002</v>
      </c>
      <c r="T299">
        <v>2.1</v>
      </c>
      <c r="U299">
        <v>0.7</v>
      </c>
      <c r="V299">
        <v>0.1</v>
      </c>
      <c r="W299">
        <v>0.7</v>
      </c>
      <c r="X299">
        <v>1.2</v>
      </c>
      <c r="Y299">
        <v>7.9</v>
      </c>
      <c r="AP299">
        <v>2.8</v>
      </c>
      <c r="AQ299">
        <v>5.2</v>
      </c>
      <c r="AR299">
        <v>1.6</v>
      </c>
      <c r="AS299">
        <v>3.2</v>
      </c>
      <c r="AT299">
        <v>0.7</v>
      </c>
      <c r="AU299">
        <v>0.8</v>
      </c>
      <c r="AV299">
        <v>2.2000000000000002</v>
      </c>
      <c r="AW299">
        <v>2.1</v>
      </c>
      <c r="AX299">
        <v>7.9</v>
      </c>
    </row>
    <row r="300" spans="1:50" x14ac:dyDescent="0.2">
      <c r="A300" s="1" t="s">
        <v>312</v>
      </c>
      <c r="B300" s="1" t="s">
        <v>31</v>
      </c>
      <c r="C300">
        <v>29</v>
      </c>
      <c r="D300" s="1" t="s">
        <v>27</v>
      </c>
      <c r="E300">
        <v>31</v>
      </c>
      <c r="F300">
        <v>5</v>
      </c>
      <c r="G300">
        <v>23.4</v>
      </c>
      <c r="H300">
        <v>3.4</v>
      </c>
      <c r="I300">
        <v>6.5</v>
      </c>
      <c r="J300">
        <v>0.52500000000000002</v>
      </c>
      <c r="K300">
        <v>1.4</v>
      </c>
      <c r="L300">
        <v>3.1</v>
      </c>
      <c r="M300">
        <v>0.44800000000000001</v>
      </c>
      <c r="N300">
        <v>1</v>
      </c>
      <c r="O300">
        <v>1</v>
      </c>
      <c r="P300">
        <v>0.93799999999999994</v>
      </c>
      <c r="Q300">
        <v>0.4</v>
      </c>
      <c r="R300">
        <v>2.2999999999999998</v>
      </c>
      <c r="S300">
        <v>2.7</v>
      </c>
      <c r="T300">
        <v>2.5</v>
      </c>
      <c r="U300">
        <v>0.7</v>
      </c>
      <c r="V300">
        <v>0.1</v>
      </c>
      <c r="W300">
        <v>0.9</v>
      </c>
      <c r="X300">
        <v>1.5</v>
      </c>
      <c r="Y300">
        <v>9.1999999999999993</v>
      </c>
      <c r="AP300">
        <v>3.4</v>
      </c>
      <c r="AQ300">
        <v>6.5</v>
      </c>
      <c r="AR300">
        <v>1.4</v>
      </c>
      <c r="AS300">
        <v>3.1</v>
      </c>
      <c r="AT300">
        <v>1</v>
      </c>
      <c r="AU300">
        <v>1</v>
      </c>
      <c r="AV300">
        <v>2.7</v>
      </c>
      <c r="AW300">
        <v>2.5</v>
      </c>
      <c r="AX300">
        <v>9.1999999999999993</v>
      </c>
    </row>
    <row r="301" spans="1:50" x14ac:dyDescent="0.2">
      <c r="A301" s="1" t="s">
        <v>313</v>
      </c>
      <c r="B301" s="1" t="s">
        <v>31</v>
      </c>
      <c r="C301">
        <v>32</v>
      </c>
      <c r="D301" s="1" t="s">
        <v>104</v>
      </c>
      <c r="E301">
        <v>51</v>
      </c>
      <c r="F301">
        <v>14</v>
      </c>
      <c r="G301">
        <v>21.3</v>
      </c>
      <c r="H301">
        <v>2.9</v>
      </c>
      <c r="I301">
        <v>7.2</v>
      </c>
      <c r="J301">
        <v>0.41</v>
      </c>
      <c r="K301">
        <v>1.1000000000000001</v>
      </c>
      <c r="L301">
        <v>3.4</v>
      </c>
      <c r="M301">
        <v>0.316</v>
      </c>
      <c r="N301">
        <v>1.4</v>
      </c>
      <c r="O301">
        <v>1.6</v>
      </c>
      <c r="P301">
        <v>0.91300000000000003</v>
      </c>
      <c r="Q301">
        <v>0.4</v>
      </c>
      <c r="R301">
        <v>2.1</v>
      </c>
      <c r="S301">
        <v>2.5</v>
      </c>
      <c r="T301">
        <v>2.7</v>
      </c>
      <c r="U301">
        <v>0.8</v>
      </c>
      <c r="V301">
        <v>0.2</v>
      </c>
      <c r="W301">
        <v>1.2</v>
      </c>
      <c r="X301">
        <v>1.1000000000000001</v>
      </c>
      <c r="Y301">
        <v>8.4</v>
      </c>
      <c r="AP301">
        <v>2.9</v>
      </c>
      <c r="AQ301">
        <v>7.2</v>
      </c>
      <c r="AR301">
        <v>1.1000000000000001</v>
      </c>
      <c r="AS301">
        <v>3.4</v>
      </c>
      <c r="AT301">
        <v>1.4</v>
      </c>
      <c r="AU301">
        <v>1.6</v>
      </c>
      <c r="AV301">
        <v>2.5</v>
      </c>
      <c r="AW301">
        <v>2.7</v>
      </c>
      <c r="AX301">
        <v>8.4</v>
      </c>
    </row>
    <row r="302" spans="1:50" x14ac:dyDescent="0.2">
      <c r="A302" s="1" t="s">
        <v>314</v>
      </c>
      <c r="B302" s="1" t="s">
        <v>31</v>
      </c>
      <c r="C302">
        <v>23</v>
      </c>
      <c r="D302" s="1" t="s">
        <v>109</v>
      </c>
      <c r="E302">
        <v>74</v>
      </c>
      <c r="F302">
        <v>27</v>
      </c>
      <c r="G302">
        <v>24.9</v>
      </c>
      <c r="H302">
        <v>3.2</v>
      </c>
      <c r="I302">
        <v>7.9</v>
      </c>
      <c r="J302">
        <v>0.41</v>
      </c>
      <c r="K302">
        <v>1</v>
      </c>
      <c r="L302">
        <v>3.1</v>
      </c>
      <c r="M302">
        <v>0.33500000000000002</v>
      </c>
      <c r="N302">
        <v>0.9</v>
      </c>
      <c r="O302">
        <v>1.3</v>
      </c>
      <c r="P302">
        <v>0.71</v>
      </c>
      <c r="Q302">
        <v>0.9</v>
      </c>
      <c r="R302">
        <v>2.8</v>
      </c>
      <c r="S302">
        <v>3.7</v>
      </c>
      <c r="T302">
        <v>2.4</v>
      </c>
      <c r="U302">
        <v>0.9</v>
      </c>
      <c r="V302">
        <v>0.3</v>
      </c>
      <c r="W302">
        <v>1.5</v>
      </c>
      <c r="X302">
        <v>2.1</v>
      </c>
      <c r="Y302">
        <v>8.4</v>
      </c>
      <c r="AP302">
        <v>3.2</v>
      </c>
      <c r="AQ302">
        <v>7.9</v>
      </c>
      <c r="AR302">
        <v>1</v>
      </c>
      <c r="AS302">
        <v>3.1</v>
      </c>
      <c r="AT302">
        <v>0.9</v>
      </c>
      <c r="AU302">
        <v>1.3</v>
      </c>
      <c r="AV302">
        <v>3.7</v>
      </c>
      <c r="AW302">
        <v>2.4</v>
      </c>
      <c r="AX302">
        <v>8.4</v>
      </c>
    </row>
    <row r="303" spans="1:50" x14ac:dyDescent="0.2">
      <c r="A303" s="1" t="s">
        <v>315</v>
      </c>
      <c r="B303" s="1" t="s">
        <v>34</v>
      </c>
      <c r="C303">
        <v>26</v>
      </c>
      <c r="D303" s="1" t="s">
        <v>29</v>
      </c>
      <c r="E303">
        <v>68</v>
      </c>
      <c r="F303">
        <v>68</v>
      </c>
      <c r="G303">
        <v>26.9</v>
      </c>
      <c r="H303">
        <v>2.9</v>
      </c>
      <c r="I303">
        <v>7.6</v>
      </c>
      <c r="J303">
        <v>0.38600000000000001</v>
      </c>
      <c r="K303">
        <v>1.9</v>
      </c>
      <c r="L303">
        <v>5.4</v>
      </c>
      <c r="M303">
        <v>0.34300000000000003</v>
      </c>
      <c r="N303">
        <v>0.6</v>
      </c>
      <c r="O303">
        <v>0.9</v>
      </c>
      <c r="P303">
        <v>0.75900000000000001</v>
      </c>
      <c r="Q303">
        <v>0.8</v>
      </c>
      <c r="R303">
        <v>2.8</v>
      </c>
      <c r="S303">
        <v>3.6</v>
      </c>
      <c r="T303">
        <v>1.2</v>
      </c>
      <c r="U303">
        <v>0.9</v>
      </c>
      <c r="V303">
        <v>0.4</v>
      </c>
      <c r="W303">
        <v>0.8</v>
      </c>
      <c r="X303">
        <v>2.6</v>
      </c>
      <c r="Y303">
        <v>8.4</v>
      </c>
      <c r="AP303">
        <v>2.9</v>
      </c>
      <c r="AQ303">
        <v>7.6</v>
      </c>
      <c r="AR303">
        <v>1.9</v>
      </c>
      <c r="AS303">
        <v>5.4</v>
      </c>
      <c r="AT303">
        <v>0.6</v>
      </c>
      <c r="AU303">
        <v>0.9</v>
      </c>
      <c r="AV303">
        <v>3.6</v>
      </c>
      <c r="AW303">
        <v>1.2</v>
      </c>
      <c r="AX303">
        <v>8.4</v>
      </c>
    </row>
    <row r="304" spans="1:50" x14ac:dyDescent="0.2">
      <c r="A304" s="1" t="s">
        <v>316</v>
      </c>
      <c r="B304" s="1" t="s">
        <v>23</v>
      </c>
      <c r="C304">
        <v>35</v>
      </c>
      <c r="D304" s="1" t="s">
        <v>51</v>
      </c>
      <c r="E304">
        <v>68</v>
      </c>
      <c r="F304">
        <v>68</v>
      </c>
      <c r="G304">
        <v>27.5</v>
      </c>
      <c r="H304">
        <v>3</v>
      </c>
      <c r="I304">
        <v>7.2</v>
      </c>
      <c r="J304">
        <v>0.41799999999999998</v>
      </c>
      <c r="K304">
        <v>1.5</v>
      </c>
      <c r="L304">
        <v>4.5999999999999996</v>
      </c>
      <c r="M304">
        <v>0.32600000000000001</v>
      </c>
      <c r="N304">
        <v>0.9</v>
      </c>
      <c r="O304">
        <v>1.2</v>
      </c>
      <c r="P304">
        <v>0.70199999999999996</v>
      </c>
      <c r="Q304">
        <v>0.8</v>
      </c>
      <c r="R304">
        <v>4.7</v>
      </c>
      <c r="S304">
        <v>5.5</v>
      </c>
      <c r="T304">
        <v>5.5</v>
      </c>
      <c r="U304">
        <v>0.9</v>
      </c>
      <c r="V304">
        <v>0.6</v>
      </c>
      <c r="W304">
        <v>2.7</v>
      </c>
      <c r="X304">
        <v>2.9</v>
      </c>
      <c r="Y304">
        <v>8.4</v>
      </c>
      <c r="AP304">
        <v>3</v>
      </c>
      <c r="AQ304">
        <v>7.2</v>
      </c>
      <c r="AR304">
        <v>1.5</v>
      </c>
      <c r="AS304">
        <v>4.5999999999999996</v>
      </c>
      <c r="AT304">
        <v>0.9</v>
      </c>
      <c r="AU304">
        <v>1.2</v>
      </c>
      <c r="AV304">
        <v>5.5</v>
      </c>
      <c r="AW304">
        <v>5.5</v>
      </c>
      <c r="AX304">
        <v>8.4</v>
      </c>
    </row>
    <row r="305" spans="1:50" x14ac:dyDescent="0.2">
      <c r="A305" s="1" t="s">
        <v>317</v>
      </c>
      <c r="B305" s="1" t="s">
        <v>31</v>
      </c>
      <c r="C305">
        <v>21</v>
      </c>
      <c r="D305" s="1" t="s">
        <v>70</v>
      </c>
      <c r="E305">
        <v>66</v>
      </c>
      <c r="F305">
        <v>2</v>
      </c>
      <c r="G305">
        <v>17.2</v>
      </c>
      <c r="H305">
        <v>3</v>
      </c>
      <c r="I305">
        <v>7.1</v>
      </c>
      <c r="J305">
        <v>0.42799999999999999</v>
      </c>
      <c r="K305">
        <v>1.5</v>
      </c>
      <c r="L305">
        <v>3.8</v>
      </c>
      <c r="M305">
        <v>0.39100000000000001</v>
      </c>
      <c r="N305">
        <v>0.8</v>
      </c>
      <c r="O305">
        <v>0.9</v>
      </c>
      <c r="P305">
        <v>0.877</v>
      </c>
      <c r="Q305">
        <v>0.3</v>
      </c>
      <c r="R305">
        <v>1.7</v>
      </c>
      <c r="S305">
        <v>2</v>
      </c>
      <c r="T305">
        <v>1.3</v>
      </c>
      <c r="U305">
        <v>0.5</v>
      </c>
      <c r="V305">
        <v>0.1</v>
      </c>
      <c r="W305">
        <v>0.8</v>
      </c>
      <c r="X305">
        <v>1.2</v>
      </c>
      <c r="Y305">
        <v>8.3000000000000007</v>
      </c>
      <c r="AP305">
        <v>3</v>
      </c>
      <c r="AQ305">
        <v>7.1</v>
      </c>
      <c r="AR305">
        <v>1.5</v>
      </c>
      <c r="AS305">
        <v>3.8</v>
      </c>
      <c r="AT305">
        <v>0.8</v>
      </c>
      <c r="AU305">
        <v>0.9</v>
      </c>
      <c r="AV305">
        <v>2</v>
      </c>
      <c r="AW305">
        <v>1.3</v>
      </c>
      <c r="AX305">
        <v>8.3000000000000007</v>
      </c>
    </row>
    <row r="306" spans="1:50" x14ac:dyDescent="0.2">
      <c r="A306" s="1" t="s">
        <v>317</v>
      </c>
      <c r="B306" s="1" t="s">
        <v>31</v>
      </c>
      <c r="C306">
        <v>21</v>
      </c>
      <c r="D306" s="1" t="s">
        <v>37</v>
      </c>
      <c r="E306">
        <v>37</v>
      </c>
      <c r="F306">
        <v>1</v>
      </c>
      <c r="G306">
        <v>16.8</v>
      </c>
      <c r="H306">
        <v>2.4</v>
      </c>
      <c r="I306">
        <v>6.2</v>
      </c>
      <c r="J306">
        <v>0.38500000000000001</v>
      </c>
      <c r="K306">
        <v>1.2</v>
      </c>
      <c r="L306">
        <v>3.2</v>
      </c>
      <c r="M306">
        <v>0.378</v>
      </c>
      <c r="N306">
        <v>0.6</v>
      </c>
      <c r="O306">
        <v>0.7</v>
      </c>
      <c r="P306">
        <v>0.88</v>
      </c>
      <c r="Q306">
        <v>0.2</v>
      </c>
      <c r="R306">
        <v>1.9</v>
      </c>
      <c r="S306">
        <v>2</v>
      </c>
      <c r="T306">
        <v>1.7</v>
      </c>
      <c r="U306">
        <v>0.6</v>
      </c>
      <c r="V306">
        <v>0.1</v>
      </c>
      <c r="W306">
        <v>0.8</v>
      </c>
      <c r="X306">
        <v>1.2</v>
      </c>
      <c r="Y306">
        <v>6.6</v>
      </c>
      <c r="AP306">
        <v>2.4</v>
      </c>
      <c r="AQ306">
        <v>6.2</v>
      </c>
      <c r="AR306">
        <v>1.2</v>
      </c>
      <c r="AS306">
        <v>3.2</v>
      </c>
      <c r="AT306">
        <v>0.6</v>
      </c>
      <c r="AU306">
        <v>0.7</v>
      </c>
      <c r="AV306">
        <v>2</v>
      </c>
      <c r="AW306">
        <v>1.7</v>
      </c>
      <c r="AX306">
        <v>6.6</v>
      </c>
    </row>
    <row r="307" spans="1:50" x14ac:dyDescent="0.2">
      <c r="A307" s="1" t="s">
        <v>317</v>
      </c>
      <c r="B307" s="1" t="s">
        <v>31</v>
      </c>
      <c r="C307">
        <v>21</v>
      </c>
      <c r="D307" s="1" t="s">
        <v>29</v>
      </c>
      <c r="E307">
        <v>29</v>
      </c>
      <c r="F307">
        <v>1</v>
      </c>
      <c r="G307">
        <v>17.8</v>
      </c>
      <c r="H307">
        <v>3.8</v>
      </c>
      <c r="I307">
        <v>8.1</v>
      </c>
      <c r="J307">
        <v>0.47</v>
      </c>
      <c r="K307">
        <v>1.9</v>
      </c>
      <c r="L307">
        <v>4.5999999999999996</v>
      </c>
      <c r="M307">
        <v>0.40300000000000002</v>
      </c>
      <c r="N307">
        <v>1</v>
      </c>
      <c r="O307">
        <v>1.1000000000000001</v>
      </c>
      <c r="P307">
        <v>0.875</v>
      </c>
      <c r="Q307">
        <v>0.6</v>
      </c>
      <c r="R307">
        <v>1.4</v>
      </c>
      <c r="S307">
        <v>2</v>
      </c>
      <c r="T307">
        <v>0.9</v>
      </c>
      <c r="U307">
        <v>0.4</v>
      </c>
      <c r="V307">
        <v>0.1</v>
      </c>
      <c r="W307">
        <v>0.9</v>
      </c>
      <c r="X307">
        <v>1.3</v>
      </c>
      <c r="Y307">
        <v>10.5</v>
      </c>
      <c r="AP307">
        <v>3.8</v>
      </c>
      <c r="AQ307">
        <v>8.1</v>
      </c>
      <c r="AR307">
        <v>1.9</v>
      </c>
      <c r="AS307">
        <v>4.5999999999999996</v>
      </c>
      <c r="AT307">
        <v>1</v>
      </c>
      <c r="AU307">
        <v>1.1000000000000001</v>
      </c>
      <c r="AV307">
        <v>2</v>
      </c>
      <c r="AW307">
        <v>0.9</v>
      </c>
      <c r="AX307">
        <v>10.5</v>
      </c>
    </row>
    <row r="308" spans="1:50" x14ac:dyDescent="0.2">
      <c r="A308" s="1" t="s">
        <v>318</v>
      </c>
      <c r="B308" s="1" t="s">
        <v>34</v>
      </c>
      <c r="C308">
        <v>20</v>
      </c>
      <c r="D308" s="1" t="s">
        <v>64</v>
      </c>
      <c r="E308">
        <v>77</v>
      </c>
      <c r="F308">
        <v>5</v>
      </c>
      <c r="G308">
        <v>19.899999999999999</v>
      </c>
      <c r="H308">
        <v>3</v>
      </c>
      <c r="I308">
        <v>7</v>
      </c>
      <c r="J308">
        <v>0.434</v>
      </c>
      <c r="K308">
        <v>0.6</v>
      </c>
      <c r="L308">
        <v>2.5</v>
      </c>
      <c r="M308">
        <v>0.253</v>
      </c>
      <c r="N308">
        <v>1.6</v>
      </c>
      <c r="O308">
        <v>1.9</v>
      </c>
      <c r="P308">
        <v>0.80500000000000005</v>
      </c>
      <c r="Q308">
        <v>1.1000000000000001</v>
      </c>
      <c r="R308">
        <v>2.9</v>
      </c>
      <c r="S308">
        <v>4</v>
      </c>
      <c r="T308">
        <v>1.2</v>
      </c>
      <c r="U308">
        <v>1.2</v>
      </c>
      <c r="V308">
        <v>0.3</v>
      </c>
      <c r="W308">
        <v>1.2</v>
      </c>
      <c r="X308">
        <v>2.2999999999999998</v>
      </c>
      <c r="Y308">
        <v>8.3000000000000007</v>
      </c>
      <c r="AP308">
        <v>3</v>
      </c>
      <c r="AQ308">
        <v>7</v>
      </c>
      <c r="AR308">
        <v>0.6</v>
      </c>
      <c r="AS308">
        <v>2.5</v>
      </c>
      <c r="AT308">
        <v>1.6</v>
      </c>
      <c r="AU308">
        <v>1.9</v>
      </c>
      <c r="AV308">
        <v>4</v>
      </c>
      <c r="AW308">
        <v>1.2</v>
      </c>
      <c r="AX308">
        <v>8.3000000000000007</v>
      </c>
    </row>
    <row r="309" spans="1:50" x14ac:dyDescent="0.2">
      <c r="A309" s="1" t="s">
        <v>319</v>
      </c>
      <c r="B309" s="1" t="s">
        <v>43</v>
      </c>
      <c r="C309">
        <v>39</v>
      </c>
      <c r="D309" s="1" t="s">
        <v>51</v>
      </c>
      <c r="E309">
        <v>44</v>
      </c>
      <c r="F309">
        <v>12</v>
      </c>
      <c r="G309">
        <v>21.6</v>
      </c>
      <c r="H309">
        <v>3.1</v>
      </c>
      <c r="I309">
        <v>7.3</v>
      </c>
      <c r="J309">
        <v>0.42599999999999999</v>
      </c>
      <c r="K309">
        <v>1.7</v>
      </c>
      <c r="L309">
        <v>4.5999999999999996</v>
      </c>
      <c r="M309">
        <v>0.36299999999999999</v>
      </c>
      <c r="N309">
        <v>0.5</v>
      </c>
      <c r="O309">
        <v>0.6</v>
      </c>
      <c r="P309">
        <v>0.84599999999999997</v>
      </c>
      <c r="Q309">
        <v>1</v>
      </c>
      <c r="R309">
        <v>3.9</v>
      </c>
      <c r="S309">
        <v>4.9000000000000004</v>
      </c>
      <c r="T309">
        <v>2.6</v>
      </c>
      <c r="U309">
        <v>0.7</v>
      </c>
      <c r="V309">
        <v>1.2</v>
      </c>
      <c r="W309">
        <v>0.9</v>
      </c>
      <c r="X309">
        <v>1.2</v>
      </c>
      <c r="Y309">
        <v>8.3000000000000007</v>
      </c>
      <c r="AP309">
        <v>3.1</v>
      </c>
      <c r="AQ309">
        <v>7.3</v>
      </c>
      <c r="AR309">
        <v>1.7</v>
      </c>
      <c r="AS309">
        <v>4.5999999999999996</v>
      </c>
      <c r="AT309">
        <v>0.5</v>
      </c>
      <c r="AU309">
        <v>0.6</v>
      </c>
      <c r="AV309">
        <v>4.9000000000000004</v>
      </c>
      <c r="AW309">
        <v>2.6</v>
      </c>
      <c r="AX309">
        <v>8.3000000000000007</v>
      </c>
    </row>
    <row r="310" spans="1:50" x14ac:dyDescent="0.2">
      <c r="A310" s="1" t="s">
        <v>320</v>
      </c>
      <c r="B310" s="1" t="s">
        <v>23</v>
      </c>
      <c r="C310">
        <v>24</v>
      </c>
      <c r="D310" s="1" t="s">
        <v>27</v>
      </c>
      <c r="E310">
        <v>81</v>
      </c>
      <c r="F310">
        <v>43</v>
      </c>
      <c r="G310">
        <v>25.1</v>
      </c>
      <c r="H310">
        <v>3</v>
      </c>
      <c r="I310">
        <v>6.4</v>
      </c>
      <c r="J310">
        <v>0.46</v>
      </c>
      <c r="K310">
        <v>1</v>
      </c>
      <c r="L310">
        <v>3</v>
      </c>
      <c r="M310">
        <v>0.32200000000000001</v>
      </c>
      <c r="N310">
        <v>1.4</v>
      </c>
      <c r="O310">
        <v>1.9</v>
      </c>
      <c r="P310">
        <v>0.76300000000000001</v>
      </c>
      <c r="Q310">
        <v>1.4</v>
      </c>
      <c r="R310">
        <v>2.5</v>
      </c>
      <c r="S310">
        <v>4</v>
      </c>
      <c r="T310">
        <v>1.8</v>
      </c>
      <c r="U310">
        <v>1.3</v>
      </c>
      <c r="V310">
        <v>0.5</v>
      </c>
      <c r="W310">
        <v>1.1000000000000001</v>
      </c>
      <c r="X310">
        <v>2.4</v>
      </c>
      <c r="Y310">
        <v>8.3000000000000007</v>
      </c>
      <c r="AP310">
        <v>3</v>
      </c>
      <c r="AQ310">
        <v>6.4</v>
      </c>
      <c r="AR310">
        <v>1</v>
      </c>
      <c r="AS310">
        <v>3</v>
      </c>
      <c r="AT310">
        <v>1.4</v>
      </c>
      <c r="AU310">
        <v>1.9</v>
      </c>
      <c r="AV310">
        <v>4</v>
      </c>
      <c r="AW310">
        <v>1.8</v>
      </c>
      <c r="AX310">
        <v>8.3000000000000007</v>
      </c>
    </row>
    <row r="311" spans="1:50" x14ac:dyDescent="0.2">
      <c r="A311" s="1" t="s">
        <v>321</v>
      </c>
      <c r="B311" s="1" t="s">
        <v>31</v>
      </c>
      <c r="C311">
        <v>26</v>
      </c>
      <c r="D311" s="1" t="s">
        <v>66</v>
      </c>
      <c r="E311">
        <v>14</v>
      </c>
      <c r="F311">
        <v>3</v>
      </c>
      <c r="G311">
        <v>23.1</v>
      </c>
      <c r="H311">
        <v>3.2</v>
      </c>
      <c r="I311">
        <v>6.4</v>
      </c>
      <c r="J311">
        <v>0.5</v>
      </c>
      <c r="K311">
        <v>1.3</v>
      </c>
      <c r="L311">
        <v>2.9</v>
      </c>
      <c r="M311">
        <v>0.45</v>
      </c>
      <c r="N311">
        <v>0.6</v>
      </c>
      <c r="O311">
        <v>0.6</v>
      </c>
      <c r="P311">
        <v>1</v>
      </c>
      <c r="Q311">
        <v>0.8</v>
      </c>
      <c r="R311">
        <v>2.5</v>
      </c>
      <c r="S311">
        <v>3.3</v>
      </c>
      <c r="T311">
        <v>3.1</v>
      </c>
      <c r="U311">
        <v>0.9</v>
      </c>
      <c r="V311">
        <v>0.3</v>
      </c>
      <c r="W311">
        <v>0.9</v>
      </c>
      <c r="X311">
        <v>0.7</v>
      </c>
      <c r="Y311">
        <v>8.3000000000000007</v>
      </c>
      <c r="AP311">
        <v>3.2</v>
      </c>
      <c r="AQ311">
        <v>6.4</v>
      </c>
      <c r="AR311">
        <v>1.3</v>
      </c>
      <c r="AS311">
        <v>2.9</v>
      </c>
      <c r="AT311">
        <v>0.6</v>
      </c>
      <c r="AU311">
        <v>0.6</v>
      </c>
      <c r="AV311">
        <v>3.3</v>
      </c>
      <c r="AW311">
        <v>3.1</v>
      </c>
      <c r="AX311">
        <v>8.3000000000000007</v>
      </c>
    </row>
    <row r="312" spans="1:50" x14ac:dyDescent="0.2">
      <c r="A312" s="1" t="s">
        <v>322</v>
      </c>
      <c r="B312" s="1" t="s">
        <v>26</v>
      </c>
      <c r="C312">
        <v>24</v>
      </c>
      <c r="D312" s="1" t="s">
        <v>51</v>
      </c>
      <c r="E312">
        <v>18</v>
      </c>
      <c r="F312">
        <v>1</v>
      </c>
      <c r="G312">
        <v>16.2</v>
      </c>
      <c r="H312">
        <v>2.6</v>
      </c>
      <c r="I312">
        <v>6.5</v>
      </c>
      <c r="J312">
        <v>0.40200000000000002</v>
      </c>
      <c r="K312">
        <v>2.1</v>
      </c>
      <c r="L312">
        <v>5.2</v>
      </c>
      <c r="M312">
        <v>0.39400000000000002</v>
      </c>
      <c r="N312">
        <v>0.9</v>
      </c>
      <c r="O312">
        <v>1.1000000000000001</v>
      </c>
      <c r="P312">
        <v>0.89500000000000002</v>
      </c>
      <c r="Q312">
        <v>0.2</v>
      </c>
      <c r="R312">
        <v>1.3</v>
      </c>
      <c r="S312">
        <v>1.6</v>
      </c>
      <c r="T312">
        <v>1</v>
      </c>
      <c r="U312">
        <v>0.2</v>
      </c>
      <c r="V312">
        <v>0</v>
      </c>
      <c r="W312">
        <v>0.8</v>
      </c>
      <c r="X312">
        <v>1.6</v>
      </c>
      <c r="Y312">
        <v>8.1999999999999993</v>
      </c>
      <c r="AP312">
        <v>2.6</v>
      </c>
      <c r="AQ312">
        <v>6.5</v>
      </c>
      <c r="AR312">
        <v>2.1</v>
      </c>
      <c r="AS312">
        <v>5.2</v>
      </c>
      <c r="AT312">
        <v>0.9</v>
      </c>
      <c r="AU312">
        <v>1.1000000000000001</v>
      </c>
      <c r="AV312">
        <v>1.6</v>
      </c>
      <c r="AW312">
        <v>1</v>
      </c>
      <c r="AX312">
        <v>8.1999999999999993</v>
      </c>
    </row>
    <row r="313" spans="1:50" x14ac:dyDescent="0.2">
      <c r="A313" s="1" t="s">
        <v>323</v>
      </c>
      <c r="B313" s="1" t="s">
        <v>31</v>
      </c>
      <c r="C313">
        <v>23</v>
      </c>
      <c r="D313" s="1" t="s">
        <v>81</v>
      </c>
      <c r="E313">
        <v>42</v>
      </c>
      <c r="F313">
        <v>13</v>
      </c>
      <c r="G313">
        <v>21</v>
      </c>
      <c r="H313">
        <v>2.7</v>
      </c>
      <c r="I313">
        <v>5.6</v>
      </c>
      <c r="J313">
        <v>0.48099999999999998</v>
      </c>
      <c r="K313">
        <v>0.9</v>
      </c>
      <c r="L313">
        <v>2.2000000000000002</v>
      </c>
      <c r="M313">
        <v>0.40899999999999997</v>
      </c>
      <c r="N313">
        <v>1.8</v>
      </c>
      <c r="O313">
        <v>2.2999999999999998</v>
      </c>
      <c r="P313">
        <v>0.77900000000000003</v>
      </c>
      <c r="Q313">
        <v>0.3</v>
      </c>
      <c r="R313">
        <v>1.8</v>
      </c>
      <c r="S313">
        <v>2.1</v>
      </c>
      <c r="T313">
        <v>1.5</v>
      </c>
      <c r="U313">
        <v>0.6</v>
      </c>
      <c r="V313">
        <v>0.2</v>
      </c>
      <c r="W313">
        <v>0.4</v>
      </c>
      <c r="X313">
        <v>2.1</v>
      </c>
      <c r="Y313">
        <v>8.1</v>
      </c>
      <c r="AP313">
        <v>2.7</v>
      </c>
      <c r="AQ313">
        <v>5.6</v>
      </c>
      <c r="AR313">
        <v>0.9</v>
      </c>
      <c r="AS313">
        <v>2.2000000000000002</v>
      </c>
      <c r="AT313">
        <v>1.8</v>
      </c>
      <c r="AU313">
        <v>2.2999999999999998</v>
      </c>
      <c r="AV313">
        <v>2.1</v>
      </c>
      <c r="AW313">
        <v>1.5</v>
      </c>
      <c r="AX313">
        <v>8.1</v>
      </c>
    </row>
    <row r="314" spans="1:50" x14ac:dyDescent="0.2">
      <c r="A314" s="1" t="s">
        <v>324</v>
      </c>
      <c r="B314" s="1" t="s">
        <v>31</v>
      </c>
      <c r="C314">
        <v>27</v>
      </c>
      <c r="D314" s="1" t="s">
        <v>46</v>
      </c>
      <c r="E314">
        <v>65</v>
      </c>
      <c r="F314">
        <v>21</v>
      </c>
      <c r="G314">
        <v>21.2</v>
      </c>
      <c r="H314">
        <v>2.8</v>
      </c>
      <c r="I314">
        <v>7.3</v>
      </c>
      <c r="J314">
        <v>0.38700000000000001</v>
      </c>
      <c r="K314">
        <v>1.9</v>
      </c>
      <c r="L314">
        <v>5.3</v>
      </c>
      <c r="M314">
        <v>0.36</v>
      </c>
      <c r="N314">
        <v>0.6</v>
      </c>
      <c r="O314">
        <v>0.8</v>
      </c>
      <c r="P314">
        <v>0.76900000000000002</v>
      </c>
      <c r="Q314">
        <v>0.1</v>
      </c>
      <c r="R314">
        <v>0.9</v>
      </c>
      <c r="S314">
        <v>1</v>
      </c>
      <c r="T314">
        <v>1.2</v>
      </c>
      <c r="U314">
        <v>0.5</v>
      </c>
      <c r="V314">
        <v>0</v>
      </c>
      <c r="W314">
        <v>0.6</v>
      </c>
      <c r="X314">
        <v>1.3</v>
      </c>
      <c r="Y314">
        <v>8.1</v>
      </c>
      <c r="AP314">
        <v>2.8</v>
      </c>
      <c r="AQ314">
        <v>7.3</v>
      </c>
      <c r="AR314">
        <v>1.9</v>
      </c>
      <c r="AS314">
        <v>5.3</v>
      </c>
      <c r="AT314">
        <v>0.6</v>
      </c>
      <c r="AU314">
        <v>0.8</v>
      </c>
      <c r="AV314">
        <v>1</v>
      </c>
      <c r="AW314">
        <v>1.2</v>
      </c>
      <c r="AX314">
        <v>8.1</v>
      </c>
    </row>
    <row r="315" spans="1:50" x14ac:dyDescent="0.2">
      <c r="A315" s="1" t="s">
        <v>325</v>
      </c>
      <c r="B315" s="1" t="s">
        <v>31</v>
      </c>
      <c r="C315">
        <v>28</v>
      </c>
      <c r="D315" s="1" t="s">
        <v>104</v>
      </c>
      <c r="E315">
        <v>11</v>
      </c>
      <c r="F315">
        <v>0</v>
      </c>
      <c r="G315">
        <v>21</v>
      </c>
      <c r="H315">
        <v>3</v>
      </c>
      <c r="I315">
        <v>7.5</v>
      </c>
      <c r="J315">
        <v>0.39800000000000002</v>
      </c>
      <c r="K315">
        <v>0.4</v>
      </c>
      <c r="L315">
        <v>2.7</v>
      </c>
      <c r="M315">
        <v>0.13300000000000001</v>
      </c>
      <c r="N315">
        <v>1.6</v>
      </c>
      <c r="O315">
        <v>2.1</v>
      </c>
      <c r="P315">
        <v>0.78300000000000003</v>
      </c>
      <c r="Q315">
        <v>1.1000000000000001</v>
      </c>
      <c r="R315">
        <v>3.5</v>
      </c>
      <c r="S315">
        <v>4.5999999999999996</v>
      </c>
      <c r="T315">
        <v>3.3</v>
      </c>
      <c r="U315">
        <v>0.9</v>
      </c>
      <c r="V315">
        <v>0.7</v>
      </c>
      <c r="W315">
        <v>2.4</v>
      </c>
      <c r="X315">
        <v>2.5</v>
      </c>
      <c r="Y315">
        <v>8</v>
      </c>
      <c r="AP315">
        <v>3</v>
      </c>
      <c r="AQ315">
        <v>7.5</v>
      </c>
      <c r="AR315">
        <v>0.4</v>
      </c>
      <c r="AS315">
        <v>2.7</v>
      </c>
      <c r="AT315">
        <v>1.6</v>
      </c>
      <c r="AU315">
        <v>2.1</v>
      </c>
      <c r="AV315">
        <v>4.5999999999999996</v>
      </c>
      <c r="AW315">
        <v>3.3</v>
      </c>
      <c r="AX315">
        <v>8</v>
      </c>
    </row>
    <row r="316" spans="1:50" x14ac:dyDescent="0.2">
      <c r="A316" s="1" t="s">
        <v>326</v>
      </c>
      <c r="B316" s="1" t="s">
        <v>43</v>
      </c>
      <c r="C316">
        <v>24</v>
      </c>
      <c r="D316" s="1" t="s">
        <v>98</v>
      </c>
      <c r="E316">
        <v>72</v>
      </c>
      <c r="F316">
        <v>46</v>
      </c>
      <c r="G316">
        <v>26</v>
      </c>
      <c r="H316">
        <v>3.2</v>
      </c>
      <c r="I316">
        <v>5</v>
      </c>
      <c r="J316">
        <v>0.63100000000000001</v>
      </c>
      <c r="K316">
        <v>0</v>
      </c>
      <c r="L316">
        <v>0</v>
      </c>
      <c r="M316">
        <v>0.5</v>
      </c>
      <c r="N316">
        <v>1.6</v>
      </c>
      <c r="O316">
        <v>2.4</v>
      </c>
      <c r="P316">
        <v>0.65900000000000003</v>
      </c>
      <c r="Q316">
        <v>3.7</v>
      </c>
      <c r="R316">
        <v>5</v>
      </c>
      <c r="S316">
        <v>8.6999999999999993</v>
      </c>
      <c r="T316">
        <v>1.9</v>
      </c>
      <c r="U316">
        <v>0.8</v>
      </c>
      <c r="V316">
        <v>1</v>
      </c>
      <c r="W316">
        <v>1</v>
      </c>
      <c r="X316">
        <v>2.4</v>
      </c>
      <c r="Y316">
        <v>7.9</v>
      </c>
      <c r="AP316">
        <v>3.2</v>
      </c>
      <c r="AQ316">
        <v>5</v>
      </c>
      <c r="AR316">
        <v>0</v>
      </c>
      <c r="AS316">
        <v>0</v>
      </c>
      <c r="AT316">
        <v>1.6</v>
      </c>
      <c r="AU316">
        <v>2.4</v>
      </c>
      <c r="AV316">
        <v>8.6999999999999993</v>
      </c>
      <c r="AW316">
        <v>1.9</v>
      </c>
      <c r="AX316">
        <v>7.9</v>
      </c>
    </row>
    <row r="317" spans="1:50" x14ac:dyDescent="0.2">
      <c r="A317" s="1" t="s">
        <v>327</v>
      </c>
      <c r="B317" s="1" t="s">
        <v>31</v>
      </c>
      <c r="C317">
        <v>26</v>
      </c>
      <c r="D317" s="1" t="s">
        <v>51</v>
      </c>
      <c r="E317">
        <v>13</v>
      </c>
      <c r="F317">
        <v>2</v>
      </c>
      <c r="G317">
        <v>17.5</v>
      </c>
      <c r="H317">
        <v>3.1</v>
      </c>
      <c r="I317">
        <v>6.2</v>
      </c>
      <c r="J317">
        <v>0.49399999999999999</v>
      </c>
      <c r="K317">
        <v>0.9</v>
      </c>
      <c r="L317">
        <v>2.1</v>
      </c>
      <c r="M317">
        <v>0.44400000000000001</v>
      </c>
      <c r="N317">
        <v>0.8</v>
      </c>
      <c r="O317">
        <v>1</v>
      </c>
      <c r="P317">
        <v>0.84599999999999997</v>
      </c>
      <c r="Q317">
        <v>1.4</v>
      </c>
      <c r="R317">
        <v>0.8</v>
      </c>
      <c r="S317">
        <v>2.2000000000000002</v>
      </c>
      <c r="T317">
        <v>1</v>
      </c>
      <c r="U317">
        <v>0.4</v>
      </c>
      <c r="V317">
        <v>0</v>
      </c>
      <c r="W317">
        <v>1.2</v>
      </c>
      <c r="X317">
        <v>1.9</v>
      </c>
      <c r="Y317">
        <v>7.9</v>
      </c>
      <c r="AP317">
        <v>3.1</v>
      </c>
      <c r="AQ317">
        <v>6.2</v>
      </c>
      <c r="AR317">
        <v>0.9</v>
      </c>
      <c r="AS317">
        <v>2.1</v>
      </c>
      <c r="AT317">
        <v>0.8</v>
      </c>
      <c r="AU317">
        <v>1</v>
      </c>
      <c r="AV317">
        <v>2.2000000000000002</v>
      </c>
      <c r="AW317">
        <v>1</v>
      </c>
      <c r="AX317">
        <v>7.9</v>
      </c>
    </row>
    <row r="318" spans="1:50" x14ac:dyDescent="0.2">
      <c r="A318" s="1" t="s">
        <v>328</v>
      </c>
      <c r="B318" s="1" t="s">
        <v>26</v>
      </c>
      <c r="C318">
        <v>22</v>
      </c>
      <c r="D318" s="1" t="s">
        <v>70</v>
      </c>
      <c r="E318">
        <v>69</v>
      </c>
      <c r="F318">
        <v>6</v>
      </c>
      <c r="G318">
        <v>20.399999999999999</v>
      </c>
      <c r="H318">
        <v>2.6</v>
      </c>
      <c r="I318">
        <v>6.7</v>
      </c>
      <c r="J318">
        <v>0.38400000000000001</v>
      </c>
      <c r="K318">
        <v>1.1000000000000001</v>
      </c>
      <c r="L318">
        <v>3.5</v>
      </c>
      <c r="M318">
        <v>0.307</v>
      </c>
      <c r="N318">
        <v>1.6</v>
      </c>
      <c r="O318">
        <v>1.8</v>
      </c>
      <c r="P318">
        <v>0.90100000000000002</v>
      </c>
      <c r="Q318">
        <v>0.4</v>
      </c>
      <c r="R318">
        <v>1.7</v>
      </c>
      <c r="S318">
        <v>2</v>
      </c>
      <c r="T318">
        <v>4</v>
      </c>
      <c r="U318">
        <v>0.6</v>
      </c>
      <c r="V318">
        <v>0.3</v>
      </c>
      <c r="W318">
        <v>1.7</v>
      </c>
      <c r="X318">
        <v>1.7</v>
      </c>
      <c r="Y318">
        <v>7.8</v>
      </c>
      <c r="AP318">
        <v>2.6</v>
      </c>
      <c r="AQ318">
        <v>6.7</v>
      </c>
      <c r="AR318">
        <v>1.1000000000000001</v>
      </c>
      <c r="AS318">
        <v>3.5</v>
      </c>
      <c r="AT318">
        <v>1.6</v>
      </c>
      <c r="AU318">
        <v>1.8</v>
      </c>
      <c r="AV318">
        <v>2</v>
      </c>
      <c r="AW318">
        <v>4</v>
      </c>
      <c r="AX318">
        <v>7.8</v>
      </c>
    </row>
    <row r="319" spans="1:50" x14ac:dyDescent="0.2">
      <c r="A319" s="1" t="s">
        <v>328</v>
      </c>
      <c r="B319" s="1" t="s">
        <v>26</v>
      </c>
      <c r="C319">
        <v>22</v>
      </c>
      <c r="D319" s="1" t="s">
        <v>49</v>
      </c>
      <c r="E319">
        <v>45</v>
      </c>
      <c r="F319">
        <v>0</v>
      </c>
      <c r="G319">
        <v>18</v>
      </c>
      <c r="H319">
        <v>2.2999999999999998</v>
      </c>
      <c r="I319">
        <v>5.7</v>
      </c>
      <c r="J319">
        <v>0.39800000000000002</v>
      </c>
      <c r="K319">
        <v>1</v>
      </c>
      <c r="L319">
        <v>3.2</v>
      </c>
      <c r="M319">
        <v>0.308</v>
      </c>
      <c r="N319">
        <v>1.3</v>
      </c>
      <c r="O319">
        <v>1.4</v>
      </c>
      <c r="P319">
        <v>0.93500000000000005</v>
      </c>
      <c r="Q319">
        <v>0.3</v>
      </c>
      <c r="R319">
        <v>1.6</v>
      </c>
      <c r="S319">
        <v>2</v>
      </c>
      <c r="T319">
        <v>3.2</v>
      </c>
      <c r="U319">
        <v>0.5</v>
      </c>
      <c r="V319">
        <v>0.3</v>
      </c>
      <c r="W319">
        <v>1.3</v>
      </c>
      <c r="X319">
        <v>1.7</v>
      </c>
      <c r="Y319">
        <v>6.8</v>
      </c>
      <c r="AP319">
        <v>2.2999999999999998</v>
      </c>
      <c r="AQ319">
        <v>5.7</v>
      </c>
      <c r="AR319">
        <v>1</v>
      </c>
      <c r="AS319">
        <v>3.2</v>
      </c>
      <c r="AT319">
        <v>1.3</v>
      </c>
      <c r="AU319">
        <v>1.4</v>
      </c>
      <c r="AV319">
        <v>2</v>
      </c>
      <c r="AW319">
        <v>3.2</v>
      </c>
      <c r="AX319">
        <v>6.8</v>
      </c>
    </row>
    <row r="320" spans="1:50" x14ac:dyDescent="0.2">
      <c r="A320" s="1" t="s">
        <v>328</v>
      </c>
      <c r="B320" s="1" t="s">
        <v>26</v>
      </c>
      <c r="C320">
        <v>22</v>
      </c>
      <c r="D320" s="1" t="s">
        <v>104</v>
      </c>
      <c r="E320">
        <v>24</v>
      </c>
      <c r="F320">
        <v>6</v>
      </c>
      <c r="G320">
        <v>25</v>
      </c>
      <c r="H320">
        <v>3.1</v>
      </c>
      <c r="I320">
        <v>8.5</v>
      </c>
      <c r="J320">
        <v>0.36599999999999999</v>
      </c>
      <c r="K320">
        <v>1.3</v>
      </c>
      <c r="L320">
        <v>4.2</v>
      </c>
      <c r="M320">
        <v>0.307</v>
      </c>
      <c r="N320">
        <v>2.1</v>
      </c>
      <c r="O320">
        <v>2.5</v>
      </c>
      <c r="P320">
        <v>0.86399999999999999</v>
      </c>
      <c r="Q320">
        <v>0.4</v>
      </c>
      <c r="R320">
        <v>1.7</v>
      </c>
      <c r="S320">
        <v>2.1</v>
      </c>
      <c r="T320">
        <v>5.7</v>
      </c>
      <c r="U320">
        <v>0.8</v>
      </c>
      <c r="V320">
        <v>0.3</v>
      </c>
      <c r="W320">
        <v>2.5</v>
      </c>
      <c r="X320">
        <v>1.7</v>
      </c>
      <c r="Y320">
        <v>9.6999999999999993</v>
      </c>
      <c r="AP320">
        <v>3.1</v>
      </c>
      <c r="AQ320">
        <v>8.5</v>
      </c>
      <c r="AR320">
        <v>1.3</v>
      </c>
      <c r="AS320">
        <v>4.2</v>
      </c>
      <c r="AT320">
        <v>2.1</v>
      </c>
      <c r="AU320">
        <v>2.5</v>
      </c>
      <c r="AV320">
        <v>2.1</v>
      </c>
      <c r="AW320">
        <v>5.7</v>
      </c>
      <c r="AX320">
        <v>9.6999999999999993</v>
      </c>
    </row>
    <row r="321" spans="1:50" x14ac:dyDescent="0.2">
      <c r="A321" s="1" t="s">
        <v>329</v>
      </c>
      <c r="B321" s="1" t="s">
        <v>31</v>
      </c>
      <c r="C321">
        <v>29</v>
      </c>
      <c r="D321" s="1" t="s">
        <v>44</v>
      </c>
      <c r="E321">
        <v>81</v>
      </c>
      <c r="F321">
        <v>3</v>
      </c>
      <c r="G321">
        <v>24.3</v>
      </c>
      <c r="H321">
        <v>3</v>
      </c>
      <c r="I321">
        <v>6.3</v>
      </c>
      <c r="J321">
        <v>0.46899999999999997</v>
      </c>
      <c r="K321">
        <v>0.7</v>
      </c>
      <c r="L321">
        <v>1.8</v>
      </c>
      <c r="M321">
        <v>0.38800000000000001</v>
      </c>
      <c r="N321">
        <v>1.2</v>
      </c>
      <c r="O321">
        <v>1.6</v>
      </c>
      <c r="P321">
        <v>0.76200000000000001</v>
      </c>
      <c r="Q321">
        <v>1</v>
      </c>
      <c r="R321">
        <v>2.8</v>
      </c>
      <c r="S321">
        <v>3.9</v>
      </c>
      <c r="T321">
        <v>2.1</v>
      </c>
      <c r="U321">
        <v>1</v>
      </c>
      <c r="V321">
        <v>0.2</v>
      </c>
      <c r="W321">
        <v>1.1000000000000001</v>
      </c>
      <c r="X321">
        <v>2.4</v>
      </c>
      <c r="Y321">
        <v>7.8</v>
      </c>
      <c r="AP321">
        <v>3</v>
      </c>
      <c r="AQ321">
        <v>6.3</v>
      </c>
      <c r="AR321">
        <v>0.7</v>
      </c>
      <c r="AS321">
        <v>1.8</v>
      </c>
      <c r="AT321">
        <v>1.2</v>
      </c>
      <c r="AU321">
        <v>1.6</v>
      </c>
      <c r="AV321">
        <v>3.9</v>
      </c>
      <c r="AW321">
        <v>2.1</v>
      </c>
      <c r="AX321">
        <v>7.8</v>
      </c>
    </row>
    <row r="322" spans="1:50" x14ac:dyDescent="0.2">
      <c r="A322" s="1" t="s">
        <v>330</v>
      </c>
      <c r="B322" s="1" t="s">
        <v>26</v>
      </c>
      <c r="C322">
        <v>24</v>
      </c>
      <c r="D322" s="1" t="s">
        <v>113</v>
      </c>
      <c r="E322">
        <v>40</v>
      </c>
      <c r="F322">
        <v>1</v>
      </c>
      <c r="G322">
        <v>16.8</v>
      </c>
      <c r="H322">
        <v>3</v>
      </c>
      <c r="I322">
        <v>5.9</v>
      </c>
      <c r="J322">
        <v>0.504</v>
      </c>
      <c r="K322">
        <v>0.7</v>
      </c>
      <c r="L322">
        <v>1.8</v>
      </c>
      <c r="M322">
        <v>0.375</v>
      </c>
      <c r="N322">
        <v>1.2</v>
      </c>
      <c r="O322">
        <v>1.5</v>
      </c>
      <c r="P322">
        <v>0.82799999999999996</v>
      </c>
      <c r="Q322">
        <v>0.4</v>
      </c>
      <c r="R322">
        <v>1.7</v>
      </c>
      <c r="S322">
        <v>2.1</v>
      </c>
      <c r="T322">
        <v>3</v>
      </c>
      <c r="U322">
        <v>0.4</v>
      </c>
      <c r="V322">
        <v>0.1</v>
      </c>
      <c r="W322">
        <v>1.5</v>
      </c>
      <c r="X322">
        <v>1.5</v>
      </c>
      <c r="Y322">
        <v>7.8</v>
      </c>
      <c r="AP322">
        <v>3</v>
      </c>
      <c r="AQ322">
        <v>5.9</v>
      </c>
      <c r="AR322">
        <v>0.7</v>
      </c>
      <c r="AS322">
        <v>1.8</v>
      </c>
      <c r="AT322">
        <v>1.2</v>
      </c>
      <c r="AU322">
        <v>1.5</v>
      </c>
      <c r="AV322">
        <v>2.1</v>
      </c>
      <c r="AW322">
        <v>3</v>
      </c>
      <c r="AX322">
        <v>7.8</v>
      </c>
    </row>
    <row r="323" spans="1:50" x14ac:dyDescent="0.2">
      <c r="A323" s="1" t="s">
        <v>331</v>
      </c>
      <c r="B323" s="1" t="s">
        <v>43</v>
      </c>
      <c r="C323">
        <v>27</v>
      </c>
      <c r="D323" s="1" t="s">
        <v>35</v>
      </c>
      <c r="E323">
        <v>68</v>
      </c>
      <c r="F323">
        <v>5</v>
      </c>
      <c r="G323">
        <v>15.9</v>
      </c>
      <c r="H323">
        <v>2.9</v>
      </c>
      <c r="I323">
        <v>5</v>
      </c>
      <c r="J323">
        <v>0.57799999999999996</v>
      </c>
      <c r="K323">
        <v>0.8</v>
      </c>
      <c r="L323">
        <v>1.8</v>
      </c>
      <c r="M323">
        <v>0.43</v>
      </c>
      <c r="N323">
        <v>1.3</v>
      </c>
      <c r="O323">
        <v>1.7</v>
      </c>
      <c r="P323">
        <v>0.76100000000000001</v>
      </c>
      <c r="Q323">
        <v>2.2000000000000002</v>
      </c>
      <c r="R323">
        <v>1.7</v>
      </c>
      <c r="S323">
        <v>4</v>
      </c>
      <c r="T323">
        <v>1</v>
      </c>
      <c r="U323">
        <v>0.4</v>
      </c>
      <c r="V323">
        <v>0.4</v>
      </c>
      <c r="W323">
        <v>0.6</v>
      </c>
      <c r="X323">
        <v>2.2999999999999998</v>
      </c>
      <c r="Y323">
        <v>7.8</v>
      </c>
      <c r="AP323">
        <v>2.9</v>
      </c>
      <c r="AQ323">
        <v>5</v>
      </c>
      <c r="AR323">
        <v>0.8</v>
      </c>
      <c r="AS323">
        <v>1.8</v>
      </c>
      <c r="AT323">
        <v>1.3</v>
      </c>
      <c r="AU323">
        <v>1.7</v>
      </c>
      <c r="AV323">
        <v>4</v>
      </c>
      <c r="AW323">
        <v>1</v>
      </c>
      <c r="AX323">
        <v>7.8</v>
      </c>
    </row>
    <row r="324" spans="1:50" x14ac:dyDescent="0.2">
      <c r="A324" s="1" t="s">
        <v>332</v>
      </c>
      <c r="B324" s="1" t="s">
        <v>34</v>
      </c>
      <c r="C324">
        <v>26</v>
      </c>
      <c r="D324" s="1" t="s">
        <v>68</v>
      </c>
      <c r="E324">
        <v>12</v>
      </c>
      <c r="F324">
        <v>5</v>
      </c>
      <c r="G324">
        <v>23.6</v>
      </c>
      <c r="H324">
        <v>2.8</v>
      </c>
      <c r="I324">
        <v>6.3</v>
      </c>
      <c r="J324">
        <v>0.44</v>
      </c>
      <c r="K324">
        <v>1.3</v>
      </c>
      <c r="L324">
        <v>3.3</v>
      </c>
      <c r="M324">
        <v>0.38500000000000001</v>
      </c>
      <c r="N324">
        <v>1</v>
      </c>
      <c r="O324">
        <v>1.3</v>
      </c>
      <c r="P324">
        <v>0.8</v>
      </c>
      <c r="Q324">
        <v>0.6</v>
      </c>
      <c r="R324">
        <v>4</v>
      </c>
      <c r="S324">
        <v>4.5999999999999996</v>
      </c>
      <c r="T324">
        <v>2.7</v>
      </c>
      <c r="U324">
        <v>1.3</v>
      </c>
      <c r="V324">
        <v>1.1000000000000001</v>
      </c>
      <c r="W324">
        <v>1.4</v>
      </c>
      <c r="X324">
        <v>2</v>
      </c>
      <c r="Y324">
        <v>7.8</v>
      </c>
      <c r="AP324">
        <v>2.8</v>
      </c>
      <c r="AQ324">
        <v>6.3</v>
      </c>
      <c r="AR324">
        <v>1.3</v>
      </c>
      <c r="AS324">
        <v>3.3</v>
      </c>
      <c r="AT324">
        <v>1</v>
      </c>
      <c r="AU324">
        <v>1.3</v>
      </c>
      <c r="AV324">
        <v>4.5999999999999996</v>
      </c>
      <c r="AW324">
        <v>2.7</v>
      </c>
      <c r="AX324">
        <v>7.8</v>
      </c>
    </row>
    <row r="325" spans="1:50" x14ac:dyDescent="0.2">
      <c r="A325" s="1" t="s">
        <v>333</v>
      </c>
      <c r="B325" s="1" t="s">
        <v>23</v>
      </c>
      <c r="C325">
        <v>22</v>
      </c>
      <c r="D325" s="1" t="s">
        <v>37</v>
      </c>
      <c r="E325">
        <v>70</v>
      </c>
      <c r="F325">
        <v>59</v>
      </c>
      <c r="G325">
        <v>23.8</v>
      </c>
      <c r="H325">
        <v>3</v>
      </c>
      <c r="I325">
        <v>5.7</v>
      </c>
      <c r="J325">
        <v>0.53700000000000003</v>
      </c>
      <c r="K325">
        <v>0.3</v>
      </c>
      <c r="L325">
        <v>1.2</v>
      </c>
      <c r="M325">
        <v>0.25600000000000001</v>
      </c>
      <c r="N325">
        <v>1.3</v>
      </c>
      <c r="O325">
        <v>1.8</v>
      </c>
      <c r="P325">
        <v>0.71699999999999997</v>
      </c>
      <c r="Q325">
        <v>1.9</v>
      </c>
      <c r="R325">
        <v>2.9</v>
      </c>
      <c r="S325">
        <v>4.8</v>
      </c>
      <c r="T325">
        <v>1.2</v>
      </c>
      <c r="U325">
        <v>0.9</v>
      </c>
      <c r="V325">
        <v>0.8</v>
      </c>
      <c r="W325">
        <v>0.8</v>
      </c>
      <c r="X325">
        <v>2.1</v>
      </c>
      <c r="Y325">
        <v>7.7</v>
      </c>
      <c r="AP325">
        <v>3</v>
      </c>
      <c r="AQ325">
        <v>5.7</v>
      </c>
      <c r="AR325">
        <v>0.3</v>
      </c>
      <c r="AS325">
        <v>1.2</v>
      </c>
      <c r="AT325">
        <v>1.3</v>
      </c>
      <c r="AU325">
        <v>1.8</v>
      </c>
      <c r="AV325">
        <v>4.8</v>
      </c>
      <c r="AW325">
        <v>1.2</v>
      </c>
      <c r="AX325">
        <v>7.7</v>
      </c>
    </row>
    <row r="326" spans="1:50" x14ac:dyDescent="0.2">
      <c r="A326" s="1" t="s">
        <v>334</v>
      </c>
      <c r="B326" s="1" t="s">
        <v>34</v>
      </c>
      <c r="C326">
        <v>23</v>
      </c>
      <c r="D326" s="1" t="s">
        <v>66</v>
      </c>
      <c r="E326">
        <v>16</v>
      </c>
      <c r="F326">
        <v>1</v>
      </c>
      <c r="G326">
        <v>19.399999999999999</v>
      </c>
      <c r="H326">
        <v>2.8</v>
      </c>
      <c r="I326">
        <v>5</v>
      </c>
      <c r="J326">
        <v>0.56299999999999994</v>
      </c>
      <c r="K326">
        <v>0.6</v>
      </c>
      <c r="L326">
        <v>1.7</v>
      </c>
      <c r="M326">
        <v>0.33300000000000002</v>
      </c>
      <c r="N326">
        <v>1.5</v>
      </c>
      <c r="O326">
        <v>1.9</v>
      </c>
      <c r="P326">
        <v>0.8</v>
      </c>
      <c r="Q326">
        <v>1.8</v>
      </c>
      <c r="R326">
        <v>2.4</v>
      </c>
      <c r="S326">
        <v>4.0999999999999996</v>
      </c>
      <c r="T326">
        <v>2.1</v>
      </c>
      <c r="U326">
        <v>0.9</v>
      </c>
      <c r="V326">
        <v>0.6</v>
      </c>
      <c r="W326">
        <v>1.2</v>
      </c>
      <c r="X326">
        <v>3</v>
      </c>
      <c r="Y326">
        <v>7.7</v>
      </c>
      <c r="AP326">
        <v>2.8</v>
      </c>
      <c r="AQ326">
        <v>5</v>
      </c>
      <c r="AR326">
        <v>0.6</v>
      </c>
      <c r="AS326">
        <v>1.7</v>
      </c>
      <c r="AT326">
        <v>1.5</v>
      </c>
      <c r="AU326">
        <v>1.9</v>
      </c>
      <c r="AV326">
        <v>4.0999999999999996</v>
      </c>
      <c r="AW326">
        <v>2.1</v>
      </c>
      <c r="AX326">
        <v>7.7</v>
      </c>
    </row>
    <row r="327" spans="1:50" x14ac:dyDescent="0.2">
      <c r="A327" s="1" t="s">
        <v>335</v>
      </c>
      <c r="B327" s="1" t="s">
        <v>31</v>
      </c>
      <c r="C327">
        <v>22</v>
      </c>
      <c r="D327" s="1" t="s">
        <v>49</v>
      </c>
      <c r="E327">
        <v>14</v>
      </c>
      <c r="F327">
        <v>4</v>
      </c>
      <c r="G327">
        <v>31.7</v>
      </c>
      <c r="H327">
        <v>3.2</v>
      </c>
      <c r="I327">
        <v>6.4</v>
      </c>
      <c r="J327">
        <v>0.5</v>
      </c>
      <c r="K327">
        <v>0.4</v>
      </c>
      <c r="L327">
        <v>1.9</v>
      </c>
      <c r="M327">
        <v>0.185</v>
      </c>
      <c r="N327">
        <v>0.9</v>
      </c>
      <c r="O327">
        <v>1.4</v>
      </c>
      <c r="P327">
        <v>0.65</v>
      </c>
      <c r="Q327">
        <v>1.3</v>
      </c>
      <c r="R327">
        <v>2.5</v>
      </c>
      <c r="S327">
        <v>3.8</v>
      </c>
      <c r="T327">
        <v>3.8</v>
      </c>
      <c r="U327">
        <v>2.1</v>
      </c>
      <c r="V327">
        <v>0.4</v>
      </c>
      <c r="W327">
        <v>1.3</v>
      </c>
      <c r="X327">
        <v>3.1</v>
      </c>
      <c r="Y327">
        <v>7.7</v>
      </c>
      <c r="AP327">
        <v>3.2</v>
      </c>
      <c r="AQ327">
        <v>6.4</v>
      </c>
      <c r="AR327">
        <v>0.4</v>
      </c>
      <c r="AS327">
        <v>1.9</v>
      </c>
      <c r="AT327">
        <v>0.9</v>
      </c>
      <c r="AU327">
        <v>1.4</v>
      </c>
      <c r="AV327">
        <v>3.8</v>
      </c>
      <c r="AW327">
        <v>3.8</v>
      </c>
      <c r="AX327">
        <v>7.7</v>
      </c>
    </row>
    <row r="328" spans="1:50" x14ac:dyDescent="0.2">
      <c r="A328" s="1" t="s">
        <v>336</v>
      </c>
      <c r="B328" s="1" t="s">
        <v>23</v>
      </c>
      <c r="C328">
        <v>25</v>
      </c>
      <c r="D328" s="1" t="s">
        <v>51</v>
      </c>
      <c r="E328">
        <v>67</v>
      </c>
      <c r="F328">
        <v>35</v>
      </c>
      <c r="G328">
        <v>17.3</v>
      </c>
      <c r="H328">
        <v>2.9</v>
      </c>
      <c r="I328">
        <v>6.6</v>
      </c>
      <c r="J328">
        <v>0.44</v>
      </c>
      <c r="K328">
        <v>1.4</v>
      </c>
      <c r="L328">
        <v>4.0999999999999996</v>
      </c>
      <c r="M328">
        <v>0.33600000000000002</v>
      </c>
      <c r="N328">
        <v>0.5</v>
      </c>
      <c r="O328">
        <v>0.6</v>
      </c>
      <c r="P328">
        <v>0.79100000000000004</v>
      </c>
      <c r="Q328">
        <v>1</v>
      </c>
      <c r="R328">
        <v>3</v>
      </c>
      <c r="S328">
        <v>4</v>
      </c>
      <c r="T328">
        <v>1.4</v>
      </c>
      <c r="U328">
        <v>0.4</v>
      </c>
      <c r="V328">
        <v>0.5</v>
      </c>
      <c r="W328">
        <v>0.8</v>
      </c>
      <c r="X328">
        <v>1.9</v>
      </c>
      <c r="Y328">
        <v>7.7</v>
      </c>
      <c r="AP328">
        <v>2.9</v>
      </c>
      <c r="AQ328">
        <v>6.6</v>
      </c>
      <c r="AR328">
        <v>1.4</v>
      </c>
      <c r="AS328">
        <v>4.0999999999999996</v>
      </c>
      <c r="AT328">
        <v>0.5</v>
      </c>
      <c r="AU328">
        <v>0.6</v>
      </c>
      <c r="AV328">
        <v>4</v>
      </c>
      <c r="AW328">
        <v>1.4</v>
      </c>
      <c r="AX328">
        <v>7.7</v>
      </c>
    </row>
    <row r="329" spans="1:50" x14ac:dyDescent="0.2">
      <c r="A329" s="1" t="s">
        <v>337</v>
      </c>
      <c r="B329" s="1" t="s">
        <v>34</v>
      </c>
      <c r="C329">
        <v>22</v>
      </c>
      <c r="D329" s="1" t="s">
        <v>70</v>
      </c>
      <c r="E329">
        <v>45</v>
      </c>
      <c r="F329">
        <v>11</v>
      </c>
      <c r="G329">
        <v>15.2</v>
      </c>
      <c r="H329">
        <v>3</v>
      </c>
      <c r="I329">
        <v>5.6</v>
      </c>
      <c r="J329">
        <v>0.54800000000000004</v>
      </c>
      <c r="K329">
        <v>0.7</v>
      </c>
      <c r="L329">
        <v>2.1</v>
      </c>
      <c r="M329">
        <v>0.32600000000000001</v>
      </c>
      <c r="N329">
        <v>0.9</v>
      </c>
      <c r="O329">
        <v>1.2</v>
      </c>
      <c r="P329">
        <v>0.75</v>
      </c>
      <c r="Q329">
        <v>1.2</v>
      </c>
      <c r="R329">
        <v>2.7</v>
      </c>
      <c r="S329">
        <v>3.9</v>
      </c>
      <c r="T329">
        <v>0.8</v>
      </c>
      <c r="U329">
        <v>0.4</v>
      </c>
      <c r="V329">
        <v>0.3</v>
      </c>
      <c r="W329">
        <v>0.7</v>
      </c>
      <c r="X329">
        <v>1.4</v>
      </c>
      <c r="Y329">
        <v>7.6</v>
      </c>
      <c r="AP329">
        <v>3</v>
      </c>
      <c r="AQ329">
        <v>5.6</v>
      </c>
      <c r="AR329">
        <v>0.7</v>
      </c>
      <c r="AS329">
        <v>2.1</v>
      </c>
      <c r="AT329">
        <v>0.9</v>
      </c>
      <c r="AU329">
        <v>1.2</v>
      </c>
      <c r="AV329">
        <v>3.9</v>
      </c>
      <c r="AW329">
        <v>0.8</v>
      </c>
      <c r="AX329">
        <v>7.6</v>
      </c>
    </row>
    <row r="330" spans="1:50" x14ac:dyDescent="0.2">
      <c r="A330" s="1" t="s">
        <v>337</v>
      </c>
      <c r="B330" s="1" t="s">
        <v>34</v>
      </c>
      <c r="C330">
        <v>22</v>
      </c>
      <c r="D330" s="1" t="s">
        <v>32</v>
      </c>
      <c r="E330">
        <v>19</v>
      </c>
      <c r="F330">
        <v>0</v>
      </c>
      <c r="G330">
        <v>5</v>
      </c>
      <c r="H330">
        <v>0.9</v>
      </c>
      <c r="I330">
        <v>1.7</v>
      </c>
      <c r="J330">
        <v>0.54500000000000004</v>
      </c>
      <c r="K330">
        <v>0.1</v>
      </c>
      <c r="L330">
        <v>0.6</v>
      </c>
      <c r="M330">
        <v>8.3000000000000004E-2</v>
      </c>
      <c r="N330">
        <v>0.4</v>
      </c>
      <c r="O330">
        <v>0.6</v>
      </c>
      <c r="P330">
        <v>0.63600000000000001</v>
      </c>
      <c r="Q330">
        <v>0.4</v>
      </c>
      <c r="R330">
        <v>0.9</v>
      </c>
      <c r="S330">
        <v>1.3</v>
      </c>
      <c r="T330">
        <v>0.3</v>
      </c>
      <c r="U330">
        <v>0.2</v>
      </c>
      <c r="V330">
        <v>0</v>
      </c>
      <c r="W330">
        <v>0.5</v>
      </c>
      <c r="X330">
        <v>0.6</v>
      </c>
      <c r="Y330">
        <v>2.2999999999999998</v>
      </c>
      <c r="AP330">
        <v>0.9</v>
      </c>
      <c r="AQ330">
        <v>1.7</v>
      </c>
      <c r="AR330">
        <v>0.1</v>
      </c>
      <c r="AS330">
        <v>0.6</v>
      </c>
      <c r="AT330">
        <v>0.4</v>
      </c>
      <c r="AU330">
        <v>0.6</v>
      </c>
      <c r="AV330">
        <v>1.3</v>
      </c>
      <c r="AW330">
        <v>0.3</v>
      </c>
      <c r="AX330">
        <v>2.2999999999999998</v>
      </c>
    </row>
    <row r="331" spans="1:50" x14ac:dyDescent="0.2">
      <c r="A331" s="1" t="s">
        <v>337</v>
      </c>
      <c r="B331" s="1" t="s">
        <v>34</v>
      </c>
      <c r="C331">
        <v>22</v>
      </c>
      <c r="D331" s="1" t="s">
        <v>128</v>
      </c>
      <c r="E331">
        <v>26</v>
      </c>
      <c r="F331">
        <v>11</v>
      </c>
      <c r="G331">
        <v>22.7</v>
      </c>
      <c r="H331">
        <v>4.5999999999999996</v>
      </c>
      <c r="I331">
        <v>8.3000000000000007</v>
      </c>
      <c r="J331">
        <v>0.54800000000000004</v>
      </c>
      <c r="K331">
        <v>1.2</v>
      </c>
      <c r="L331">
        <v>3.2</v>
      </c>
      <c r="M331">
        <v>0.36099999999999999</v>
      </c>
      <c r="N331">
        <v>1.2</v>
      </c>
      <c r="O331">
        <v>1.6</v>
      </c>
      <c r="P331">
        <v>0.78</v>
      </c>
      <c r="Q331">
        <v>1.7</v>
      </c>
      <c r="R331">
        <v>4</v>
      </c>
      <c r="S331">
        <v>5.7</v>
      </c>
      <c r="T331">
        <v>1.3</v>
      </c>
      <c r="U331">
        <v>0.5</v>
      </c>
      <c r="V331">
        <v>0.5</v>
      </c>
      <c r="W331">
        <v>0.9</v>
      </c>
      <c r="X331">
        <v>1.9</v>
      </c>
      <c r="Y331">
        <v>11.5</v>
      </c>
      <c r="AP331">
        <v>4.5999999999999996</v>
      </c>
      <c r="AQ331">
        <v>8.3000000000000007</v>
      </c>
      <c r="AR331">
        <v>1.2</v>
      </c>
      <c r="AS331">
        <v>3.2</v>
      </c>
      <c r="AT331">
        <v>1.2</v>
      </c>
      <c r="AU331">
        <v>1.6</v>
      </c>
      <c r="AV331">
        <v>5.7</v>
      </c>
      <c r="AW331">
        <v>1.3</v>
      </c>
      <c r="AX331">
        <v>11.5</v>
      </c>
    </row>
    <row r="332" spans="1:50" x14ac:dyDescent="0.2">
      <c r="A332" s="1" t="s">
        <v>338</v>
      </c>
      <c r="B332" s="1" t="s">
        <v>34</v>
      </c>
      <c r="C332">
        <v>26</v>
      </c>
      <c r="D332" s="1" t="s">
        <v>113</v>
      </c>
      <c r="E332">
        <v>14</v>
      </c>
      <c r="F332">
        <v>9</v>
      </c>
      <c r="G332">
        <v>30.3</v>
      </c>
      <c r="H332">
        <v>2.9</v>
      </c>
      <c r="I332">
        <v>7.1</v>
      </c>
      <c r="J332">
        <v>0.4</v>
      </c>
      <c r="K332">
        <v>1.4</v>
      </c>
      <c r="L332">
        <v>3.8</v>
      </c>
      <c r="M332">
        <v>0.35799999999999998</v>
      </c>
      <c r="N332">
        <v>0.5</v>
      </c>
      <c r="O332">
        <v>0.6</v>
      </c>
      <c r="P332">
        <v>0.875</v>
      </c>
      <c r="Q332">
        <v>1.1000000000000001</v>
      </c>
      <c r="R332">
        <v>4.2</v>
      </c>
      <c r="S332">
        <v>5.3</v>
      </c>
      <c r="T332">
        <v>1.5</v>
      </c>
      <c r="U332">
        <v>1.2</v>
      </c>
      <c r="V332">
        <v>0.6</v>
      </c>
      <c r="W332">
        <v>1</v>
      </c>
      <c r="X332">
        <v>2.9</v>
      </c>
      <c r="Y332">
        <v>7.6</v>
      </c>
      <c r="AP332">
        <v>2.9</v>
      </c>
      <c r="AQ332">
        <v>7.1</v>
      </c>
      <c r="AR332">
        <v>1.4</v>
      </c>
      <c r="AS332">
        <v>3.8</v>
      </c>
      <c r="AT332">
        <v>0.5</v>
      </c>
      <c r="AU332">
        <v>0.6</v>
      </c>
      <c r="AV332">
        <v>5.3</v>
      </c>
      <c r="AW332">
        <v>1.5</v>
      </c>
      <c r="AX332">
        <v>7.6</v>
      </c>
    </row>
    <row r="333" spans="1:50" x14ac:dyDescent="0.2">
      <c r="A333" s="1" t="s">
        <v>339</v>
      </c>
      <c r="B333" s="1" t="s">
        <v>31</v>
      </c>
      <c r="C333">
        <v>33</v>
      </c>
      <c r="D333" s="1" t="s">
        <v>51</v>
      </c>
      <c r="E333">
        <v>72</v>
      </c>
      <c r="F333">
        <v>1</v>
      </c>
      <c r="G333">
        <v>15.7</v>
      </c>
      <c r="H333">
        <v>3.3</v>
      </c>
      <c r="I333">
        <v>5.7</v>
      </c>
      <c r="J333">
        <v>0.58399999999999996</v>
      </c>
      <c r="K333">
        <v>0.5</v>
      </c>
      <c r="L333">
        <v>1.8</v>
      </c>
      <c r="M333">
        <v>0.29399999999999998</v>
      </c>
      <c r="N333">
        <v>0.4</v>
      </c>
      <c r="O333">
        <v>0.6</v>
      </c>
      <c r="P333">
        <v>0.65</v>
      </c>
      <c r="Q333">
        <v>1.4</v>
      </c>
      <c r="R333">
        <v>2.2999999999999998</v>
      </c>
      <c r="S333">
        <v>3.7</v>
      </c>
      <c r="T333">
        <v>1.7</v>
      </c>
      <c r="U333">
        <v>0.9</v>
      </c>
      <c r="V333">
        <v>0.3</v>
      </c>
      <c r="W333">
        <v>0.9</v>
      </c>
      <c r="X333">
        <v>1.8</v>
      </c>
      <c r="Y333">
        <v>7.6</v>
      </c>
      <c r="AP333">
        <v>3.3</v>
      </c>
      <c r="AQ333">
        <v>5.7</v>
      </c>
      <c r="AR333">
        <v>0.5</v>
      </c>
      <c r="AS333">
        <v>1.8</v>
      </c>
      <c r="AT333">
        <v>0.4</v>
      </c>
      <c r="AU333">
        <v>0.6</v>
      </c>
      <c r="AV333">
        <v>3.7</v>
      </c>
      <c r="AW333">
        <v>1.7</v>
      </c>
      <c r="AX333">
        <v>7.6</v>
      </c>
    </row>
    <row r="334" spans="1:50" x14ac:dyDescent="0.2">
      <c r="A334" s="1" t="s">
        <v>340</v>
      </c>
      <c r="B334" s="1" t="s">
        <v>43</v>
      </c>
      <c r="C334">
        <v>22</v>
      </c>
      <c r="D334" s="1" t="s">
        <v>70</v>
      </c>
      <c r="E334">
        <v>56</v>
      </c>
      <c r="F334">
        <v>19</v>
      </c>
      <c r="G334">
        <v>18.899999999999999</v>
      </c>
      <c r="H334">
        <v>2.9</v>
      </c>
      <c r="I334">
        <v>6.9</v>
      </c>
      <c r="J334">
        <v>0.42499999999999999</v>
      </c>
      <c r="K334">
        <v>1.1000000000000001</v>
      </c>
      <c r="L334">
        <v>3.2</v>
      </c>
      <c r="M334">
        <v>0.35199999999999998</v>
      </c>
      <c r="N334">
        <v>0.5</v>
      </c>
      <c r="O334">
        <v>0.8</v>
      </c>
      <c r="P334">
        <v>0.69</v>
      </c>
      <c r="Q334">
        <v>0.5</v>
      </c>
      <c r="R334">
        <v>2.6</v>
      </c>
      <c r="S334">
        <v>3.1</v>
      </c>
      <c r="T334">
        <v>2.2999999999999998</v>
      </c>
      <c r="U334">
        <v>0.4</v>
      </c>
      <c r="V334">
        <v>0.3</v>
      </c>
      <c r="W334">
        <v>1.2</v>
      </c>
      <c r="X334">
        <v>1.4</v>
      </c>
      <c r="Y334">
        <v>7.5</v>
      </c>
      <c r="AP334">
        <v>2.9</v>
      </c>
      <c r="AQ334">
        <v>6.9</v>
      </c>
      <c r="AR334">
        <v>1.1000000000000001</v>
      </c>
      <c r="AS334">
        <v>3.2</v>
      </c>
      <c r="AT334">
        <v>0.5</v>
      </c>
      <c r="AU334">
        <v>0.8</v>
      </c>
      <c r="AV334">
        <v>3.1</v>
      </c>
      <c r="AW334">
        <v>2.2999999999999998</v>
      </c>
      <c r="AX334">
        <v>7.5</v>
      </c>
    </row>
    <row r="335" spans="1:50" x14ac:dyDescent="0.2">
      <c r="A335" s="1" t="s">
        <v>340</v>
      </c>
      <c r="B335" s="1" t="s">
        <v>43</v>
      </c>
      <c r="C335">
        <v>22</v>
      </c>
      <c r="D335" s="1" t="s">
        <v>29</v>
      </c>
      <c r="E335">
        <v>27</v>
      </c>
      <c r="F335">
        <v>0</v>
      </c>
      <c r="G335">
        <v>10.9</v>
      </c>
      <c r="H335">
        <v>1.4</v>
      </c>
      <c r="I335">
        <v>3.4</v>
      </c>
      <c r="J335">
        <v>0.41799999999999998</v>
      </c>
      <c r="K335">
        <v>0.7</v>
      </c>
      <c r="L335">
        <v>1.8</v>
      </c>
      <c r="M335">
        <v>0.36699999999999999</v>
      </c>
      <c r="N335">
        <v>0.2</v>
      </c>
      <c r="O335">
        <v>0.2</v>
      </c>
      <c r="P335">
        <v>1</v>
      </c>
      <c r="Q335">
        <v>0.3</v>
      </c>
      <c r="R335">
        <v>1.3</v>
      </c>
      <c r="S335">
        <v>1.6</v>
      </c>
      <c r="T335">
        <v>1</v>
      </c>
      <c r="U335">
        <v>0.1</v>
      </c>
      <c r="V335">
        <v>0.3</v>
      </c>
      <c r="W335">
        <v>0.3</v>
      </c>
      <c r="X335">
        <v>0.8</v>
      </c>
      <c r="Y335">
        <v>3.7</v>
      </c>
      <c r="AP335">
        <v>1.4</v>
      </c>
      <c r="AQ335">
        <v>3.4</v>
      </c>
      <c r="AR335">
        <v>0.7</v>
      </c>
      <c r="AS335">
        <v>1.8</v>
      </c>
      <c r="AT335">
        <v>0.2</v>
      </c>
      <c r="AU335">
        <v>0.2</v>
      </c>
      <c r="AV335">
        <v>1.6</v>
      </c>
      <c r="AW335">
        <v>1</v>
      </c>
      <c r="AX335">
        <v>3.7</v>
      </c>
    </row>
    <row r="336" spans="1:50" x14ac:dyDescent="0.2">
      <c r="A336" s="1" t="s">
        <v>340</v>
      </c>
      <c r="B336" s="1" t="s">
        <v>43</v>
      </c>
      <c r="C336">
        <v>22</v>
      </c>
      <c r="D336" s="1" t="s">
        <v>46</v>
      </c>
      <c r="E336">
        <v>29</v>
      </c>
      <c r="F336">
        <v>19</v>
      </c>
      <c r="G336">
        <v>26.3</v>
      </c>
      <c r="H336">
        <v>4.3</v>
      </c>
      <c r="I336">
        <v>10.199999999999999</v>
      </c>
      <c r="J336">
        <v>0.42699999999999999</v>
      </c>
      <c r="K336">
        <v>1.6</v>
      </c>
      <c r="L336">
        <v>4.5</v>
      </c>
      <c r="M336">
        <v>0.34599999999999997</v>
      </c>
      <c r="N336">
        <v>0.8</v>
      </c>
      <c r="O336">
        <v>1.2</v>
      </c>
      <c r="P336">
        <v>0.63900000000000001</v>
      </c>
      <c r="Q336">
        <v>0.7</v>
      </c>
      <c r="R336">
        <v>3.8</v>
      </c>
      <c r="S336">
        <v>4.5</v>
      </c>
      <c r="T336">
        <v>3.4</v>
      </c>
      <c r="U336">
        <v>0.8</v>
      </c>
      <c r="V336">
        <v>0.3</v>
      </c>
      <c r="W336">
        <v>2.1</v>
      </c>
      <c r="X336">
        <v>1.9</v>
      </c>
      <c r="Y336">
        <v>11</v>
      </c>
      <c r="AP336">
        <v>4.3</v>
      </c>
      <c r="AQ336">
        <v>10.199999999999999</v>
      </c>
      <c r="AR336">
        <v>1.6</v>
      </c>
      <c r="AS336">
        <v>4.5</v>
      </c>
      <c r="AT336">
        <v>0.8</v>
      </c>
      <c r="AU336">
        <v>1.2</v>
      </c>
      <c r="AV336">
        <v>4.5</v>
      </c>
      <c r="AW336">
        <v>3.4</v>
      </c>
      <c r="AX336">
        <v>11</v>
      </c>
    </row>
    <row r="337" spans="1:50" x14ac:dyDescent="0.2">
      <c r="A337" s="1" t="s">
        <v>341</v>
      </c>
      <c r="B337" s="1" t="s">
        <v>31</v>
      </c>
      <c r="C337">
        <v>25</v>
      </c>
      <c r="D337" s="1" t="s">
        <v>70</v>
      </c>
      <c r="E337">
        <v>40</v>
      </c>
      <c r="F337">
        <v>12</v>
      </c>
      <c r="G337">
        <v>20.5</v>
      </c>
      <c r="H337">
        <v>2.6</v>
      </c>
      <c r="I337">
        <v>7.3</v>
      </c>
      <c r="J337">
        <v>0.35299999999999998</v>
      </c>
      <c r="K337">
        <v>1.4</v>
      </c>
      <c r="L337">
        <v>4.4000000000000004</v>
      </c>
      <c r="M337">
        <v>0.311</v>
      </c>
      <c r="N337">
        <v>1</v>
      </c>
      <c r="O337">
        <v>1.3</v>
      </c>
      <c r="P337">
        <v>0.78</v>
      </c>
      <c r="Q337">
        <v>1</v>
      </c>
      <c r="R337">
        <v>2.9</v>
      </c>
      <c r="S337">
        <v>3.9</v>
      </c>
      <c r="T337">
        <v>4.2</v>
      </c>
      <c r="U337">
        <v>0.7</v>
      </c>
      <c r="V337">
        <v>0.4</v>
      </c>
      <c r="W337">
        <v>1.8</v>
      </c>
      <c r="X337">
        <v>2</v>
      </c>
      <c r="Y337">
        <v>7.5</v>
      </c>
      <c r="AP337">
        <v>2.6</v>
      </c>
      <c r="AQ337">
        <v>7.3</v>
      </c>
      <c r="AR337">
        <v>1.4</v>
      </c>
      <c r="AS337">
        <v>4.4000000000000004</v>
      </c>
      <c r="AT337">
        <v>1</v>
      </c>
      <c r="AU337">
        <v>1.3</v>
      </c>
      <c r="AV337">
        <v>3.9</v>
      </c>
      <c r="AW337">
        <v>4.2</v>
      </c>
      <c r="AX337">
        <v>7.5</v>
      </c>
    </row>
    <row r="338" spans="1:50" x14ac:dyDescent="0.2">
      <c r="A338" s="1" t="s">
        <v>341</v>
      </c>
      <c r="B338" s="1" t="s">
        <v>26</v>
      </c>
      <c r="C338">
        <v>25</v>
      </c>
      <c r="D338" s="1" t="s">
        <v>104</v>
      </c>
      <c r="E338">
        <v>34</v>
      </c>
      <c r="F338">
        <v>12</v>
      </c>
      <c r="G338">
        <v>21.6</v>
      </c>
      <c r="H338">
        <v>2.7</v>
      </c>
      <c r="I338">
        <v>7.8</v>
      </c>
      <c r="J338">
        <v>0.35199999999999998</v>
      </c>
      <c r="K338">
        <v>1.4</v>
      </c>
      <c r="L338">
        <v>4.7</v>
      </c>
      <c r="M338">
        <v>0.308</v>
      </c>
      <c r="N338">
        <v>1.1000000000000001</v>
      </c>
      <c r="O338">
        <v>1.4</v>
      </c>
      <c r="P338">
        <v>0.80400000000000005</v>
      </c>
      <c r="Q338">
        <v>1</v>
      </c>
      <c r="R338">
        <v>3</v>
      </c>
      <c r="S338">
        <v>4</v>
      </c>
      <c r="T338">
        <v>4.4000000000000004</v>
      </c>
      <c r="U338">
        <v>0.8</v>
      </c>
      <c r="V338">
        <v>0.4</v>
      </c>
      <c r="W338">
        <v>1.9</v>
      </c>
      <c r="X338">
        <v>2.1</v>
      </c>
      <c r="Y338">
        <v>8</v>
      </c>
      <c r="AP338">
        <v>2.7</v>
      </c>
      <c r="AQ338">
        <v>7.8</v>
      </c>
      <c r="AR338">
        <v>1.4</v>
      </c>
      <c r="AS338">
        <v>4.7</v>
      </c>
      <c r="AT338">
        <v>1.1000000000000001</v>
      </c>
      <c r="AU338">
        <v>1.4</v>
      </c>
      <c r="AV338">
        <v>4</v>
      </c>
      <c r="AW338">
        <v>4.4000000000000004</v>
      </c>
      <c r="AX338">
        <v>8</v>
      </c>
    </row>
    <row r="339" spans="1:50" x14ac:dyDescent="0.2">
      <c r="A339" s="1" t="s">
        <v>342</v>
      </c>
      <c r="B339" s="1" t="s">
        <v>43</v>
      </c>
      <c r="C339">
        <v>25</v>
      </c>
      <c r="D339" s="1" t="s">
        <v>27</v>
      </c>
      <c r="E339">
        <v>66</v>
      </c>
      <c r="F339">
        <v>9</v>
      </c>
      <c r="G339">
        <v>18.3</v>
      </c>
      <c r="H339">
        <v>3</v>
      </c>
      <c r="I339">
        <v>4</v>
      </c>
      <c r="J339">
        <v>0.75600000000000001</v>
      </c>
      <c r="K339">
        <v>0</v>
      </c>
      <c r="L339">
        <v>0</v>
      </c>
      <c r="M339">
        <v>1</v>
      </c>
      <c r="N339">
        <v>1.5</v>
      </c>
      <c r="O339">
        <v>2.2999999999999998</v>
      </c>
      <c r="P339">
        <v>0.65300000000000002</v>
      </c>
      <c r="Q339">
        <v>1.5</v>
      </c>
      <c r="R339">
        <v>2.6</v>
      </c>
      <c r="S339">
        <v>4.0999999999999996</v>
      </c>
      <c r="T339">
        <v>0.9</v>
      </c>
      <c r="U339">
        <v>0.4</v>
      </c>
      <c r="V339">
        <v>0.8</v>
      </c>
      <c r="W339">
        <v>0.5</v>
      </c>
      <c r="X339">
        <v>1.9</v>
      </c>
      <c r="Y339">
        <v>7.5</v>
      </c>
      <c r="AP339">
        <v>3</v>
      </c>
      <c r="AQ339">
        <v>4</v>
      </c>
      <c r="AR339">
        <v>0</v>
      </c>
      <c r="AS339">
        <v>0</v>
      </c>
      <c r="AT339">
        <v>1.5</v>
      </c>
      <c r="AU339">
        <v>2.2999999999999998</v>
      </c>
      <c r="AV339">
        <v>4.0999999999999996</v>
      </c>
      <c r="AW339">
        <v>0.9</v>
      </c>
      <c r="AX339">
        <v>7.5</v>
      </c>
    </row>
    <row r="340" spans="1:50" x14ac:dyDescent="0.2">
      <c r="A340" s="1" t="s">
        <v>343</v>
      </c>
      <c r="B340" s="1" t="s">
        <v>43</v>
      </c>
      <c r="C340">
        <v>24</v>
      </c>
      <c r="D340" s="1" t="s">
        <v>98</v>
      </c>
      <c r="E340">
        <v>68</v>
      </c>
      <c r="F340">
        <v>31</v>
      </c>
      <c r="G340">
        <v>21.5</v>
      </c>
      <c r="H340">
        <v>3.2</v>
      </c>
      <c r="I340">
        <v>4.2</v>
      </c>
      <c r="J340">
        <v>0.749</v>
      </c>
      <c r="K340">
        <v>0</v>
      </c>
      <c r="L340">
        <v>0.1</v>
      </c>
      <c r="M340">
        <v>0</v>
      </c>
      <c r="N340">
        <v>1.2</v>
      </c>
      <c r="O340">
        <v>1.7</v>
      </c>
      <c r="P340">
        <v>0.71299999999999997</v>
      </c>
      <c r="Q340">
        <v>2.4</v>
      </c>
      <c r="R340">
        <v>3</v>
      </c>
      <c r="S340">
        <v>5.5</v>
      </c>
      <c r="T340">
        <v>0.8</v>
      </c>
      <c r="U340">
        <v>0.5</v>
      </c>
      <c r="V340">
        <v>1.5</v>
      </c>
      <c r="W340">
        <v>0.9</v>
      </c>
      <c r="X340">
        <v>1.6</v>
      </c>
      <c r="Y340">
        <v>7.5</v>
      </c>
      <c r="AP340">
        <v>3.2</v>
      </c>
      <c r="AQ340">
        <v>4.2</v>
      </c>
      <c r="AR340">
        <v>0</v>
      </c>
      <c r="AS340">
        <v>0.1</v>
      </c>
      <c r="AT340">
        <v>1.2</v>
      </c>
      <c r="AU340">
        <v>1.7</v>
      </c>
      <c r="AV340">
        <v>5.5</v>
      </c>
      <c r="AW340">
        <v>0.8</v>
      </c>
      <c r="AX340">
        <v>7.5</v>
      </c>
    </row>
    <row r="341" spans="1:50" x14ac:dyDescent="0.2">
      <c r="A341" s="1" t="s">
        <v>344</v>
      </c>
      <c r="B341" s="1" t="s">
        <v>43</v>
      </c>
      <c r="C341">
        <v>26</v>
      </c>
      <c r="D341" s="1" t="s">
        <v>64</v>
      </c>
      <c r="E341">
        <v>64</v>
      </c>
      <c r="F341">
        <v>10</v>
      </c>
      <c r="G341">
        <v>13.7</v>
      </c>
      <c r="H341">
        <v>3.1</v>
      </c>
      <c r="I341">
        <v>5.0999999999999996</v>
      </c>
      <c r="J341">
        <v>0.60399999999999998</v>
      </c>
      <c r="K341">
        <v>0.2</v>
      </c>
      <c r="L341">
        <v>0.6</v>
      </c>
      <c r="M341">
        <v>0.32500000000000001</v>
      </c>
      <c r="N341">
        <v>1.1000000000000001</v>
      </c>
      <c r="O341">
        <v>1.7</v>
      </c>
      <c r="P341">
        <v>0.65100000000000002</v>
      </c>
      <c r="Q341">
        <v>2</v>
      </c>
      <c r="R341">
        <v>2.5</v>
      </c>
      <c r="S341">
        <v>4.5</v>
      </c>
      <c r="T341">
        <v>1.2</v>
      </c>
      <c r="U341">
        <v>0.8</v>
      </c>
      <c r="V341">
        <v>0.9</v>
      </c>
      <c r="W341">
        <v>0.9</v>
      </c>
      <c r="X341">
        <v>1.9</v>
      </c>
      <c r="Y341">
        <v>7.5</v>
      </c>
      <c r="AP341">
        <v>3.1</v>
      </c>
      <c r="AQ341">
        <v>5.0999999999999996</v>
      </c>
      <c r="AR341">
        <v>0.2</v>
      </c>
      <c r="AS341">
        <v>0.6</v>
      </c>
      <c r="AT341">
        <v>1.1000000000000001</v>
      </c>
      <c r="AU341">
        <v>1.7</v>
      </c>
      <c r="AV341">
        <v>4.5</v>
      </c>
      <c r="AW341">
        <v>1.2</v>
      </c>
      <c r="AX341">
        <v>7.5</v>
      </c>
    </row>
    <row r="342" spans="1:50" x14ac:dyDescent="0.2">
      <c r="A342" s="1" t="s">
        <v>345</v>
      </c>
      <c r="B342" s="1" t="s">
        <v>31</v>
      </c>
      <c r="C342">
        <v>21</v>
      </c>
      <c r="D342" s="1" t="s">
        <v>83</v>
      </c>
      <c r="E342">
        <v>71</v>
      </c>
      <c r="F342">
        <v>19</v>
      </c>
      <c r="G342">
        <v>20.399999999999999</v>
      </c>
      <c r="H342">
        <v>2.5</v>
      </c>
      <c r="I342">
        <v>5.6</v>
      </c>
      <c r="J342">
        <v>0.44400000000000001</v>
      </c>
      <c r="K342">
        <v>1.5</v>
      </c>
      <c r="L342">
        <v>3.7</v>
      </c>
      <c r="M342">
        <v>0.40500000000000003</v>
      </c>
      <c r="N342">
        <v>1</v>
      </c>
      <c r="O342">
        <v>1.2</v>
      </c>
      <c r="P342">
        <v>0.78400000000000003</v>
      </c>
      <c r="Q342">
        <v>0.8</v>
      </c>
      <c r="R342">
        <v>1.8</v>
      </c>
      <c r="S342">
        <v>2.6</v>
      </c>
      <c r="T342">
        <v>1.2</v>
      </c>
      <c r="U342">
        <v>1</v>
      </c>
      <c r="V342">
        <v>0.2</v>
      </c>
      <c r="W342">
        <v>0.5</v>
      </c>
      <c r="X342">
        <v>2.2999999999999998</v>
      </c>
      <c r="Y342">
        <v>7.5</v>
      </c>
      <c r="AP342">
        <v>2.5</v>
      </c>
      <c r="AQ342">
        <v>5.6</v>
      </c>
      <c r="AR342">
        <v>1.5</v>
      </c>
      <c r="AS342">
        <v>3.7</v>
      </c>
      <c r="AT342">
        <v>1</v>
      </c>
      <c r="AU342">
        <v>1.2</v>
      </c>
      <c r="AV342">
        <v>2.6</v>
      </c>
      <c r="AW342">
        <v>1.2</v>
      </c>
      <c r="AX342">
        <v>7.5</v>
      </c>
    </row>
    <row r="343" spans="1:50" x14ac:dyDescent="0.2">
      <c r="A343" s="1" t="s">
        <v>346</v>
      </c>
      <c r="B343" s="1" t="s">
        <v>23</v>
      </c>
      <c r="C343">
        <v>23</v>
      </c>
      <c r="D343" s="1" t="s">
        <v>70</v>
      </c>
      <c r="E343">
        <v>49</v>
      </c>
      <c r="F343">
        <v>11</v>
      </c>
      <c r="G343">
        <v>17</v>
      </c>
      <c r="H343">
        <v>2.6</v>
      </c>
      <c r="I343">
        <v>5.0999999999999996</v>
      </c>
      <c r="J343">
        <v>0.5</v>
      </c>
      <c r="K343">
        <v>1.3</v>
      </c>
      <c r="L343">
        <v>3.1</v>
      </c>
      <c r="M343">
        <v>0.41799999999999998</v>
      </c>
      <c r="N343">
        <v>1</v>
      </c>
      <c r="O343">
        <v>1.2</v>
      </c>
      <c r="P343">
        <v>0.78700000000000003</v>
      </c>
      <c r="Q343">
        <v>1</v>
      </c>
      <c r="R343">
        <v>2.2000000000000002</v>
      </c>
      <c r="S343">
        <v>3.2</v>
      </c>
      <c r="T343">
        <v>0.9</v>
      </c>
      <c r="U343">
        <v>0.9</v>
      </c>
      <c r="V343">
        <v>0.5</v>
      </c>
      <c r="W343">
        <v>0.9</v>
      </c>
      <c r="X343">
        <v>1.5</v>
      </c>
      <c r="Y343">
        <v>7.4</v>
      </c>
      <c r="AP343">
        <v>2.6</v>
      </c>
      <c r="AQ343">
        <v>5.0999999999999996</v>
      </c>
      <c r="AR343">
        <v>1.3</v>
      </c>
      <c r="AS343">
        <v>3.1</v>
      </c>
      <c r="AT343">
        <v>1</v>
      </c>
      <c r="AU343">
        <v>1.2</v>
      </c>
      <c r="AV343">
        <v>3.2</v>
      </c>
      <c r="AW343">
        <v>0.9</v>
      </c>
      <c r="AX343">
        <v>7.4</v>
      </c>
    </row>
    <row r="344" spans="1:50" x14ac:dyDescent="0.2">
      <c r="A344" s="1" t="s">
        <v>346</v>
      </c>
      <c r="B344" s="1" t="s">
        <v>23</v>
      </c>
      <c r="C344">
        <v>23</v>
      </c>
      <c r="D344" s="1" t="s">
        <v>35</v>
      </c>
      <c r="E344">
        <v>33</v>
      </c>
      <c r="F344">
        <v>10</v>
      </c>
      <c r="G344">
        <v>15.9</v>
      </c>
      <c r="H344">
        <v>2.1</v>
      </c>
      <c r="I344">
        <v>4.0999999999999996</v>
      </c>
      <c r="J344">
        <v>0.50700000000000001</v>
      </c>
      <c r="K344">
        <v>1</v>
      </c>
      <c r="L344">
        <v>2.2999999999999998</v>
      </c>
      <c r="M344">
        <v>0.442</v>
      </c>
      <c r="N344">
        <v>0.6</v>
      </c>
      <c r="O344">
        <v>0.8</v>
      </c>
      <c r="P344">
        <v>0.76900000000000002</v>
      </c>
      <c r="Q344">
        <v>1.2</v>
      </c>
      <c r="R344">
        <v>2.4</v>
      </c>
      <c r="S344">
        <v>3.6</v>
      </c>
      <c r="T344">
        <v>1</v>
      </c>
      <c r="U344">
        <v>0.7</v>
      </c>
      <c r="V344">
        <v>0.4</v>
      </c>
      <c r="W344">
        <v>0.6</v>
      </c>
      <c r="X344">
        <v>1.5</v>
      </c>
      <c r="Y344">
        <v>5.8</v>
      </c>
      <c r="AP344">
        <v>2.1</v>
      </c>
      <c r="AQ344">
        <v>4.0999999999999996</v>
      </c>
      <c r="AR344">
        <v>1</v>
      </c>
      <c r="AS344">
        <v>2.2999999999999998</v>
      </c>
      <c r="AT344">
        <v>0.6</v>
      </c>
      <c r="AU344">
        <v>0.8</v>
      </c>
      <c r="AV344">
        <v>3.6</v>
      </c>
      <c r="AW344">
        <v>1</v>
      </c>
      <c r="AX344">
        <v>5.8</v>
      </c>
    </row>
    <row r="345" spans="1:50" x14ac:dyDescent="0.2">
      <c r="A345" s="1" t="s">
        <v>346</v>
      </c>
      <c r="B345" s="1" t="s">
        <v>34</v>
      </c>
      <c r="C345">
        <v>23</v>
      </c>
      <c r="D345" s="1" t="s">
        <v>66</v>
      </c>
      <c r="E345">
        <v>16</v>
      </c>
      <c r="F345">
        <v>1</v>
      </c>
      <c r="G345">
        <v>19.3</v>
      </c>
      <c r="H345">
        <v>3.6</v>
      </c>
      <c r="I345">
        <v>7.3</v>
      </c>
      <c r="J345">
        <v>0.49099999999999999</v>
      </c>
      <c r="K345">
        <v>1.9</v>
      </c>
      <c r="L345">
        <v>4.8</v>
      </c>
      <c r="M345">
        <v>0.39500000000000002</v>
      </c>
      <c r="N345">
        <v>1.8</v>
      </c>
      <c r="O345">
        <v>2.2000000000000002</v>
      </c>
      <c r="P345">
        <v>0.8</v>
      </c>
      <c r="Q345">
        <v>0.5</v>
      </c>
      <c r="R345">
        <v>2</v>
      </c>
      <c r="S345">
        <v>2.5</v>
      </c>
      <c r="T345">
        <v>0.8</v>
      </c>
      <c r="U345">
        <v>1.3</v>
      </c>
      <c r="V345">
        <v>0.8</v>
      </c>
      <c r="W345">
        <v>1.4</v>
      </c>
      <c r="X345">
        <v>1.4</v>
      </c>
      <c r="Y345">
        <v>10.8</v>
      </c>
      <c r="AP345">
        <v>3.6</v>
      </c>
      <c r="AQ345">
        <v>7.3</v>
      </c>
      <c r="AR345">
        <v>1.9</v>
      </c>
      <c r="AS345">
        <v>4.8</v>
      </c>
      <c r="AT345">
        <v>1.8</v>
      </c>
      <c r="AU345">
        <v>2.2000000000000002</v>
      </c>
      <c r="AV345">
        <v>2.5</v>
      </c>
      <c r="AW345">
        <v>0.8</v>
      </c>
      <c r="AX345">
        <v>10.8</v>
      </c>
    </row>
    <row r="346" spans="1:50" x14ac:dyDescent="0.2">
      <c r="A346" s="1" t="s">
        <v>347</v>
      </c>
      <c r="B346" s="1" t="s">
        <v>23</v>
      </c>
      <c r="C346">
        <v>22</v>
      </c>
      <c r="D346" s="1" t="s">
        <v>70</v>
      </c>
      <c r="E346">
        <v>59</v>
      </c>
      <c r="F346">
        <v>17</v>
      </c>
      <c r="G346">
        <v>18.899999999999999</v>
      </c>
      <c r="H346">
        <v>2.8</v>
      </c>
      <c r="I346">
        <v>6</v>
      </c>
      <c r="J346">
        <v>0.45900000000000002</v>
      </c>
      <c r="K346">
        <v>1.1000000000000001</v>
      </c>
      <c r="L346">
        <v>3.1</v>
      </c>
      <c r="M346">
        <v>0.34200000000000003</v>
      </c>
      <c r="N346">
        <v>0.8</v>
      </c>
      <c r="O346">
        <v>1.2</v>
      </c>
      <c r="P346">
        <v>0.68100000000000005</v>
      </c>
      <c r="Q346">
        <v>1.1000000000000001</v>
      </c>
      <c r="R346">
        <v>2.6</v>
      </c>
      <c r="S346">
        <v>3.7</v>
      </c>
      <c r="T346">
        <v>0.9</v>
      </c>
      <c r="U346">
        <v>0.8</v>
      </c>
      <c r="V346">
        <v>0.5</v>
      </c>
      <c r="W346">
        <v>0.8</v>
      </c>
      <c r="X346">
        <v>1.7</v>
      </c>
      <c r="Y346">
        <v>7.4</v>
      </c>
      <c r="AP346">
        <v>2.8</v>
      </c>
      <c r="AQ346">
        <v>6</v>
      </c>
      <c r="AR346">
        <v>1.1000000000000001</v>
      </c>
      <c r="AS346">
        <v>3.1</v>
      </c>
      <c r="AT346">
        <v>0.8</v>
      </c>
      <c r="AU346">
        <v>1.2</v>
      </c>
      <c r="AV346">
        <v>3.7</v>
      </c>
      <c r="AW346">
        <v>0.9</v>
      </c>
      <c r="AX346">
        <v>7.4</v>
      </c>
    </row>
    <row r="347" spans="1:50" x14ac:dyDescent="0.2">
      <c r="A347" s="1" t="s">
        <v>347</v>
      </c>
      <c r="B347" s="1" t="s">
        <v>23</v>
      </c>
      <c r="C347">
        <v>22</v>
      </c>
      <c r="D347" s="1" t="s">
        <v>49</v>
      </c>
      <c r="E347">
        <v>33</v>
      </c>
      <c r="F347">
        <v>6</v>
      </c>
      <c r="G347">
        <v>14.9</v>
      </c>
      <c r="H347">
        <v>1.8</v>
      </c>
      <c r="I347">
        <v>3.9</v>
      </c>
      <c r="J347">
        <v>0.45300000000000001</v>
      </c>
      <c r="K347">
        <v>0.7</v>
      </c>
      <c r="L347">
        <v>2.1</v>
      </c>
      <c r="M347">
        <v>0.34300000000000003</v>
      </c>
      <c r="N347">
        <v>0.7</v>
      </c>
      <c r="O347">
        <v>1</v>
      </c>
      <c r="P347">
        <v>0.71899999999999997</v>
      </c>
      <c r="Q347">
        <v>0.9</v>
      </c>
      <c r="R347">
        <v>2.1</v>
      </c>
      <c r="S347">
        <v>3</v>
      </c>
      <c r="T347">
        <v>0.7</v>
      </c>
      <c r="U347">
        <v>0.4</v>
      </c>
      <c r="V347">
        <v>0.2</v>
      </c>
      <c r="W347">
        <v>0.6</v>
      </c>
      <c r="X347">
        <v>1.2</v>
      </c>
      <c r="Y347">
        <v>4.9000000000000004</v>
      </c>
      <c r="AP347">
        <v>1.8</v>
      </c>
      <c r="AQ347">
        <v>3.9</v>
      </c>
      <c r="AR347">
        <v>0.7</v>
      </c>
      <c r="AS347">
        <v>2.1</v>
      </c>
      <c r="AT347">
        <v>0.7</v>
      </c>
      <c r="AU347">
        <v>1</v>
      </c>
      <c r="AV347">
        <v>3</v>
      </c>
      <c r="AW347">
        <v>0.7</v>
      </c>
      <c r="AX347">
        <v>4.9000000000000004</v>
      </c>
    </row>
    <row r="348" spans="1:50" x14ac:dyDescent="0.2">
      <c r="A348" s="1" t="s">
        <v>347</v>
      </c>
      <c r="B348" s="1" t="s">
        <v>23</v>
      </c>
      <c r="C348">
        <v>22</v>
      </c>
      <c r="D348" s="1" t="s">
        <v>104</v>
      </c>
      <c r="E348">
        <v>26</v>
      </c>
      <c r="F348">
        <v>11</v>
      </c>
      <c r="G348">
        <v>24.1</v>
      </c>
      <c r="H348">
        <v>4</v>
      </c>
      <c r="I348">
        <v>8.6999999999999993</v>
      </c>
      <c r="J348">
        <v>0.46300000000000002</v>
      </c>
      <c r="K348">
        <v>1.5</v>
      </c>
      <c r="L348">
        <v>4.4000000000000004</v>
      </c>
      <c r="M348">
        <v>0.34200000000000003</v>
      </c>
      <c r="N348">
        <v>1</v>
      </c>
      <c r="O348">
        <v>1.5</v>
      </c>
      <c r="P348">
        <v>0.65</v>
      </c>
      <c r="Q348">
        <v>1.4</v>
      </c>
      <c r="R348">
        <v>3.3</v>
      </c>
      <c r="S348">
        <v>4.7</v>
      </c>
      <c r="T348">
        <v>1.2</v>
      </c>
      <c r="U348">
        <v>1.4</v>
      </c>
      <c r="V348">
        <v>0.8</v>
      </c>
      <c r="W348">
        <v>1.2</v>
      </c>
      <c r="X348">
        <v>2.2999999999999998</v>
      </c>
      <c r="Y348">
        <v>10.6</v>
      </c>
      <c r="AP348">
        <v>4</v>
      </c>
      <c r="AQ348">
        <v>8.6999999999999993</v>
      </c>
      <c r="AR348">
        <v>1.5</v>
      </c>
      <c r="AS348">
        <v>4.4000000000000004</v>
      </c>
      <c r="AT348">
        <v>1</v>
      </c>
      <c r="AU348">
        <v>1.5</v>
      </c>
      <c r="AV348">
        <v>4.7</v>
      </c>
      <c r="AW348">
        <v>1.2</v>
      </c>
      <c r="AX348">
        <v>10.6</v>
      </c>
    </row>
    <row r="349" spans="1:50" x14ac:dyDescent="0.2">
      <c r="A349" s="1" t="s">
        <v>348</v>
      </c>
      <c r="B349" s="1" t="s">
        <v>31</v>
      </c>
      <c r="C349">
        <v>31</v>
      </c>
      <c r="D349" s="1" t="s">
        <v>64</v>
      </c>
      <c r="E349">
        <v>59</v>
      </c>
      <c r="F349">
        <v>0</v>
      </c>
      <c r="G349">
        <v>19.3</v>
      </c>
      <c r="H349">
        <v>2.7</v>
      </c>
      <c r="I349">
        <v>6.6</v>
      </c>
      <c r="J349">
        <v>0.41799999999999998</v>
      </c>
      <c r="K349">
        <v>1</v>
      </c>
      <c r="L349">
        <v>3</v>
      </c>
      <c r="M349">
        <v>0.33</v>
      </c>
      <c r="N349">
        <v>0.9</v>
      </c>
      <c r="O349">
        <v>1.4</v>
      </c>
      <c r="P349">
        <v>0.67500000000000004</v>
      </c>
      <c r="Q349">
        <v>0.4</v>
      </c>
      <c r="R349">
        <v>1.6</v>
      </c>
      <c r="S349">
        <v>2</v>
      </c>
      <c r="T349">
        <v>2.7</v>
      </c>
      <c r="U349">
        <v>0.9</v>
      </c>
      <c r="V349">
        <v>0.7</v>
      </c>
      <c r="W349">
        <v>1.4</v>
      </c>
      <c r="X349">
        <v>1.5</v>
      </c>
      <c r="Y349">
        <v>7.4</v>
      </c>
      <c r="AP349">
        <v>2.7</v>
      </c>
      <c r="AQ349">
        <v>6.6</v>
      </c>
      <c r="AR349">
        <v>1</v>
      </c>
      <c r="AS349">
        <v>3</v>
      </c>
      <c r="AT349">
        <v>0.9</v>
      </c>
      <c r="AU349">
        <v>1.4</v>
      </c>
      <c r="AV349">
        <v>2</v>
      </c>
      <c r="AW349">
        <v>2.7</v>
      </c>
      <c r="AX349">
        <v>7.4</v>
      </c>
    </row>
    <row r="350" spans="1:50" x14ac:dyDescent="0.2">
      <c r="A350" s="1" t="s">
        <v>349</v>
      </c>
      <c r="B350" s="1" t="s">
        <v>26</v>
      </c>
      <c r="C350">
        <v>31</v>
      </c>
      <c r="D350" s="1" t="s">
        <v>37</v>
      </c>
      <c r="E350">
        <v>22</v>
      </c>
      <c r="F350">
        <v>1</v>
      </c>
      <c r="G350">
        <v>17</v>
      </c>
      <c r="H350">
        <v>2.5</v>
      </c>
      <c r="I350">
        <v>6.8</v>
      </c>
      <c r="J350">
        <v>0.376</v>
      </c>
      <c r="K350">
        <v>1.5</v>
      </c>
      <c r="L350">
        <v>4.4000000000000004</v>
      </c>
      <c r="M350">
        <v>0.33</v>
      </c>
      <c r="N350">
        <v>0.9</v>
      </c>
      <c r="O350">
        <v>1</v>
      </c>
      <c r="P350">
        <v>0.86399999999999999</v>
      </c>
      <c r="Q350">
        <v>0.1</v>
      </c>
      <c r="R350">
        <v>1.9</v>
      </c>
      <c r="S350">
        <v>2</v>
      </c>
      <c r="T350">
        <v>2.6</v>
      </c>
      <c r="U350">
        <v>1.1000000000000001</v>
      </c>
      <c r="V350">
        <v>0.3</v>
      </c>
      <c r="W350">
        <v>0.5</v>
      </c>
      <c r="X350">
        <v>1.4</v>
      </c>
      <c r="Y350">
        <v>7.4</v>
      </c>
      <c r="AP350">
        <v>2.5</v>
      </c>
      <c r="AQ350">
        <v>6.8</v>
      </c>
      <c r="AR350">
        <v>1.5</v>
      </c>
      <c r="AS350">
        <v>4.4000000000000004</v>
      </c>
      <c r="AT350">
        <v>0.9</v>
      </c>
      <c r="AU350">
        <v>1</v>
      </c>
      <c r="AV350">
        <v>2</v>
      </c>
      <c r="AW350">
        <v>2.6</v>
      </c>
      <c r="AX350">
        <v>7.4</v>
      </c>
    </row>
    <row r="351" spans="1:50" x14ac:dyDescent="0.2">
      <c r="A351" s="1" t="s">
        <v>350</v>
      </c>
      <c r="B351" s="1" t="s">
        <v>31</v>
      </c>
      <c r="C351">
        <v>19</v>
      </c>
      <c r="D351" s="1" t="s">
        <v>66</v>
      </c>
      <c r="E351">
        <v>43</v>
      </c>
      <c r="F351">
        <v>10</v>
      </c>
      <c r="G351">
        <v>20.7</v>
      </c>
      <c r="H351">
        <v>2.7</v>
      </c>
      <c r="I351">
        <v>6.8</v>
      </c>
      <c r="J351">
        <v>0.38900000000000001</v>
      </c>
      <c r="K351">
        <v>0.4</v>
      </c>
      <c r="L351">
        <v>2.1</v>
      </c>
      <c r="M351">
        <v>0.21299999999999999</v>
      </c>
      <c r="N351">
        <v>1.6</v>
      </c>
      <c r="O351">
        <v>2</v>
      </c>
      <c r="P351">
        <v>0.83299999999999996</v>
      </c>
      <c r="Q351">
        <v>0.4</v>
      </c>
      <c r="R351">
        <v>1.7</v>
      </c>
      <c r="S351">
        <v>2.1</v>
      </c>
      <c r="T351">
        <v>3.3</v>
      </c>
      <c r="U351">
        <v>0.8</v>
      </c>
      <c r="V351">
        <v>0.2</v>
      </c>
      <c r="W351">
        <v>2.2000000000000002</v>
      </c>
      <c r="X351">
        <v>1.7</v>
      </c>
      <c r="Y351">
        <v>7.4</v>
      </c>
      <c r="AP351">
        <v>2.7</v>
      </c>
      <c r="AQ351">
        <v>6.8</v>
      </c>
      <c r="AR351">
        <v>0.4</v>
      </c>
      <c r="AS351">
        <v>2.1</v>
      </c>
      <c r="AT351">
        <v>1.6</v>
      </c>
      <c r="AU351">
        <v>2</v>
      </c>
      <c r="AV351">
        <v>2.1</v>
      </c>
      <c r="AW351">
        <v>3.3</v>
      </c>
      <c r="AX351">
        <v>7.4</v>
      </c>
    </row>
    <row r="352" spans="1:50" x14ac:dyDescent="0.2">
      <c r="A352" s="1" t="s">
        <v>351</v>
      </c>
      <c r="B352" s="1" t="s">
        <v>26</v>
      </c>
      <c r="C352">
        <v>27</v>
      </c>
      <c r="D352" s="1" t="s">
        <v>70</v>
      </c>
      <c r="E352">
        <v>68</v>
      </c>
      <c r="F352">
        <v>2</v>
      </c>
      <c r="G352">
        <v>19.600000000000001</v>
      </c>
      <c r="H352">
        <v>2.7</v>
      </c>
      <c r="I352">
        <v>6.4</v>
      </c>
      <c r="J352">
        <v>0.41799999999999998</v>
      </c>
      <c r="K352">
        <v>1.4</v>
      </c>
      <c r="L352">
        <v>4.0999999999999996</v>
      </c>
      <c r="M352">
        <v>0.34899999999999998</v>
      </c>
      <c r="N352">
        <v>0.5</v>
      </c>
      <c r="O352">
        <v>0.7</v>
      </c>
      <c r="P352">
        <v>0.76100000000000001</v>
      </c>
      <c r="Q352">
        <v>0.4</v>
      </c>
      <c r="R352">
        <v>2.1</v>
      </c>
      <c r="S352">
        <v>2.4</v>
      </c>
      <c r="T352">
        <v>3.3</v>
      </c>
      <c r="U352">
        <v>0.9</v>
      </c>
      <c r="V352">
        <v>0.1</v>
      </c>
      <c r="W352">
        <v>1.1000000000000001</v>
      </c>
      <c r="X352">
        <v>1.9</v>
      </c>
      <c r="Y352">
        <v>7.3</v>
      </c>
      <c r="AP352">
        <v>2.7</v>
      </c>
      <c r="AQ352">
        <v>6.4</v>
      </c>
      <c r="AR352">
        <v>1.4</v>
      </c>
      <c r="AS352">
        <v>4.0999999999999996</v>
      </c>
      <c r="AT352">
        <v>0.5</v>
      </c>
      <c r="AU352">
        <v>0.7</v>
      </c>
      <c r="AV352">
        <v>2.4</v>
      </c>
      <c r="AW352">
        <v>3.3</v>
      </c>
      <c r="AX352">
        <v>7.3</v>
      </c>
    </row>
    <row r="353" spans="1:50" x14ac:dyDescent="0.2">
      <c r="A353" s="1" t="s">
        <v>351</v>
      </c>
      <c r="B353" s="1" t="s">
        <v>26</v>
      </c>
      <c r="C353">
        <v>27</v>
      </c>
      <c r="D353" s="1" t="s">
        <v>81</v>
      </c>
      <c r="E353">
        <v>41</v>
      </c>
      <c r="F353">
        <v>0</v>
      </c>
      <c r="G353">
        <v>21.9</v>
      </c>
      <c r="H353">
        <v>2.9</v>
      </c>
      <c r="I353">
        <v>6.8</v>
      </c>
      <c r="J353">
        <v>0.41799999999999998</v>
      </c>
      <c r="K353">
        <v>1.7</v>
      </c>
      <c r="L353">
        <v>4.7</v>
      </c>
      <c r="M353">
        <v>0.36299999999999999</v>
      </c>
      <c r="N353">
        <v>0.5</v>
      </c>
      <c r="O353">
        <v>0.6</v>
      </c>
      <c r="P353">
        <v>0.83299999999999996</v>
      </c>
      <c r="Q353">
        <v>0.4</v>
      </c>
      <c r="R353">
        <v>2.4</v>
      </c>
      <c r="S353">
        <v>2.8</v>
      </c>
      <c r="T353">
        <v>3.1</v>
      </c>
      <c r="U353">
        <v>0.9</v>
      </c>
      <c r="V353">
        <v>0.1</v>
      </c>
      <c r="W353">
        <v>1.1000000000000001</v>
      </c>
      <c r="X353">
        <v>2</v>
      </c>
      <c r="Y353">
        <v>7.9</v>
      </c>
      <c r="AP353">
        <v>2.9</v>
      </c>
      <c r="AQ353">
        <v>6.8</v>
      </c>
      <c r="AR353">
        <v>1.7</v>
      </c>
      <c r="AS353">
        <v>4.7</v>
      </c>
      <c r="AT353">
        <v>0.5</v>
      </c>
      <c r="AU353">
        <v>0.6</v>
      </c>
      <c r="AV353">
        <v>2.8</v>
      </c>
      <c r="AW353">
        <v>3.1</v>
      </c>
      <c r="AX353">
        <v>7.9</v>
      </c>
    </row>
    <row r="354" spans="1:50" x14ac:dyDescent="0.2">
      <c r="A354" s="1" t="s">
        <v>351</v>
      </c>
      <c r="B354" s="1" t="s">
        <v>26</v>
      </c>
      <c r="C354">
        <v>27</v>
      </c>
      <c r="D354" s="1" t="s">
        <v>55</v>
      </c>
      <c r="E354">
        <v>27</v>
      </c>
      <c r="F354">
        <v>2</v>
      </c>
      <c r="G354">
        <v>16.3</v>
      </c>
      <c r="H354">
        <v>2.4</v>
      </c>
      <c r="I354">
        <v>5.7</v>
      </c>
      <c r="J354">
        <v>0.41799999999999998</v>
      </c>
      <c r="K354">
        <v>1</v>
      </c>
      <c r="L354">
        <v>3.1</v>
      </c>
      <c r="M354">
        <v>0.318</v>
      </c>
      <c r="N354">
        <v>0.6</v>
      </c>
      <c r="O354">
        <v>0.8</v>
      </c>
      <c r="P354">
        <v>0.68200000000000005</v>
      </c>
      <c r="Q354">
        <v>0.3</v>
      </c>
      <c r="R354">
        <v>1.6</v>
      </c>
      <c r="S354">
        <v>1.9</v>
      </c>
      <c r="T354">
        <v>3.7</v>
      </c>
      <c r="U354">
        <v>1</v>
      </c>
      <c r="V354">
        <v>0.1</v>
      </c>
      <c r="W354">
        <v>1.1000000000000001</v>
      </c>
      <c r="X354">
        <v>1.7</v>
      </c>
      <c r="Y354">
        <v>6.3</v>
      </c>
      <c r="AP354">
        <v>2.4</v>
      </c>
      <c r="AQ354">
        <v>5.7</v>
      </c>
      <c r="AR354">
        <v>1</v>
      </c>
      <c r="AS354">
        <v>3.1</v>
      </c>
      <c r="AT354">
        <v>0.6</v>
      </c>
      <c r="AU354">
        <v>0.8</v>
      </c>
      <c r="AV354">
        <v>1.9</v>
      </c>
      <c r="AW354">
        <v>3.7</v>
      </c>
      <c r="AX354">
        <v>6.3</v>
      </c>
    </row>
    <row r="355" spans="1:50" x14ac:dyDescent="0.2">
      <c r="A355" s="1" t="s">
        <v>352</v>
      </c>
      <c r="B355" s="1" t="s">
        <v>26</v>
      </c>
      <c r="C355">
        <v>31</v>
      </c>
      <c r="D355" s="1" t="s">
        <v>39</v>
      </c>
      <c r="E355">
        <v>81</v>
      </c>
      <c r="F355">
        <v>67</v>
      </c>
      <c r="G355">
        <v>27.3</v>
      </c>
      <c r="H355">
        <v>2.8</v>
      </c>
      <c r="I355">
        <v>5.8</v>
      </c>
      <c r="J355">
        <v>0.47699999999999998</v>
      </c>
      <c r="K355">
        <v>1</v>
      </c>
      <c r="L355">
        <v>2.6</v>
      </c>
      <c r="M355">
        <v>0.379</v>
      </c>
      <c r="N355">
        <v>0.8</v>
      </c>
      <c r="O355">
        <v>1</v>
      </c>
      <c r="P355">
        <v>0.76500000000000001</v>
      </c>
      <c r="Q355">
        <v>0.7</v>
      </c>
      <c r="R355">
        <v>2.6</v>
      </c>
      <c r="S355">
        <v>3.3</v>
      </c>
      <c r="T355">
        <v>3.6</v>
      </c>
      <c r="U355">
        <v>1.6</v>
      </c>
      <c r="V355">
        <v>0.2</v>
      </c>
      <c r="W355">
        <v>1.3</v>
      </c>
      <c r="X355">
        <v>2.2999999999999998</v>
      </c>
      <c r="Y355">
        <v>7.3</v>
      </c>
      <c r="AP355">
        <v>2.8</v>
      </c>
      <c r="AQ355">
        <v>5.8</v>
      </c>
      <c r="AR355">
        <v>1</v>
      </c>
      <c r="AS355">
        <v>2.6</v>
      </c>
      <c r="AT355">
        <v>0.8</v>
      </c>
      <c r="AU355">
        <v>1</v>
      </c>
      <c r="AV355">
        <v>3.3</v>
      </c>
      <c r="AW355">
        <v>3.6</v>
      </c>
      <c r="AX355">
        <v>7.3</v>
      </c>
    </row>
    <row r="356" spans="1:50" x14ac:dyDescent="0.2">
      <c r="A356" s="1" t="s">
        <v>353</v>
      </c>
      <c r="B356" s="1" t="s">
        <v>26</v>
      </c>
      <c r="C356">
        <v>26</v>
      </c>
      <c r="D356" s="1" t="s">
        <v>66</v>
      </c>
      <c r="E356">
        <v>23</v>
      </c>
      <c r="F356">
        <v>2</v>
      </c>
      <c r="G356">
        <v>14.9</v>
      </c>
      <c r="H356">
        <v>2.2999999999999998</v>
      </c>
      <c r="I356">
        <v>5.6</v>
      </c>
      <c r="J356">
        <v>0.40300000000000002</v>
      </c>
      <c r="K356">
        <v>1.8</v>
      </c>
      <c r="L356">
        <v>4.3</v>
      </c>
      <c r="M356">
        <v>0.41799999999999998</v>
      </c>
      <c r="N356">
        <v>1</v>
      </c>
      <c r="O356">
        <v>1.2</v>
      </c>
      <c r="P356">
        <v>0.85699999999999998</v>
      </c>
      <c r="Q356">
        <v>0.2</v>
      </c>
      <c r="R356">
        <v>0.9</v>
      </c>
      <c r="S356">
        <v>1.1000000000000001</v>
      </c>
      <c r="T356">
        <v>1.6</v>
      </c>
      <c r="U356">
        <v>0.4</v>
      </c>
      <c r="V356">
        <v>0</v>
      </c>
      <c r="W356">
        <v>0.7</v>
      </c>
      <c r="X356">
        <v>2</v>
      </c>
      <c r="Y356">
        <v>7.3</v>
      </c>
      <c r="AP356">
        <v>2.2999999999999998</v>
      </c>
      <c r="AQ356">
        <v>5.6</v>
      </c>
      <c r="AR356">
        <v>1.8</v>
      </c>
      <c r="AS356">
        <v>4.3</v>
      </c>
      <c r="AT356">
        <v>1</v>
      </c>
      <c r="AU356">
        <v>1.2</v>
      </c>
      <c r="AV356">
        <v>1.1000000000000001</v>
      </c>
      <c r="AW356">
        <v>1.6</v>
      </c>
      <c r="AX356">
        <v>7.3</v>
      </c>
    </row>
    <row r="357" spans="1:50" x14ac:dyDescent="0.2">
      <c r="A357" s="1" t="s">
        <v>354</v>
      </c>
      <c r="B357" s="1" t="s">
        <v>23</v>
      </c>
      <c r="C357">
        <v>22</v>
      </c>
      <c r="D357" s="1" t="s">
        <v>79</v>
      </c>
      <c r="E357">
        <v>47</v>
      </c>
      <c r="F357">
        <v>1</v>
      </c>
      <c r="G357">
        <v>17.2</v>
      </c>
      <c r="H357">
        <v>2.4</v>
      </c>
      <c r="I357">
        <v>6.7</v>
      </c>
      <c r="J357">
        <v>0.36599999999999999</v>
      </c>
      <c r="K357">
        <v>1</v>
      </c>
      <c r="L357">
        <v>3.6</v>
      </c>
      <c r="M357">
        <v>0.26900000000000002</v>
      </c>
      <c r="N357">
        <v>1.5</v>
      </c>
      <c r="O357">
        <v>2.1</v>
      </c>
      <c r="P357">
        <v>0.68300000000000005</v>
      </c>
      <c r="Q357">
        <v>0.5</v>
      </c>
      <c r="R357">
        <v>2.7</v>
      </c>
      <c r="S357">
        <v>3.3</v>
      </c>
      <c r="T357">
        <v>2.2000000000000002</v>
      </c>
      <c r="U357">
        <v>0.6</v>
      </c>
      <c r="V357">
        <v>0.4</v>
      </c>
      <c r="W357">
        <v>1.4</v>
      </c>
      <c r="X357">
        <v>1.4</v>
      </c>
      <c r="Y357">
        <v>7.3</v>
      </c>
      <c r="AP357">
        <v>2.4</v>
      </c>
      <c r="AQ357">
        <v>6.7</v>
      </c>
      <c r="AR357">
        <v>1</v>
      </c>
      <c r="AS357">
        <v>3.6</v>
      </c>
      <c r="AT357">
        <v>1.5</v>
      </c>
      <c r="AU357">
        <v>2.1</v>
      </c>
      <c r="AV357">
        <v>3.3</v>
      </c>
      <c r="AW357">
        <v>2.2000000000000002</v>
      </c>
      <c r="AX357">
        <v>7.3</v>
      </c>
    </row>
    <row r="358" spans="1:50" x14ac:dyDescent="0.2">
      <c r="A358" s="1" t="s">
        <v>355</v>
      </c>
      <c r="B358" s="1" t="s">
        <v>31</v>
      </c>
      <c r="C358">
        <v>22</v>
      </c>
      <c r="D358" s="1" t="s">
        <v>85</v>
      </c>
      <c r="E358">
        <v>12</v>
      </c>
      <c r="F358">
        <v>0</v>
      </c>
      <c r="G358">
        <v>18.100000000000001</v>
      </c>
      <c r="H358">
        <v>2.5</v>
      </c>
      <c r="I358">
        <v>6.1</v>
      </c>
      <c r="J358">
        <v>0.41099999999999998</v>
      </c>
      <c r="K358">
        <v>1.9</v>
      </c>
      <c r="L358">
        <v>5.0999999999999996</v>
      </c>
      <c r="M358">
        <v>0.377</v>
      </c>
      <c r="N358">
        <v>0.3</v>
      </c>
      <c r="O358">
        <v>0.3</v>
      </c>
      <c r="P358">
        <v>1</v>
      </c>
      <c r="Q358">
        <v>0.3</v>
      </c>
      <c r="R358">
        <v>2</v>
      </c>
      <c r="S358">
        <v>2.2999999999999998</v>
      </c>
      <c r="T358">
        <v>0.6</v>
      </c>
      <c r="U358">
        <v>0.5</v>
      </c>
      <c r="V358">
        <v>0.3</v>
      </c>
      <c r="W358">
        <v>0.3</v>
      </c>
      <c r="X358">
        <v>2.1</v>
      </c>
      <c r="Y358">
        <v>7.3</v>
      </c>
      <c r="AP358">
        <v>2.5</v>
      </c>
      <c r="AQ358">
        <v>6.1</v>
      </c>
      <c r="AR358">
        <v>1.9</v>
      </c>
      <c r="AS358">
        <v>5.0999999999999996</v>
      </c>
      <c r="AT358">
        <v>0.3</v>
      </c>
      <c r="AU358">
        <v>0.3</v>
      </c>
      <c r="AV358">
        <v>2.2999999999999998</v>
      </c>
      <c r="AW358">
        <v>0.6</v>
      </c>
      <c r="AX358">
        <v>7.3</v>
      </c>
    </row>
    <row r="359" spans="1:50" x14ac:dyDescent="0.2">
      <c r="A359" s="1" t="s">
        <v>356</v>
      </c>
      <c r="B359" s="1" t="s">
        <v>31</v>
      </c>
      <c r="C359">
        <v>33</v>
      </c>
      <c r="D359" s="1" t="s">
        <v>70</v>
      </c>
      <c r="E359">
        <v>50</v>
      </c>
      <c r="F359">
        <v>3</v>
      </c>
      <c r="G359">
        <v>16</v>
      </c>
      <c r="H359">
        <v>2.6</v>
      </c>
      <c r="I359">
        <v>6.2</v>
      </c>
      <c r="J359">
        <v>0.42399999999999999</v>
      </c>
      <c r="K359">
        <v>1.3</v>
      </c>
      <c r="L359">
        <v>4</v>
      </c>
      <c r="M359">
        <v>0.33300000000000002</v>
      </c>
      <c r="N359">
        <v>0.6</v>
      </c>
      <c r="O359">
        <v>0.7</v>
      </c>
      <c r="P359">
        <v>0.81100000000000005</v>
      </c>
      <c r="Q359">
        <v>0.5</v>
      </c>
      <c r="R359">
        <v>1.7</v>
      </c>
      <c r="S359">
        <v>2.2999999999999998</v>
      </c>
      <c r="T359">
        <v>1.4</v>
      </c>
      <c r="U359">
        <v>0.8</v>
      </c>
      <c r="V359">
        <v>0.2</v>
      </c>
      <c r="W359">
        <v>0.9</v>
      </c>
      <c r="X359">
        <v>1.1000000000000001</v>
      </c>
      <c r="Y359">
        <v>7.2</v>
      </c>
      <c r="AP359">
        <v>2.6</v>
      </c>
      <c r="AQ359">
        <v>6.2</v>
      </c>
      <c r="AR359">
        <v>1.3</v>
      </c>
      <c r="AS359">
        <v>4</v>
      </c>
      <c r="AT359">
        <v>0.6</v>
      </c>
      <c r="AU359">
        <v>0.7</v>
      </c>
      <c r="AV359">
        <v>2.2999999999999998</v>
      </c>
      <c r="AW359">
        <v>1.4</v>
      </c>
      <c r="AX359">
        <v>7.2</v>
      </c>
    </row>
    <row r="360" spans="1:50" x14ac:dyDescent="0.2">
      <c r="A360" s="1" t="s">
        <v>356</v>
      </c>
      <c r="B360" s="1" t="s">
        <v>31</v>
      </c>
      <c r="C360">
        <v>33</v>
      </c>
      <c r="D360" s="1" t="s">
        <v>51</v>
      </c>
      <c r="E360">
        <v>44</v>
      </c>
      <c r="F360">
        <v>3</v>
      </c>
      <c r="G360">
        <v>17.5</v>
      </c>
      <c r="H360">
        <v>3</v>
      </c>
      <c r="I360">
        <v>6.8</v>
      </c>
      <c r="J360">
        <v>0.433</v>
      </c>
      <c r="K360">
        <v>1.5</v>
      </c>
      <c r="L360">
        <v>4.4000000000000004</v>
      </c>
      <c r="M360">
        <v>0.34399999999999997</v>
      </c>
      <c r="N360">
        <v>0.6</v>
      </c>
      <c r="O360">
        <v>0.8</v>
      </c>
      <c r="P360">
        <v>0.79400000000000004</v>
      </c>
      <c r="Q360">
        <v>0.6</v>
      </c>
      <c r="R360">
        <v>1.9</v>
      </c>
      <c r="S360">
        <v>2.5</v>
      </c>
      <c r="T360">
        <v>1.5</v>
      </c>
      <c r="U360">
        <v>0.8</v>
      </c>
      <c r="V360">
        <v>0.2</v>
      </c>
      <c r="W360">
        <v>1</v>
      </c>
      <c r="X360">
        <v>1.3</v>
      </c>
      <c r="Y360">
        <v>8</v>
      </c>
      <c r="AP360">
        <v>3</v>
      </c>
      <c r="AQ360">
        <v>6.8</v>
      </c>
      <c r="AR360">
        <v>1.5</v>
      </c>
      <c r="AS360">
        <v>4.4000000000000004</v>
      </c>
      <c r="AT360">
        <v>0.6</v>
      </c>
      <c r="AU360">
        <v>0.8</v>
      </c>
      <c r="AV360">
        <v>2.5</v>
      </c>
      <c r="AW360">
        <v>1.5</v>
      </c>
      <c r="AX360">
        <v>8</v>
      </c>
    </row>
    <row r="361" spans="1:50" x14ac:dyDescent="0.2">
      <c r="A361" s="1" t="s">
        <v>357</v>
      </c>
      <c r="B361" s="1" t="s">
        <v>31</v>
      </c>
      <c r="C361">
        <v>29</v>
      </c>
      <c r="D361" s="1" t="s">
        <v>66</v>
      </c>
      <c r="E361">
        <v>63</v>
      </c>
      <c r="F361">
        <v>51</v>
      </c>
      <c r="G361">
        <v>24.3</v>
      </c>
      <c r="H361">
        <v>2.7</v>
      </c>
      <c r="I361">
        <v>5.8</v>
      </c>
      <c r="J361">
        <v>0.45700000000000002</v>
      </c>
      <c r="K361">
        <v>0.9</v>
      </c>
      <c r="L361">
        <v>2.4</v>
      </c>
      <c r="M361">
        <v>0.36399999999999999</v>
      </c>
      <c r="N361">
        <v>1</v>
      </c>
      <c r="O361">
        <v>1.3</v>
      </c>
      <c r="P361">
        <v>0.78800000000000003</v>
      </c>
      <c r="Q361">
        <v>1.1000000000000001</v>
      </c>
      <c r="R361">
        <v>2.1</v>
      </c>
      <c r="S361">
        <v>3.2</v>
      </c>
      <c r="T361">
        <v>3</v>
      </c>
      <c r="U361">
        <v>0.7</v>
      </c>
      <c r="V361">
        <v>0.2</v>
      </c>
      <c r="W361">
        <v>1.1000000000000001</v>
      </c>
      <c r="X361">
        <v>2.5</v>
      </c>
      <c r="Y361">
        <v>7.2</v>
      </c>
      <c r="AP361">
        <v>2.7</v>
      </c>
      <c r="AQ361">
        <v>5.8</v>
      </c>
      <c r="AR361">
        <v>0.9</v>
      </c>
      <c r="AS361">
        <v>2.4</v>
      </c>
      <c r="AT361">
        <v>1</v>
      </c>
      <c r="AU361">
        <v>1.3</v>
      </c>
      <c r="AV361">
        <v>3.2</v>
      </c>
      <c r="AW361">
        <v>3</v>
      </c>
      <c r="AX361">
        <v>7.2</v>
      </c>
    </row>
    <row r="362" spans="1:50" x14ac:dyDescent="0.2">
      <c r="A362" s="1" t="s">
        <v>358</v>
      </c>
      <c r="B362" s="1" t="s">
        <v>31</v>
      </c>
      <c r="C362">
        <v>23</v>
      </c>
      <c r="D362" s="1" t="s">
        <v>39</v>
      </c>
      <c r="E362">
        <v>67</v>
      </c>
      <c r="F362">
        <v>16</v>
      </c>
      <c r="G362">
        <v>19.8</v>
      </c>
      <c r="H362">
        <v>2.6</v>
      </c>
      <c r="I362">
        <v>5.6</v>
      </c>
      <c r="J362">
        <v>0.46600000000000003</v>
      </c>
      <c r="K362">
        <v>1.2</v>
      </c>
      <c r="L362">
        <v>2.9</v>
      </c>
      <c r="M362">
        <v>0.40699999999999997</v>
      </c>
      <c r="N362">
        <v>0.8</v>
      </c>
      <c r="O362">
        <v>1</v>
      </c>
      <c r="P362">
        <v>0.81499999999999995</v>
      </c>
      <c r="Q362">
        <v>0.4</v>
      </c>
      <c r="R362">
        <v>1.8</v>
      </c>
      <c r="S362">
        <v>2.2000000000000002</v>
      </c>
      <c r="T362">
        <v>1.6</v>
      </c>
      <c r="U362">
        <v>0.7</v>
      </c>
      <c r="V362">
        <v>0.1</v>
      </c>
      <c r="W362">
        <v>1.2</v>
      </c>
      <c r="X362">
        <v>2.1</v>
      </c>
      <c r="Y362">
        <v>7.2</v>
      </c>
      <c r="AP362">
        <v>2.6</v>
      </c>
      <c r="AQ362">
        <v>5.6</v>
      </c>
      <c r="AR362">
        <v>1.2</v>
      </c>
      <c r="AS362">
        <v>2.9</v>
      </c>
      <c r="AT362">
        <v>0.8</v>
      </c>
      <c r="AU362">
        <v>1</v>
      </c>
      <c r="AV362">
        <v>2.2000000000000002</v>
      </c>
      <c r="AW362">
        <v>1.6</v>
      </c>
      <c r="AX362">
        <v>7.2</v>
      </c>
    </row>
    <row r="363" spans="1:50" x14ac:dyDescent="0.2">
      <c r="A363" s="1" t="s">
        <v>359</v>
      </c>
      <c r="B363" s="1" t="s">
        <v>26</v>
      </c>
      <c r="C363">
        <v>29</v>
      </c>
      <c r="D363" s="1" t="s">
        <v>51</v>
      </c>
      <c r="E363">
        <v>65</v>
      </c>
      <c r="F363">
        <v>14</v>
      </c>
      <c r="G363">
        <v>18.600000000000001</v>
      </c>
      <c r="H363">
        <v>2.8</v>
      </c>
      <c r="I363">
        <v>6.6</v>
      </c>
      <c r="J363">
        <v>0.42799999999999999</v>
      </c>
      <c r="K363">
        <v>0.9</v>
      </c>
      <c r="L363">
        <v>2.5</v>
      </c>
      <c r="M363">
        <v>0.35799999999999998</v>
      </c>
      <c r="N363">
        <v>0.7</v>
      </c>
      <c r="O363">
        <v>0.9</v>
      </c>
      <c r="P363">
        <v>0.77200000000000002</v>
      </c>
      <c r="Q363">
        <v>0.8</v>
      </c>
      <c r="R363">
        <v>1.6</v>
      </c>
      <c r="S363">
        <v>2.4</v>
      </c>
      <c r="T363">
        <v>3.5</v>
      </c>
      <c r="U363">
        <v>0.7</v>
      </c>
      <c r="V363">
        <v>0.1</v>
      </c>
      <c r="W363">
        <v>1.3</v>
      </c>
      <c r="X363">
        <v>1.1000000000000001</v>
      </c>
      <c r="Y363">
        <v>7.2</v>
      </c>
      <c r="AP363">
        <v>2.8</v>
      </c>
      <c r="AQ363">
        <v>6.6</v>
      </c>
      <c r="AR363">
        <v>0.9</v>
      </c>
      <c r="AS363">
        <v>2.5</v>
      </c>
      <c r="AT363">
        <v>0.7</v>
      </c>
      <c r="AU363">
        <v>0.9</v>
      </c>
      <c r="AV363">
        <v>2.4</v>
      </c>
      <c r="AW363">
        <v>3.5</v>
      </c>
      <c r="AX363">
        <v>7.2</v>
      </c>
    </row>
    <row r="364" spans="1:50" x14ac:dyDescent="0.2">
      <c r="A364" s="1" t="s">
        <v>360</v>
      </c>
      <c r="B364" s="1" t="s">
        <v>23</v>
      </c>
      <c r="C364">
        <v>23</v>
      </c>
      <c r="D364" s="1" t="s">
        <v>29</v>
      </c>
      <c r="E364">
        <v>65</v>
      </c>
      <c r="F364">
        <v>11</v>
      </c>
      <c r="G364">
        <v>19.600000000000001</v>
      </c>
      <c r="H364">
        <v>2.2999999999999998</v>
      </c>
      <c r="I364">
        <v>5.4</v>
      </c>
      <c r="J364">
        <v>0.42299999999999999</v>
      </c>
      <c r="K364">
        <v>1.5</v>
      </c>
      <c r="L364">
        <v>3.9</v>
      </c>
      <c r="M364">
        <v>0.38300000000000001</v>
      </c>
      <c r="N364">
        <v>1.1000000000000001</v>
      </c>
      <c r="O364">
        <v>1.4</v>
      </c>
      <c r="P364">
        <v>0.79300000000000004</v>
      </c>
      <c r="Q364">
        <v>0.5</v>
      </c>
      <c r="R364">
        <v>5</v>
      </c>
      <c r="S364">
        <v>5.5</v>
      </c>
      <c r="T364">
        <v>2.4</v>
      </c>
      <c r="U364">
        <v>0.5</v>
      </c>
      <c r="V364">
        <v>0.6</v>
      </c>
      <c r="W364">
        <v>1</v>
      </c>
      <c r="X364">
        <v>2</v>
      </c>
      <c r="Y364">
        <v>7.2</v>
      </c>
      <c r="AP364">
        <v>2.2999999999999998</v>
      </c>
      <c r="AQ364">
        <v>5.4</v>
      </c>
      <c r="AR364">
        <v>1.5</v>
      </c>
      <c r="AS364">
        <v>3.9</v>
      </c>
      <c r="AT364">
        <v>1.1000000000000001</v>
      </c>
      <c r="AU364">
        <v>1.4</v>
      </c>
      <c r="AV364">
        <v>5.5</v>
      </c>
      <c r="AW364">
        <v>2.4</v>
      </c>
      <c r="AX364">
        <v>7.2</v>
      </c>
    </row>
    <row r="365" spans="1:50" x14ac:dyDescent="0.2">
      <c r="A365" s="1" t="s">
        <v>361</v>
      </c>
      <c r="B365" s="1" t="s">
        <v>34</v>
      </c>
      <c r="C365">
        <v>25</v>
      </c>
      <c r="D365" s="1" t="s">
        <v>37</v>
      </c>
      <c r="E365">
        <v>13</v>
      </c>
      <c r="F365">
        <v>1</v>
      </c>
      <c r="G365">
        <v>14.9</v>
      </c>
      <c r="H365">
        <v>2.5</v>
      </c>
      <c r="I365">
        <v>5.7</v>
      </c>
      <c r="J365">
        <v>0.432</v>
      </c>
      <c r="K365">
        <v>1.2</v>
      </c>
      <c r="L365">
        <v>3.5</v>
      </c>
      <c r="M365">
        <v>0.34799999999999998</v>
      </c>
      <c r="N365">
        <v>0.9</v>
      </c>
      <c r="O365">
        <v>1.3</v>
      </c>
      <c r="P365">
        <v>0.70599999999999996</v>
      </c>
      <c r="Q365">
        <v>0.5</v>
      </c>
      <c r="R365">
        <v>1.9</v>
      </c>
      <c r="S365">
        <v>2.4</v>
      </c>
      <c r="T365">
        <v>1.2</v>
      </c>
      <c r="U365">
        <v>0.7</v>
      </c>
      <c r="V365">
        <v>0.3</v>
      </c>
      <c r="W365">
        <v>1</v>
      </c>
      <c r="X365">
        <v>1</v>
      </c>
      <c r="Y365">
        <v>7.1</v>
      </c>
      <c r="AP365">
        <v>2.5</v>
      </c>
      <c r="AQ365">
        <v>5.7</v>
      </c>
      <c r="AR365">
        <v>1.2</v>
      </c>
      <c r="AS365">
        <v>3.5</v>
      </c>
      <c r="AT365">
        <v>0.9</v>
      </c>
      <c r="AU365">
        <v>1.3</v>
      </c>
      <c r="AV365">
        <v>2.4</v>
      </c>
      <c r="AW365">
        <v>1.2</v>
      </c>
      <c r="AX365">
        <v>7.1</v>
      </c>
    </row>
    <row r="366" spans="1:50" x14ac:dyDescent="0.2">
      <c r="A366" s="1" t="s">
        <v>362</v>
      </c>
      <c r="B366" s="1" t="s">
        <v>31</v>
      </c>
      <c r="C366">
        <v>24</v>
      </c>
      <c r="D366" s="1" t="s">
        <v>68</v>
      </c>
      <c r="E366">
        <v>65</v>
      </c>
      <c r="F366">
        <v>20</v>
      </c>
      <c r="G366">
        <v>21.4</v>
      </c>
      <c r="H366">
        <v>2.6</v>
      </c>
      <c r="I366">
        <v>6</v>
      </c>
      <c r="J366">
        <v>0.434</v>
      </c>
      <c r="K366">
        <v>1.3</v>
      </c>
      <c r="L366">
        <v>3.6</v>
      </c>
      <c r="M366">
        <v>0.36199999999999999</v>
      </c>
      <c r="N366">
        <v>0.6</v>
      </c>
      <c r="O366">
        <v>0.8</v>
      </c>
      <c r="P366">
        <v>0.76500000000000001</v>
      </c>
      <c r="Q366">
        <v>0.7</v>
      </c>
      <c r="R366">
        <v>2.2999999999999998</v>
      </c>
      <c r="S366">
        <v>3</v>
      </c>
      <c r="T366">
        <v>1.8</v>
      </c>
      <c r="U366">
        <v>0.6</v>
      </c>
      <c r="V366">
        <v>0.1</v>
      </c>
      <c r="W366">
        <v>0.6</v>
      </c>
      <c r="X366">
        <v>1.8</v>
      </c>
      <c r="Y366">
        <v>7.1</v>
      </c>
      <c r="AP366">
        <v>2.6</v>
      </c>
      <c r="AQ366">
        <v>6</v>
      </c>
      <c r="AR366">
        <v>1.3</v>
      </c>
      <c r="AS366">
        <v>3.6</v>
      </c>
      <c r="AT366">
        <v>0.6</v>
      </c>
      <c r="AU366">
        <v>0.8</v>
      </c>
      <c r="AV366">
        <v>3</v>
      </c>
      <c r="AW366">
        <v>1.8</v>
      </c>
      <c r="AX366">
        <v>7.1</v>
      </c>
    </row>
    <row r="367" spans="1:50" x14ac:dyDescent="0.2">
      <c r="A367" s="1" t="s">
        <v>363</v>
      </c>
      <c r="B367" s="1" t="s">
        <v>31</v>
      </c>
      <c r="C367">
        <v>33</v>
      </c>
      <c r="D367" s="1" t="s">
        <v>39</v>
      </c>
      <c r="E367">
        <v>22</v>
      </c>
      <c r="F367">
        <v>3</v>
      </c>
      <c r="G367">
        <v>19.600000000000001</v>
      </c>
      <c r="H367">
        <v>2.4</v>
      </c>
      <c r="I367">
        <v>6.5</v>
      </c>
      <c r="J367">
        <v>0.371</v>
      </c>
      <c r="K367">
        <v>1.3</v>
      </c>
      <c r="L367">
        <v>4</v>
      </c>
      <c r="M367">
        <v>0.32200000000000001</v>
      </c>
      <c r="N367">
        <v>0.9</v>
      </c>
      <c r="O367">
        <v>1.1000000000000001</v>
      </c>
      <c r="P367">
        <v>0.8</v>
      </c>
      <c r="Q367">
        <v>0.3</v>
      </c>
      <c r="R367">
        <v>2.2999999999999998</v>
      </c>
      <c r="S367">
        <v>2.5</v>
      </c>
      <c r="T367">
        <v>2.2999999999999998</v>
      </c>
      <c r="U367">
        <v>0.5</v>
      </c>
      <c r="V367">
        <v>0</v>
      </c>
      <c r="W367">
        <v>1.2</v>
      </c>
      <c r="X367">
        <v>2</v>
      </c>
      <c r="Y367">
        <v>7</v>
      </c>
      <c r="AP367">
        <v>2.4</v>
      </c>
      <c r="AQ367">
        <v>6.5</v>
      </c>
      <c r="AR367">
        <v>1.3</v>
      </c>
      <c r="AS367">
        <v>4</v>
      </c>
      <c r="AT367">
        <v>0.9</v>
      </c>
      <c r="AU367">
        <v>1.1000000000000001</v>
      </c>
      <c r="AV367">
        <v>2.5</v>
      </c>
      <c r="AW367">
        <v>2.2999999999999998</v>
      </c>
      <c r="AX367">
        <v>7</v>
      </c>
    </row>
    <row r="368" spans="1:50" x14ac:dyDescent="0.2">
      <c r="A368" s="1" t="s">
        <v>364</v>
      </c>
      <c r="B368" s="1" t="s">
        <v>31</v>
      </c>
      <c r="C368">
        <v>32</v>
      </c>
      <c r="D368" s="1" t="s">
        <v>64</v>
      </c>
      <c r="E368">
        <v>81</v>
      </c>
      <c r="F368">
        <v>6</v>
      </c>
      <c r="G368">
        <v>17.7</v>
      </c>
      <c r="H368">
        <v>2.2999999999999998</v>
      </c>
      <c r="I368">
        <v>5.0999999999999996</v>
      </c>
      <c r="J368">
        <v>0.44500000000000001</v>
      </c>
      <c r="K368">
        <v>1.1000000000000001</v>
      </c>
      <c r="L368">
        <v>3</v>
      </c>
      <c r="M368">
        <v>0.377</v>
      </c>
      <c r="N368">
        <v>1.3</v>
      </c>
      <c r="O368">
        <v>1.5</v>
      </c>
      <c r="P368">
        <v>0.84</v>
      </c>
      <c r="Q368">
        <v>0.8</v>
      </c>
      <c r="R368">
        <v>2</v>
      </c>
      <c r="S368">
        <v>2.8</v>
      </c>
      <c r="T368">
        <v>0.7</v>
      </c>
      <c r="U368">
        <v>1.2</v>
      </c>
      <c r="V368">
        <v>0.3</v>
      </c>
      <c r="W368">
        <v>0.6</v>
      </c>
      <c r="X368">
        <v>1.3</v>
      </c>
      <c r="Y368">
        <v>7</v>
      </c>
      <c r="AP368">
        <v>2.2999999999999998</v>
      </c>
      <c r="AQ368">
        <v>5.0999999999999996</v>
      </c>
      <c r="AR368">
        <v>1.1000000000000001</v>
      </c>
      <c r="AS368">
        <v>3</v>
      </c>
      <c r="AT368">
        <v>1.3</v>
      </c>
      <c r="AU368">
        <v>1.5</v>
      </c>
      <c r="AV368">
        <v>2.8</v>
      </c>
      <c r="AW368">
        <v>0.7</v>
      </c>
      <c r="AX368">
        <v>7</v>
      </c>
    </row>
    <row r="369" spans="1:50" x14ac:dyDescent="0.2">
      <c r="A369" s="1" t="s">
        <v>365</v>
      </c>
      <c r="B369" s="1" t="s">
        <v>43</v>
      </c>
      <c r="C369">
        <v>26</v>
      </c>
      <c r="D369" s="1" t="s">
        <v>49</v>
      </c>
      <c r="E369">
        <v>26</v>
      </c>
      <c r="F369">
        <v>5</v>
      </c>
      <c r="G369">
        <v>16</v>
      </c>
      <c r="H369">
        <v>3.1</v>
      </c>
      <c r="I369">
        <v>4.9000000000000004</v>
      </c>
      <c r="J369">
        <v>0.625</v>
      </c>
      <c r="K369">
        <v>0</v>
      </c>
      <c r="L369">
        <v>0</v>
      </c>
      <c r="N369">
        <v>0.8</v>
      </c>
      <c r="O369">
        <v>1.6</v>
      </c>
      <c r="P369">
        <v>0.53700000000000003</v>
      </c>
      <c r="Q369">
        <v>2.6</v>
      </c>
      <c r="R369">
        <v>3.6</v>
      </c>
      <c r="S369">
        <v>6.2</v>
      </c>
      <c r="T369">
        <v>1.1000000000000001</v>
      </c>
      <c r="U369">
        <v>0.6</v>
      </c>
      <c r="V369">
        <v>0.2</v>
      </c>
      <c r="W369">
        <v>0.7</v>
      </c>
      <c r="X369">
        <v>1.5</v>
      </c>
      <c r="Y369">
        <v>7</v>
      </c>
      <c r="AP369">
        <v>3.1</v>
      </c>
      <c r="AQ369">
        <v>4.9000000000000004</v>
      </c>
      <c r="AR369">
        <v>0</v>
      </c>
      <c r="AS369">
        <v>0</v>
      </c>
      <c r="AT369">
        <v>0.8</v>
      </c>
      <c r="AU369">
        <v>1.6</v>
      </c>
      <c r="AV369">
        <v>6.2</v>
      </c>
      <c r="AW369">
        <v>1.1000000000000001</v>
      </c>
      <c r="AX369">
        <v>7</v>
      </c>
    </row>
    <row r="370" spans="1:50" x14ac:dyDescent="0.2">
      <c r="A370" s="1" t="s">
        <v>366</v>
      </c>
      <c r="B370" s="1" t="s">
        <v>31</v>
      </c>
      <c r="C370">
        <v>24</v>
      </c>
      <c r="D370" s="1" t="s">
        <v>113</v>
      </c>
      <c r="E370">
        <v>49</v>
      </c>
      <c r="F370">
        <v>6</v>
      </c>
      <c r="G370">
        <v>20.399999999999999</v>
      </c>
      <c r="H370">
        <v>2.6</v>
      </c>
      <c r="I370">
        <v>5.8</v>
      </c>
      <c r="J370">
        <v>0.442</v>
      </c>
      <c r="K370">
        <v>0.9</v>
      </c>
      <c r="L370">
        <v>3</v>
      </c>
      <c r="M370">
        <v>0.28199999999999997</v>
      </c>
      <c r="N370">
        <v>1.1000000000000001</v>
      </c>
      <c r="O370">
        <v>1.6</v>
      </c>
      <c r="P370">
        <v>0.68400000000000005</v>
      </c>
      <c r="Q370">
        <v>1</v>
      </c>
      <c r="R370">
        <v>2.9</v>
      </c>
      <c r="S370">
        <v>3.9</v>
      </c>
      <c r="T370">
        <v>1.3</v>
      </c>
      <c r="U370">
        <v>1.1000000000000001</v>
      </c>
      <c r="V370">
        <v>0.5</v>
      </c>
      <c r="W370">
        <v>0.8</v>
      </c>
      <c r="X370">
        <v>2.6</v>
      </c>
      <c r="Y370">
        <v>7</v>
      </c>
      <c r="AP370">
        <v>2.6</v>
      </c>
      <c r="AQ370">
        <v>5.8</v>
      </c>
      <c r="AR370">
        <v>0.9</v>
      </c>
      <c r="AS370">
        <v>3</v>
      </c>
      <c r="AT370">
        <v>1.1000000000000001</v>
      </c>
      <c r="AU370">
        <v>1.6</v>
      </c>
      <c r="AV370">
        <v>3.9</v>
      </c>
      <c r="AW370">
        <v>1.3</v>
      </c>
      <c r="AX370">
        <v>7</v>
      </c>
    </row>
    <row r="371" spans="1:50" x14ac:dyDescent="0.2">
      <c r="A371" s="1" t="s">
        <v>367</v>
      </c>
      <c r="B371" s="1" t="s">
        <v>23</v>
      </c>
      <c r="C371">
        <v>27</v>
      </c>
      <c r="D371" s="1" t="s">
        <v>98</v>
      </c>
      <c r="E371">
        <v>35</v>
      </c>
      <c r="F371">
        <v>3</v>
      </c>
      <c r="G371">
        <v>19.7</v>
      </c>
      <c r="H371">
        <v>2.1</v>
      </c>
      <c r="I371">
        <v>5.0999999999999996</v>
      </c>
      <c r="J371">
        <v>0.41899999999999998</v>
      </c>
      <c r="K371">
        <v>1.4</v>
      </c>
      <c r="L371">
        <v>3.7</v>
      </c>
      <c r="M371">
        <v>0.38200000000000001</v>
      </c>
      <c r="N371">
        <v>1.3</v>
      </c>
      <c r="O371">
        <v>1.5</v>
      </c>
      <c r="P371">
        <v>0.81499999999999995</v>
      </c>
      <c r="Q371">
        <v>1.3</v>
      </c>
      <c r="R371">
        <v>2.6</v>
      </c>
      <c r="S371">
        <v>3.9</v>
      </c>
      <c r="T371">
        <v>1.5</v>
      </c>
      <c r="U371">
        <v>0.5</v>
      </c>
      <c r="V371">
        <v>0.5</v>
      </c>
      <c r="W371">
        <v>0.9</v>
      </c>
      <c r="X371">
        <v>1.6</v>
      </c>
      <c r="Y371">
        <v>7</v>
      </c>
      <c r="AP371">
        <v>2.1</v>
      </c>
      <c r="AQ371">
        <v>5.0999999999999996</v>
      </c>
      <c r="AR371">
        <v>1.4</v>
      </c>
      <c r="AS371">
        <v>3.7</v>
      </c>
      <c r="AT371">
        <v>1.3</v>
      </c>
      <c r="AU371">
        <v>1.5</v>
      </c>
      <c r="AV371">
        <v>3.9</v>
      </c>
      <c r="AW371">
        <v>1.5</v>
      </c>
      <c r="AX371">
        <v>7</v>
      </c>
    </row>
    <row r="372" spans="1:50" x14ac:dyDescent="0.2">
      <c r="A372" s="1" t="s">
        <v>368</v>
      </c>
      <c r="B372" s="1" t="s">
        <v>31</v>
      </c>
      <c r="C372">
        <v>23</v>
      </c>
      <c r="D372" s="1" t="s">
        <v>44</v>
      </c>
      <c r="E372">
        <v>56</v>
      </c>
      <c r="F372">
        <v>13</v>
      </c>
      <c r="G372">
        <v>14.8</v>
      </c>
      <c r="H372">
        <v>2.5</v>
      </c>
      <c r="I372">
        <v>5.4</v>
      </c>
      <c r="J372">
        <v>0.46700000000000003</v>
      </c>
      <c r="K372">
        <v>1</v>
      </c>
      <c r="L372">
        <v>2.5</v>
      </c>
      <c r="M372">
        <v>0.38</v>
      </c>
      <c r="N372">
        <v>1</v>
      </c>
      <c r="O372">
        <v>1.2</v>
      </c>
      <c r="P372">
        <v>0.81799999999999995</v>
      </c>
      <c r="Q372">
        <v>0.2</v>
      </c>
      <c r="R372">
        <v>1.7</v>
      </c>
      <c r="S372">
        <v>1.9</v>
      </c>
      <c r="T372">
        <v>1</v>
      </c>
      <c r="U372">
        <v>0.4</v>
      </c>
      <c r="V372">
        <v>0.1</v>
      </c>
      <c r="W372">
        <v>0.6</v>
      </c>
      <c r="X372">
        <v>1.3</v>
      </c>
      <c r="Y372">
        <v>6.9</v>
      </c>
      <c r="AP372">
        <v>2.5</v>
      </c>
      <c r="AQ372">
        <v>5.4</v>
      </c>
      <c r="AR372">
        <v>1</v>
      </c>
      <c r="AS372">
        <v>2.5</v>
      </c>
      <c r="AT372">
        <v>1</v>
      </c>
      <c r="AU372">
        <v>1.2</v>
      </c>
      <c r="AV372">
        <v>1.9</v>
      </c>
      <c r="AW372">
        <v>1</v>
      </c>
      <c r="AX372">
        <v>6.9</v>
      </c>
    </row>
    <row r="373" spans="1:50" x14ac:dyDescent="0.2">
      <c r="A373" s="1" t="s">
        <v>369</v>
      </c>
      <c r="B373" s="1" t="s">
        <v>43</v>
      </c>
      <c r="C373">
        <v>28</v>
      </c>
      <c r="D373" s="1" t="s">
        <v>76</v>
      </c>
      <c r="E373">
        <v>36</v>
      </c>
      <c r="F373">
        <v>0</v>
      </c>
      <c r="G373">
        <v>11.9</v>
      </c>
      <c r="H373">
        <v>2.2999999999999998</v>
      </c>
      <c r="I373">
        <v>5.4</v>
      </c>
      <c r="J373">
        <v>0.42599999999999999</v>
      </c>
      <c r="K373">
        <v>0.6</v>
      </c>
      <c r="L373">
        <v>1.9</v>
      </c>
      <c r="M373">
        <v>0.314</v>
      </c>
      <c r="N373">
        <v>1.6</v>
      </c>
      <c r="O373">
        <v>2</v>
      </c>
      <c r="P373">
        <v>0.81899999999999995</v>
      </c>
      <c r="Q373">
        <v>0.8</v>
      </c>
      <c r="R373">
        <v>2.4</v>
      </c>
      <c r="S373">
        <v>3.2</v>
      </c>
      <c r="T373">
        <v>0.8</v>
      </c>
      <c r="U373">
        <v>0.4</v>
      </c>
      <c r="V373">
        <v>0.1</v>
      </c>
      <c r="W373">
        <v>0.5</v>
      </c>
      <c r="X373">
        <v>1.6</v>
      </c>
      <c r="Y373">
        <v>6.9</v>
      </c>
      <c r="AP373">
        <v>2.2999999999999998</v>
      </c>
      <c r="AQ373">
        <v>5.4</v>
      </c>
      <c r="AR373">
        <v>0.6</v>
      </c>
      <c r="AS373">
        <v>1.9</v>
      </c>
      <c r="AT373">
        <v>1.6</v>
      </c>
      <c r="AU373">
        <v>2</v>
      </c>
      <c r="AV373">
        <v>3.2</v>
      </c>
      <c r="AW373">
        <v>0.8</v>
      </c>
      <c r="AX373">
        <v>6.9</v>
      </c>
    </row>
    <row r="374" spans="1:50" x14ac:dyDescent="0.2">
      <c r="A374" s="1" t="s">
        <v>370</v>
      </c>
      <c r="B374" s="1" t="s">
        <v>23</v>
      </c>
      <c r="C374">
        <v>24</v>
      </c>
      <c r="D374" s="1" t="s">
        <v>128</v>
      </c>
      <c r="E374">
        <v>71</v>
      </c>
      <c r="F374">
        <v>5</v>
      </c>
      <c r="G374">
        <v>20.3</v>
      </c>
      <c r="H374">
        <v>2.4</v>
      </c>
      <c r="I374">
        <v>6.5</v>
      </c>
      <c r="J374">
        <v>0.374</v>
      </c>
      <c r="K374">
        <v>1.3</v>
      </c>
      <c r="L374">
        <v>3.7</v>
      </c>
      <c r="M374">
        <v>0.35099999999999998</v>
      </c>
      <c r="N374">
        <v>0.7</v>
      </c>
      <c r="O374">
        <v>1</v>
      </c>
      <c r="P374">
        <v>0.71599999999999997</v>
      </c>
      <c r="Q374">
        <v>0.7</v>
      </c>
      <c r="R374">
        <v>2.2999999999999998</v>
      </c>
      <c r="S374">
        <v>3</v>
      </c>
      <c r="T374">
        <v>1.4</v>
      </c>
      <c r="U374">
        <v>0.6</v>
      </c>
      <c r="V374">
        <v>0.4</v>
      </c>
      <c r="W374">
        <v>1</v>
      </c>
      <c r="X374">
        <v>1.3</v>
      </c>
      <c r="Y374">
        <v>6.9</v>
      </c>
      <c r="AP374">
        <v>2.4</v>
      </c>
      <c r="AQ374">
        <v>6.5</v>
      </c>
      <c r="AR374">
        <v>1.3</v>
      </c>
      <c r="AS374">
        <v>3.7</v>
      </c>
      <c r="AT374">
        <v>0.7</v>
      </c>
      <c r="AU374">
        <v>1</v>
      </c>
      <c r="AV374">
        <v>3</v>
      </c>
      <c r="AW374">
        <v>1.4</v>
      </c>
      <c r="AX374">
        <v>6.9</v>
      </c>
    </row>
    <row r="375" spans="1:50" x14ac:dyDescent="0.2">
      <c r="A375" s="1" t="s">
        <v>371</v>
      </c>
      <c r="B375" s="1" t="s">
        <v>31</v>
      </c>
      <c r="C375">
        <v>25</v>
      </c>
      <c r="D375" s="1" t="s">
        <v>49</v>
      </c>
      <c r="E375">
        <v>26</v>
      </c>
      <c r="F375">
        <v>9</v>
      </c>
      <c r="G375">
        <v>21</v>
      </c>
      <c r="H375">
        <v>2.1</v>
      </c>
      <c r="I375">
        <v>6.2</v>
      </c>
      <c r="J375">
        <v>0.33500000000000002</v>
      </c>
      <c r="K375">
        <v>0.8</v>
      </c>
      <c r="L375">
        <v>3.4</v>
      </c>
      <c r="M375">
        <v>0.23899999999999999</v>
      </c>
      <c r="N375">
        <v>1.9</v>
      </c>
      <c r="O375">
        <v>2.5</v>
      </c>
      <c r="P375">
        <v>0.76600000000000001</v>
      </c>
      <c r="Q375">
        <v>0.4</v>
      </c>
      <c r="R375">
        <v>1.7</v>
      </c>
      <c r="S375">
        <v>2</v>
      </c>
      <c r="T375">
        <v>2.9</v>
      </c>
      <c r="U375">
        <v>1.2</v>
      </c>
      <c r="V375">
        <v>0.2</v>
      </c>
      <c r="W375">
        <v>1</v>
      </c>
      <c r="X375">
        <v>2</v>
      </c>
      <c r="Y375">
        <v>6.8</v>
      </c>
      <c r="AP375">
        <v>2.1</v>
      </c>
      <c r="AQ375">
        <v>6.2</v>
      </c>
      <c r="AR375">
        <v>0.8</v>
      </c>
      <c r="AS375">
        <v>3.4</v>
      </c>
      <c r="AT375">
        <v>1.9</v>
      </c>
      <c r="AU375">
        <v>2.5</v>
      </c>
      <c r="AV375">
        <v>2</v>
      </c>
      <c r="AW375">
        <v>2.9</v>
      </c>
      <c r="AX375">
        <v>6.8</v>
      </c>
    </row>
    <row r="376" spans="1:50" x14ac:dyDescent="0.2">
      <c r="A376" s="1" t="s">
        <v>372</v>
      </c>
      <c r="B376" s="1" t="s">
        <v>31</v>
      </c>
      <c r="C376">
        <v>26</v>
      </c>
      <c r="D376" s="1" t="s">
        <v>70</v>
      </c>
      <c r="E376">
        <v>72</v>
      </c>
      <c r="F376">
        <v>11</v>
      </c>
      <c r="G376">
        <v>20.5</v>
      </c>
      <c r="H376">
        <v>2.2999999999999998</v>
      </c>
      <c r="I376">
        <v>5.3</v>
      </c>
      <c r="J376">
        <v>0.44</v>
      </c>
      <c r="K376">
        <v>1.3</v>
      </c>
      <c r="L376">
        <v>3.5</v>
      </c>
      <c r="M376">
        <v>0.36299999999999999</v>
      </c>
      <c r="N376">
        <v>0.7</v>
      </c>
      <c r="O376">
        <v>1</v>
      </c>
      <c r="P376">
        <v>0.72899999999999998</v>
      </c>
      <c r="Q376">
        <v>0.5</v>
      </c>
      <c r="R376">
        <v>1.3</v>
      </c>
      <c r="S376">
        <v>1.9</v>
      </c>
      <c r="T376">
        <v>1</v>
      </c>
      <c r="U376">
        <v>1.2</v>
      </c>
      <c r="V376">
        <v>0.6</v>
      </c>
      <c r="W376">
        <v>0.6</v>
      </c>
      <c r="X376">
        <v>1.9</v>
      </c>
      <c r="Y376">
        <v>6.7</v>
      </c>
      <c r="AP376">
        <v>2.2999999999999998</v>
      </c>
      <c r="AQ376">
        <v>5.3</v>
      </c>
      <c r="AR376">
        <v>1.3</v>
      </c>
      <c r="AS376">
        <v>3.5</v>
      </c>
      <c r="AT376">
        <v>0.7</v>
      </c>
      <c r="AU376">
        <v>1</v>
      </c>
      <c r="AV376">
        <v>1.9</v>
      </c>
      <c r="AW376">
        <v>1</v>
      </c>
      <c r="AX376">
        <v>6.7</v>
      </c>
    </row>
    <row r="377" spans="1:50" x14ac:dyDescent="0.2">
      <c r="A377" s="1" t="s">
        <v>372</v>
      </c>
      <c r="B377" s="1" t="s">
        <v>31</v>
      </c>
      <c r="C377">
        <v>26</v>
      </c>
      <c r="D377" s="1" t="s">
        <v>109</v>
      </c>
      <c r="E377">
        <v>43</v>
      </c>
      <c r="F377">
        <v>5</v>
      </c>
      <c r="G377">
        <v>17.600000000000001</v>
      </c>
      <c r="H377">
        <v>1.9</v>
      </c>
      <c r="I377">
        <v>4.9000000000000004</v>
      </c>
      <c r="J377">
        <v>0.39700000000000002</v>
      </c>
      <c r="K377">
        <v>1.2</v>
      </c>
      <c r="L377">
        <v>3.3</v>
      </c>
      <c r="M377">
        <v>0.36799999999999999</v>
      </c>
      <c r="N377">
        <v>0.5</v>
      </c>
      <c r="O377">
        <v>0.7</v>
      </c>
      <c r="P377">
        <v>0.625</v>
      </c>
      <c r="Q377">
        <v>0.3</v>
      </c>
      <c r="R377">
        <v>0.9</v>
      </c>
      <c r="S377">
        <v>1.3</v>
      </c>
      <c r="T377">
        <v>0.6</v>
      </c>
      <c r="U377">
        <v>1.1000000000000001</v>
      </c>
      <c r="V377">
        <v>0.5</v>
      </c>
      <c r="W377">
        <v>0.5</v>
      </c>
      <c r="X377">
        <v>1.6</v>
      </c>
      <c r="Y377">
        <v>5.6</v>
      </c>
      <c r="AP377">
        <v>1.9</v>
      </c>
      <c r="AQ377">
        <v>4.9000000000000004</v>
      </c>
      <c r="AR377">
        <v>1.2</v>
      </c>
      <c r="AS377">
        <v>3.3</v>
      </c>
      <c r="AT377">
        <v>0.5</v>
      </c>
      <c r="AU377">
        <v>0.7</v>
      </c>
      <c r="AV377">
        <v>1.3</v>
      </c>
      <c r="AW377">
        <v>0.6</v>
      </c>
      <c r="AX377">
        <v>5.6</v>
      </c>
    </row>
    <row r="378" spans="1:50" x14ac:dyDescent="0.2">
      <c r="A378" s="1" t="s">
        <v>372</v>
      </c>
      <c r="B378" s="1" t="s">
        <v>31</v>
      </c>
      <c r="C378">
        <v>26</v>
      </c>
      <c r="D378" s="1" t="s">
        <v>41</v>
      </c>
      <c r="E378">
        <v>29</v>
      </c>
      <c r="F378">
        <v>6</v>
      </c>
      <c r="G378">
        <v>24.8</v>
      </c>
      <c r="H378">
        <v>3</v>
      </c>
      <c r="I378">
        <v>6</v>
      </c>
      <c r="J378">
        <v>0.49099999999999999</v>
      </c>
      <c r="K378">
        <v>1.3</v>
      </c>
      <c r="L378">
        <v>3.7</v>
      </c>
      <c r="M378">
        <v>0.35499999999999998</v>
      </c>
      <c r="N378">
        <v>1.1000000000000001</v>
      </c>
      <c r="O378">
        <v>1.3</v>
      </c>
      <c r="P378">
        <v>0.81599999999999995</v>
      </c>
      <c r="Q378">
        <v>0.8</v>
      </c>
      <c r="R378">
        <v>2</v>
      </c>
      <c r="S378">
        <v>2.8</v>
      </c>
      <c r="T378">
        <v>1.6</v>
      </c>
      <c r="U378">
        <v>1.3</v>
      </c>
      <c r="V378">
        <v>0.8</v>
      </c>
      <c r="W378">
        <v>0.7</v>
      </c>
      <c r="X378">
        <v>2.2000000000000002</v>
      </c>
      <c r="Y378">
        <v>8.3000000000000007</v>
      </c>
      <c r="AP378">
        <v>3</v>
      </c>
      <c r="AQ378">
        <v>6</v>
      </c>
      <c r="AR378">
        <v>1.3</v>
      </c>
      <c r="AS378">
        <v>3.7</v>
      </c>
      <c r="AT378">
        <v>1.1000000000000001</v>
      </c>
      <c r="AU378">
        <v>1.3</v>
      </c>
      <c r="AV378">
        <v>2.8</v>
      </c>
      <c r="AW378">
        <v>1.6</v>
      </c>
      <c r="AX378">
        <v>8.3000000000000007</v>
      </c>
    </row>
    <row r="379" spans="1:50" x14ac:dyDescent="0.2">
      <c r="A379" s="1" t="s">
        <v>373</v>
      </c>
      <c r="B379" s="1" t="s">
        <v>43</v>
      </c>
      <c r="C379">
        <v>24</v>
      </c>
      <c r="D379" s="1" t="s">
        <v>70</v>
      </c>
      <c r="E379">
        <v>55</v>
      </c>
      <c r="F379">
        <v>14</v>
      </c>
      <c r="G379">
        <v>16.5</v>
      </c>
      <c r="H379">
        <v>2.7</v>
      </c>
      <c r="I379">
        <v>4.3</v>
      </c>
      <c r="J379">
        <v>0.63700000000000001</v>
      </c>
      <c r="K379">
        <v>0</v>
      </c>
      <c r="L379">
        <v>0.1</v>
      </c>
      <c r="M379">
        <v>0</v>
      </c>
      <c r="N379">
        <v>1.2</v>
      </c>
      <c r="O379">
        <v>1.9</v>
      </c>
      <c r="P379">
        <v>0.64800000000000002</v>
      </c>
      <c r="Q379">
        <v>2.1</v>
      </c>
      <c r="R379">
        <v>3.2</v>
      </c>
      <c r="S379">
        <v>5.3</v>
      </c>
      <c r="T379">
        <v>0.9</v>
      </c>
      <c r="U379">
        <v>0.7</v>
      </c>
      <c r="V379">
        <v>0.9</v>
      </c>
      <c r="W379">
        <v>1.1000000000000001</v>
      </c>
      <c r="X379">
        <v>2.7</v>
      </c>
      <c r="Y379">
        <v>6.7</v>
      </c>
      <c r="AP379">
        <v>2.7</v>
      </c>
      <c r="AQ379">
        <v>4.3</v>
      </c>
      <c r="AR379">
        <v>0</v>
      </c>
      <c r="AS379">
        <v>0.1</v>
      </c>
      <c r="AT379">
        <v>1.2</v>
      </c>
      <c r="AU379">
        <v>1.9</v>
      </c>
      <c r="AV379">
        <v>5.3</v>
      </c>
      <c r="AW379">
        <v>0.9</v>
      </c>
      <c r="AX379">
        <v>6.7</v>
      </c>
    </row>
    <row r="380" spans="1:50" x14ac:dyDescent="0.2">
      <c r="A380" s="1" t="s">
        <v>373</v>
      </c>
      <c r="B380" s="1" t="s">
        <v>43</v>
      </c>
      <c r="C380">
        <v>24</v>
      </c>
      <c r="D380" s="1" t="s">
        <v>68</v>
      </c>
      <c r="E380">
        <v>38</v>
      </c>
      <c r="F380">
        <v>14</v>
      </c>
      <c r="G380">
        <v>16.8</v>
      </c>
      <c r="H380">
        <v>2.5</v>
      </c>
      <c r="I380">
        <v>4.3</v>
      </c>
      <c r="J380">
        <v>0.58199999999999996</v>
      </c>
      <c r="K380">
        <v>0</v>
      </c>
      <c r="L380">
        <v>0</v>
      </c>
      <c r="M380">
        <v>0</v>
      </c>
      <c r="N380">
        <v>1.3</v>
      </c>
      <c r="O380">
        <v>1.9</v>
      </c>
      <c r="P380">
        <v>0.68899999999999995</v>
      </c>
      <c r="Q380">
        <v>2.2999999999999998</v>
      </c>
      <c r="R380">
        <v>3.3</v>
      </c>
      <c r="S380">
        <v>5.6</v>
      </c>
      <c r="T380">
        <v>0.8</v>
      </c>
      <c r="U380">
        <v>0.7</v>
      </c>
      <c r="V380">
        <v>0.8</v>
      </c>
      <c r="W380">
        <v>1.1000000000000001</v>
      </c>
      <c r="X380">
        <v>2.8</v>
      </c>
      <c r="Y380">
        <v>6.4</v>
      </c>
      <c r="AP380">
        <v>2.5</v>
      </c>
      <c r="AQ380">
        <v>4.3</v>
      </c>
      <c r="AR380">
        <v>0</v>
      </c>
      <c r="AS380">
        <v>0</v>
      </c>
      <c r="AT380">
        <v>1.3</v>
      </c>
      <c r="AU380">
        <v>1.9</v>
      </c>
      <c r="AV380">
        <v>5.6</v>
      </c>
      <c r="AW380">
        <v>0.8</v>
      </c>
      <c r="AX380">
        <v>6.4</v>
      </c>
    </row>
    <row r="381" spans="1:50" x14ac:dyDescent="0.2">
      <c r="A381" s="1" t="s">
        <v>373</v>
      </c>
      <c r="B381" s="1" t="s">
        <v>43</v>
      </c>
      <c r="C381">
        <v>24</v>
      </c>
      <c r="D381" s="1" t="s">
        <v>39</v>
      </c>
      <c r="E381">
        <v>17</v>
      </c>
      <c r="F381">
        <v>0</v>
      </c>
      <c r="G381">
        <v>15.9</v>
      </c>
      <c r="H381">
        <v>3.2</v>
      </c>
      <c r="I381">
        <v>4.2</v>
      </c>
      <c r="J381">
        <v>0.76400000000000001</v>
      </c>
      <c r="K381">
        <v>0</v>
      </c>
      <c r="L381">
        <v>0.1</v>
      </c>
      <c r="M381">
        <v>0</v>
      </c>
      <c r="N381">
        <v>1</v>
      </c>
      <c r="O381">
        <v>1.8</v>
      </c>
      <c r="P381">
        <v>0.54800000000000004</v>
      </c>
      <c r="Q381">
        <v>1.6</v>
      </c>
      <c r="R381">
        <v>3.1</v>
      </c>
      <c r="S381">
        <v>4.5999999999999996</v>
      </c>
      <c r="T381">
        <v>1.2</v>
      </c>
      <c r="U381">
        <v>0.6</v>
      </c>
      <c r="V381">
        <v>1.2</v>
      </c>
      <c r="W381">
        <v>0.9</v>
      </c>
      <c r="X381">
        <v>2.2999999999999998</v>
      </c>
      <c r="Y381">
        <v>7.5</v>
      </c>
      <c r="AP381">
        <v>3.2</v>
      </c>
      <c r="AQ381">
        <v>4.2</v>
      </c>
      <c r="AR381">
        <v>0</v>
      </c>
      <c r="AS381">
        <v>0.1</v>
      </c>
      <c r="AT381">
        <v>1</v>
      </c>
      <c r="AU381">
        <v>1.8</v>
      </c>
      <c r="AV381">
        <v>4.5999999999999996</v>
      </c>
      <c r="AW381">
        <v>1.2</v>
      </c>
      <c r="AX381">
        <v>7.5</v>
      </c>
    </row>
    <row r="382" spans="1:50" x14ac:dyDescent="0.2">
      <c r="A382" s="1" t="s">
        <v>374</v>
      </c>
      <c r="B382" s="1" t="s">
        <v>26</v>
      </c>
      <c r="C382">
        <v>25</v>
      </c>
      <c r="D382" s="1" t="s">
        <v>46</v>
      </c>
      <c r="E382">
        <v>35</v>
      </c>
      <c r="F382">
        <v>0</v>
      </c>
      <c r="G382">
        <v>15.1</v>
      </c>
      <c r="H382">
        <v>2.8</v>
      </c>
      <c r="I382">
        <v>6.6</v>
      </c>
      <c r="J382">
        <v>0.42399999999999999</v>
      </c>
      <c r="K382">
        <v>0.6</v>
      </c>
      <c r="L382">
        <v>2.1</v>
      </c>
      <c r="M382">
        <v>0.30599999999999999</v>
      </c>
      <c r="N382">
        <v>0.5</v>
      </c>
      <c r="O382">
        <v>0.7</v>
      </c>
      <c r="P382">
        <v>0.61499999999999999</v>
      </c>
      <c r="Q382">
        <v>0.5</v>
      </c>
      <c r="R382">
        <v>2</v>
      </c>
      <c r="S382">
        <v>2.5</v>
      </c>
      <c r="T382">
        <v>3.5</v>
      </c>
      <c r="U382">
        <v>0.6</v>
      </c>
      <c r="V382">
        <v>0.3</v>
      </c>
      <c r="W382">
        <v>1.9</v>
      </c>
      <c r="X382">
        <v>2.1</v>
      </c>
      <c r="Y382">
        <v>6.7</v>
      </c>
      <c r="AP382">
        <v>2.8</v>
      </c>
      <c r="AQ382">
        <v>6.6</v>
      </c>
      <c r="AR382">
        <v>0.6</v>
      </c>
      <c r="AS382">
        <v>2.1</v>
      </c>
      <c r="AT382">
        <v>0.5</v>
      </c>
      <c r="AU382">
        <v>0.7</v>
      </c>
      <c r="AV382">
        <v>2.5</v>
      </c>
      <c r="AW382">
        <v>3.5</v>
      </c>
      <c r="AX382">
        <v>6.7</v>
      </c>
    </row>
    <row r="383" spans="1:50" x14ac:dyDescent="0.2">
      <c r="A383" s="1" t="s">
        <v>375</v>
      </c>
      <c r="B383" s="1" t="s">
        <v>23</v>
      </c>
      <c r="C383">
        <v>37</v>
      </c>
      <c r="D383" s="1" t="s">
        <v>49</v>
      </c>
      <c r="E383">
        <v>37</v>
      </c>
      <c r="F383">
        <v>5</v>
      </c>
      <c r="G383">
        <v>16.600000000000001</v>
      </c>
      <c r="H383">
        <v>2.1</v>
      </c>
      <c r="I383">
        <v>5.4</v>
      </c>
      <c r="J383">
        <v>0.39700000000000002</v>
      </c>
      <c r="K383">
        <v>1.4</v>
      </c>
      <c r="L383">
        <v>3.8</v>
      </c>
      <c r="M383">
        <v>0.373</v>
      </c>
      <c r="N383">
        <v>1</v>
      </c>
      <c r="O383">
        <v>1.2</v>
      </c>
      <c r="P383">
        <v>0.84099999999999997</v>
      </c>
      <c r="Q383">
        <v>1.5</v>
      </c>
      <c r="R383">
        <v>4.3</v>
      </c>
      <c r="S383">
        <v>5.8</v>
      </c>
      <c r="T383">
        <v>1.8</v>
      </c>
      <c r="U383">
        <v>0.4</v>
      </c>
      <c r="V383">
        <v>0.2</v>
      </c>
      <c r="W383">
        <v>0.8</v>
      </c>
      <c r="X383">
        <v>1.5</v>
      </c>
      <c r="Y383">
        <v>6.7</v>
      </c>
      <c r="AP383">
        <v>2.1</v>
      </c>
      <c r="AQ383">
        <v>5.4</v>
      </c>
      <c r="AR383">
        <v>1.4</v>
      </c>
      <c r="AS383">
        <v>3.8</v>
      </c>
      <c r="AT383">
        <v>1</v>
      </c>
      <c r="AU383">
        <v>1.2</v>
      </c>
      <c r="AV383">
        <v>5.8</v>
      </c>
      <c r="AW383">
        <v>1.8</v>
      </c>
      <c r="AX383">
        <v>6.7</v>
      </c>
    </row>
    <row r="384" spans="1:50" x14ac:dyDescent="0.2">
      <c r="A384" s="1" t="s">
        <v>376</v>
      </c>
      <c r="B384" s="1" t="s">
        <v>26</v>
      </c>
      <c r="C384">
        <v>23</v>
      </c>
      <c r="D384" s="1" t="s">
        <v>83</v>
      </c>
      <c r="E384">
        <v>81</v>
      </c>
      <c r="F384">
        <v>12</v>
      </c>
      <c r="G384">
        <v>22.6</v>
      </c>
      <c r="H384">
        <v>2.2000000000000002</v>
      </c>
      <c r="I384">
        <v>6.1</v>
      </c>
      <c r="J384">
        <v>0.36499999999999999</v>
      </c>
      <c r="K384">
        <v>1</v>
      </c>
      <c r="L384">
        <v>3.2</v>
      </c>
      <c r="M384">
        <v>0.32300000000000001</v>
      </c>
      <c r="N384">
        <v>1.1000000000000001</v>
      </c>
      <c r="O384">
        <v>1.4</v>
      </c>
      <c r="P384">
        <v>0.78400000000000003</v>
      </c>
      <c r="Q384">
        <v>0.3</v>
      </c>
      <c r="R384">
        <v>1.4</v>
      </c>
      <c r="S384">
        <v>1.8</v>
      </c>
      <c r="T384">
        <v>5.4</v>
      </c>
      <c r="U384">
        <v>0.9</v>
      </c>
      <c r="V384">
        <v>0.2</v>
      </c>
      <c r="W384">
        <v>1.4</v>
      </c>
      <c r="X384">
        <v>2</v>
      </c>
      <c r="Y384">
        <v>6.7</v>
      </c>
      <c r="AP384">
        <v>2.2000000000000002</v>
      </c>
      <c r="AQ384">
        <v>6.1</v>
      </c>
      <c r="AR384">
        <v>1</v>
      </c>
      <c r="AS384">
        <v>3.2</v>
      </c>
      <c r="AT384">
        <v>1.1000000000000001</v>
      </c>
      <c r="AU384">
        <v>1.4</v>
      </c>
      <c r="AV384">
        <v>1.8</v>
      </c>
      <c r="AW384">
        <v>5.4</v>
      </c>
      <c r="AX384">
        <v>6.7</v>
      </c>
    </row>
    <row r="385" spans="1:50" x14ac:dyDescent="0.2">
      <c r="A385" s="1" t="s">
        <v>377</v>
      </c>
      <c r="B385" s="1" t="s">
        <v>43</v>
      </c>
      <c r="C385">
        <v>28</v>
      </c>
      <c r="D385" s="1" t="s">
        <v>62</v>
      </c>
      <c r="E385">
        <v>58</v>
      </c>
      <c r="F385">
        <v>1</v>
      </c>
      <c r="G385">
        <v>17</v>
      </c>
      <c r="H385">
        <v>3</v>
      </c>
      <c r="I385">
        <v>4.2</v>
      </c>
      <c r="J385">
        <v>0.70699999999999996</v>
      </c>
      <c r="K385">
        <v>0.2</v>
      </c>
      <c r="L385">
        <v>0.4</v>
      </c>
      <c r="M385">
        <v>0.39100000000000001</v>
      </c>
      <c r="N385">
        <v>0.6</v>
      </c>
      <c r="O385">
        <v>1</v>
      </c>
      <c r="P385">
        <v>0.59599999999999997</v>
      </c>
      <c r="Q385">
        <v>2.4</v>
      </c>
      <c r="R385">
        <v>4.5999999999999996</v>
      </c>
      <c r="S385">
        <v>7</v>
      </c>
      <c r="T385">
        <v>1</v>
      </c>
      <c r="U385">
        <v>0.6</v>
      </c>
      <c r="V385">
        <v>1.5</v>
      </c>
      <c r="W385">
        <v>0.8</v>
      </c>
      <c r="X385">
        <v>1.2</v>
      </c>
      <c r="Y385">
        <v>6.7</v>
      </c>
      <c r="AP385">
        <v>3</v>
      </c>
      <c r="AQ385">
        <v>4.2</v>
      </c>
      <c r="AR385">
        <v>0.2</v>
      </c>
      <c r="AS385">
        <v>0.4</v>
      </c>
      <c r="AT385">
        <v>0.6</v>
      </c>
      <c r="AU385">
        <v>1</v>
      </c>
      <c r="AV385">
        <v>7</v>
      </c>
      <c r="AW385">
        <v>1</v>
      </c>
      <c r="AX385">
        <v>6.7</v>
      </c>
    </row>
    <row r="386" spans="1:50" x14ac:dyDescent="0.2">
      <c r="A386" s="1" t="s">
        <v>378</v>
      </c>
      <c r="B386" s="1" t="s">
        <v>31</v>
      </c>
      <c r="C386">
        <v>26</v>
      </c>
      <c r="D386" s="1" t="s">
        <v>68</v>
      </c>
      <c r="E386">
        <v>31</v>
      </c>
      <c r="F386">
        <v>12</v>
      </c>
      <c r="G386">
        <v>19.8</v>
      </c>
      <c r="H386">
        <v>2.2000000000000002</v>
      </c>
      <c r="I386">
        <v>5.9</v>
      </c>
      <c r="J386">
        <v>0.379</v>
      </c>
      <c r="K386">
        <v>1.1000000000000001</v>
      </c>
      <c r="L386">
        <v>3.5</v>
      </c>
      <c r="M386">
        <v>0.32400000000000001</v>
      </c>
      <c r="N386">
        <v>1</v>
      </c>
      <c r="O386">
        <v>1.3</v>
      </c>
      <c r="P386">
        <v>0.78</v>
      </c>
      <c r="Q386">
        <v>0.5</v>
      </c>
      <c r="R386">
        <v>1.6</v>
      </c>
      <c r="S386">
        <v>2.1</v>
      </c>
      <c r="T386">
        <v>1.6</v>
      </c>
      <c r="U386">
        <v>0.6</v>
      </c>
      <c r="V386">
        <v>0.3</v>
      </c>
      <c r="W386">
        <v>0.7</v>
      </c>
      <c r="X386">
        <v>2.2000000000000002</v>
      </c>
      <c r="Y386">
        <v>6.6</v>
      </c>
      <c r="AP386">
        <v>2.2000000000000002</v>
      </c>
      <c r="AQ386">
        <v>5.9</v>
      </c>
      <c r="AR386">
        <v>1.1000000000000001</v>
      </c>
      <c r="AS386">
        <v>3.5</v>
      </c>
      <c r="AT386">
        <v>1</v>
      </c>
      <c r="AU386">
        <v>1.3</v>
      </c>
      <c r="AV386">
        <v>2.1</v>
      </c>
      <c r="AW386">
        <v>1.6</v>
      </c>
      <c r="AX386">
        <v>6.6</v>
      </c>
    </row>
    <row r="387" spans="1:50" x14ac:dyDescent="0.2">
      <c r="A387" s="1" t="s">
        <v>379</v>
      </c>
      <c r="B387" s="1" t="s">
        <v>23</v>
      </c>
      <c r="C387">
        <v>25</v>
      </c>
      <c r="D387" s="1" t="s">
        <v>37</v>
      </c>
      <c r="E387">
        <v>52</v>
      </c>
      <c r="F387">
        <v>7</v>
      </c>
      <c r="G387">
        <v>16.5</v>
      </c>
      <c r="H387">
        <v>2.6</v>
      </c>
      <c r="I387">
        <v>5.0999999999999996</v>
      </c>
      <c r="J387">
        <v>0.51300000000000001</v>
      </c>
      <c r="K387">
        <v>0.2</v>
      </c>
      <c r="L387">
        <v>1</v>
      </c>
      <c r="M387">
        <v>0.2</v>
      </c>
      <c r="N387">
        <v>1.2</v>
      </c>
      <c r="O387">
        <v>1.5</v>
      </c>
      <c r="P387">
        <v>0.77900000000000003</v>
      </c>
      <c r="Q387">
        <v>0.7</v>
      </c>
      <c r="R387">
        <v>2.6</v>
      </c>
      <c r="S387">
        <v>3.4</v>
      </c>
      <c r="T387">
        <v>2.5</v>
      </c>
      <c r="U387">
        <v>0.3</v>
      </c>
      <c r="V387">
        <v>0.4</v>
      </c>
      <c r="W387">
        <v>1.2</v>
      </c>
      <c r="X387">
        <v>2</v>
      </c>
      <c r="Y387">
        <v>6.6</v>
      </c>
      <c r="AP387">
        <v>2.6</v>
      </c>
      <c r="AQ387">
        <v>5.0999999999999996</v>
      </c>
      <c r="AR387">
        <v>0.2</v>
      </c>
      <c r="AS387">
        <v>1</v>
      </c>
      <c r="AT387">
        <v>1.2</v>
      </c>
      <c r="AU387">
        <v>1.5</v>
      </c>
      <c r="AV387">
        <v>3.4</v>
      </c>
      <c r="AW387">
        <v>2.5</v>
      </c>
      <c r="AX387">
        <v>6.6</v>
      </c>
    </row>
    <row r="388" spans="1:50" x14ac:dyDescent="0.2">
      <c r="A388" s="1" t="s">
        <v>380</v>
      </c>
      <c r="B388" s="1" t="s">
        <v>26</v>
      </c>
      <c r="C388">
        <v>30</v>
      </c>
      <c r="D388" s="1" t="s">
        <v>70</v>
      </c>
      <c r="E388">
        <v>52</v>
      </c>
      <c r="F388">
        <v>1</v>
      </c>
      <c r="G388">
        <v>16.399999999999999</v>
      </c>
      <c r="H388">
        <v>2.2999999999999998</v>
      </c>
      <c r="I388">
        <v>5.8</v>
      </c>
      <c r="J388">
        <v>0.40100000000000002</v>
      </c>
      <c r="K388">
        <v>1.5</v>
      </c>
      <c r="L388">
        <v>4.0999999999999996</v>
      </c>
      <c r="M388">
        <v>0.36299999999999999</v>
      </c>
      <c r="N388">
        <v>0.3</v>
      </c>
      <c r="O388">
        <v>0.4</v>
      </c>
      <c r="P388">
        <v>0.78900000000000003</v>
      </c>
      <c r="Q388">
        <v>0.3</v>
      </c>
      <c r="R388">
        <v>1.4</v>
      </c>
      <c r="S388">
        <v>1.7</v>
      </c>
      <c r="T388">
        <v>1.7</v>
      </c>
      <c r="U388">
        <v>0.8</v>
      </c>
      <c r="V388">
        <v>0.2</v>
      </c>
      <c r="W388">
        <v>0.7</v>
      </c>
      <c r="X388">
        <v>1.1000000000000001</v>
      </c>
      <c r="Y388">
        <v>6.5</v>
      </c>
      <c r="AP388">
        <v>2.2999999999999998</v>
      </c>
      <c r="AQ388">
        <v>5.8</v>
      </c>
      <c r="AR388">
        <v>1.5</v>
      </c>
      <c r="AS388">
        <v>4.0999999999999996</v>
      </c>
      <c r="AT388">
        <v>0.3</v>
      </c>
      <c r="AU388">
        <v>0.4</v>
      </c>
      <c r="AV388">
        <v>1.7</v>
      </c>
      <c r="AW388">
        <v>1.7</v>
      </c>
      <c r="AX388">
        <v>6.5</v>
      </c>
    </row>
    <row r="389" spans="1:50" x14ac:dyDescent="0.2">
      <c r="A389" s="1" t="s">
        <v>380</v>
      </c>
      <c r="B389" s="1" t="s">
        <v>26</v>
      </c>
      <c r="C389">
        <v>30</v>
      </c>
      <c r="D389" s="1" t="s">
        <v>128</v>
      </c>
      <c r="E389">
        <v>23</v>
      </c>
      <c r="F389">
        <v>0</v>
      </c>
      <c r="G389">
        <v>11</v>
      </c>
      <c r="H389">
        <v>1.8</v>
      </c>
      <c r="I389">
        <v>4.5</v>
      </c>
      <c r="J389">
        <v>0.39800000000000002</v>
      </c>
      <c r="K389">
        <v>1.4</v>
      </c>
      <c r="L389">
        <v>3.4</v>
      </c>
      <c r="M389">
        <v>0.41</v>
      </c>
      <c r="N389">
        <v>0.4</v>
      </c>
      <c r="O389">
        <v>0.4</v>
      </c>
      <c r="P389">
        <v>1</v>
      </c>
      <c r="Q389">
        <v>0.2</v>
      </c>
      <c r="R389">
        <v>0.9</v>
      </c>
      <c r="S389">
        <v>1.1000000000000001</v>
      </c>
      <c r="T389">
        <v>0.8</v>
      </c>
      <c r="U389">
        <v>0.6</v>
      </c>
      <c r="V389">
        <v>0.1</v>
      </c>
      <c r="W389">
        <v>0.5</v>
      </c>
      <c r="X389">
        <v>0.8</v>
      </c>
      <c r="Y389">
        <v>5.4</v>
      </c>
      <c r="AP389">
        <v>1.8</v>
      </c>
      <c r="AQ389">
        <v>4.5</v>
      </c>
      <c r="AR389">
        <v>1.4</v>
      </c>
      <c r="AS389">
        <v>3.4</v>
      </c>
      <c r="AT389">
        <v>0.4</v>
      </c>
      <c r="AU389">
        <v>0.4</v>
      </c>
      <c r="AV389">
        <v>1.1000000000000001</v>
      </c>
      <c r="AW389">
        <v>0.8</v>
      </c>
      <c r="AX389">
        <v>5.4</v>
      </c>
    </row>
    <row r="390" spans="1:50" x14ac:dyDescent="0.2">
      <c r="A390" s="1" t="s">
        <v>380</v>
      </c>
      <c r="B390" s="1" t="s">
        <v>26</v>
      </c>
      <c r="C390">
        <v>30</v>
      </c>
      <c r="D390" s="1" t="s">
        <v>76</v>
      </c>
      <c r="E390">
        <v>29</v>
      </c>
      <c r="F390">
        <v>1</v>
      </c>
      <c r="G390">
        <v>20.7</v>
      </c>
      <c r="H390">
        <v>2.8</v>
      </c>
      <c r="I390">
        <v>6.9</v>
      </c>
      <c r="J390">
        <v>0.40300000000000002</v>
      </c>
      <c r="K390">
        <v>1.6</v>
      </c>
      <c r="L390">
        <v>4.5999999999999996</v>
      </c>
      <c r="M390">
        <v>0.33600000000000002</v>
      </c>
      <c r="N390">
        <v>0.2</v>
      </c>
      <c r="O390">
        <v>0.3</v>
      </c>
      <c r="P390">
        <v>0.55600000000000005</v>
      </c>
      <c r="Q390">
        <v>0.3</v>
      </c>
      <c r="R390">
        <v>1.8</v>
      </c>
      <c r="S390">
        <v>2.1</v>
      </c>
      <c r="T390">
        <v>2.2999999999999998</v>
      </c>
      <c r="U390">
        <v>0.9</v>
      </c>
      <c r="V390">
        <v>0.3</v>
      </c>
      <c r="W390">
        <v>0.8</v>
      </c>
      <c r="X390">
        <v>1.3</v>
      </c>
      <c r="Y390">
        <v>7.3</v>
      </c>
      <c r="AP390">
        <v>2.8</v>
      </c>
      <c r="AQ390">
        <v>6.9</v>
      </c>
      <c r="AR390">
        <v>1.6</v>
      </c>
      <c r="AS390">
        <v>4.5999999999999996</v>
      </c>
      <c r="AT390">
        <v>0.2</v>
      </c>
      <c r="AU390">
        <v>0.3</v>
      </c>
      <c r="AV390">
        <v>2.1</v>
      </c>
      <c r="AW390">
        <v>2.2999999999999998</v>
      </c>
      <c r="AX390">
        <v>7.3</v>
      </c>
    </row>
    <row r="391" spans="1:50" x14ac:dyDescent="0.2">
      <c r="A391" s="1" t="s">
        <v>381</v>
      </c>
      <c r="B391" s="1" t="s">
        <v>23</v>
      </c>
      <c r="C391">
        <v>23</v>
      </c>
      <c r="D391" s="1" t="s">
        <v>53</v>
      </c>
      <c r="E391">
        <v>81</v>
      </c>
      <c r="F391">
        <v>23</v>
      </c>
      <c r="G391">
        <v>22.2</v>
      </c>
      <c r="H391">
        <v>2.9</v>
      </c>
      <c r="I391">
        <v>4.5</v>
      </c>
      <c r="J391">
        <v>0.65600000000000003</v>
      </c>
      <c r="K391">
        <v>0</v>
      </c>
      <c r="L391">
        <v>0</v>
      </c>
      <c r="M391">
        <v>0</v>
      </c>
      <c r="N391">
        <v>0.7</v>
      </c>
      <c r="O391">
        <v>1.4</v>
      </c>
      <c r="P391">
        <v>0.45300000000000001</v>
      </c>
      <c r="Q391">
        <v>1.7</v>
      </c>
      <c r="R391">
        <v>3.4</v>
      </c>
      <c r="S391">
        <v>5.0999999999999996</v>
      </c>
      <c r="T391">
        <v>2.2000000000000002</v>
      </c>
      <c r="U391">
        <v>0.9</v>
      </c>
      <c r="V391">
        <v>0.7</v>
      </c>
      <c r="W391">
        <v>1.2</v>
      </c>
      <c r="X391">
        <v>2.7</v>
      </c>
      <c r="Y391">
        <v>6.5</v>
      </c>
      <c r="AP391">
        <v>2.9</v>
      </c>
      <c r="AQ391">
        <v>4.5</v>
      </c>
      <c r="AR391">
        <v>0</v>
      </c>
      <c r="AS391">
        <v>0</v>
      </c>
      <c r="AT391">
        <v>0.7</v>
      </c>
      <c r="AU391">
        <v>1.4</v>
      </c>
      <c r="AV391">
        <v>5.0999999999999996</v>
      </c>
      <c r="AW391">
        <v>2.2000000000000002</v>
      </c>
      <c r="AX391">
        <v>6.5</v>
      </c>
    </row>
    <row r="392" spans="1:50" x14ac:dyDescent="0.2">
      <c r="A392" s="1" t="s">
        <v>382</v>
      </c>
      <c r="B392" s="1" t="s">
        <v>43</v>
      </c>
      <c r="C392">
        <v>30</v>
      </c>
      <c r="D392" s="1" t="s">
        <v>60</v>
      </c>
      <c r="E392">
        <v>68</v>
      </c>
      <c r="F392">
        <v>25</v>
      </c>
      <c r="G392">
        <v>21</v>
      </c>
      <c r="H392">
        <v>2.6</v>
      </c>
      <c r="I392">
        <v>4</v>
      </c>
      <c r="J392">
        <v>0.64300000000000002</v>
      </c>
      <c r="K392">
        <v>0</v>
      </c>
      <c r="L392">
        <v>0</v>
      </c>
      <c r="N392">
        <v>1.4</v>
      </c>
      <c r="O392">
        <v>1.7</v>
      </c>
      <c r="P392">
        <v>0.82499999999999996</v>
      </c>
      <c r="Q392">
        <v>2.7</v>
      </c>
      <c r="R392">
        <v>3.4</v>
      </c>
      <c r="S392">
        <v>6.1</v>
      </c>
      <c r="T392">
        <v>1.9</v>
      </c>
      <c r="U392">
        <v>0.5</v>
      </c>
      <c r="V392">
        <v>1</v>
      </c>
      <c r="W392">
        <v>0.4</v>
      </c>
      <c r="X392">
        <v>1.8</v>
      </c>
      <c r="Y392">
        <v>6.5</v>
      </c>
      <c r="AP392">
        <v>2.6</v>
      </c>
      <c r="AQ392">
        <v>4</v>
      </c>
      <c r="AR392">
        <v>0</v>
      </c>
      <c r="AS392">
        <v>0</v>
      </c>
      <c r="AT392">
        <v>1.4</v>
      </c>
      <c r="AU392">
        <v>1.7</v>
      </c>
      <c r="AV392">
        <v>6.1</v>
      </c>
      <c r="AW392">
        <v>1.9</v>
      </c>
      <c r="AX392">
        <v>6.5</v>
      </c>
    </row>
    <row r="393" spans="1:50" x14ac:dyDescent="0.2">
      <c r="A393" s="1" t="s">
        <v>383</v>
      </c>
      <c r="B393" s="1" t="s">
        <v>26</v>
      </c>
      <c r="C393">
        <v>22</v>
      </c>
      <c r="D393" s="1" t="s">
        <v>85</v>
      </c>
      <c r="E393">
        <v>59</v>
      </c>
      <c r="F393">
        <v>26</v>
      </c>
      <c r="G393">
        <v>19.2</v>
      </c>
      <c r="H393">
        <v>2.6</v>
      </c>
      <c r="I393">
        <v>6.4</v>
      </c>
      <c r="J393">
        <v>0.41199999999999998</v>
      </c>
      <c r="K393">
        <v>0.8</v>
      </c>
      <c r="L393">
        <v>2.2999999999999998</v>
      </c>
      <c r="M393">
        <v>0.35299999999999998</v>
      </c>
      <c r="N393">
        <v>0.4</v>
      </c>
      <c r="O393">
        <v>0.5</v>
      </c>
      <c r="P393">
        <v>0.79300000000000004</v>
      </c>
      <c r="Q393">
        <v>0.2</v>
      </c>
      <c r="R393">
        <v>1.9</v>
      </c>
      <c r="S393">
        <v>2.1</v>
      </c>
      <c r="T393">
        <v>5</v>
      </c>
      <c r="U393">
        <v>0.4</v>
      </c>
      <c r="V393">
        <v>0</v>
      </c>
      <c r="W393">
        <v>1.4</v>
      </c>
      <c r="X393">
        <v>1.4</v>
      </c>
      <c r="Y393">
        <v>6.5</v>
      </c>
      <c r="AP393">
        <v>2.6</v>
      </c>
      <c r="AQ393">
        <v>6.4</v>
      </c>
      <c r="AR393">
        <v>0.8</v>
      </c>
      <c r="AS393">
        <v>2.2999999999999998</v>
      </c>
      <c r="AT393">
        <v>0.4</v>
      </c>
      <c r="AU393">
        <v>0.5</v>
      </c>
      <c r="AV393">
        <v>2.1</v>
      </c>
      <c r="AW393">
        <v>5</v>
      </c>
      <c r="AX393">
        <v>6.5</v>
      </c>
    </row>
    <row r="394" spans="1:50" x14ac:dyDescent="0.2">
      <c r="A394" s="1" t="s">
        <v>384</v>
      </c>
      <c r="B394" s="1" t="s">
        <v>31</v>
      </c>
      <c r="C394">
        <v>20</v>
      </c>
      <c r="D394" s="1" t="s">
        <v>66</v>
      </c>
      <c r="E394">
        <v>62</v>
      </c>
      <c r="F394">
        <v>23</v>
      </c>
      <c r="G394">
        <v>20.9</v>
      </c>
      <c r="H394">
        <v>2.2999999999999998</v>
      </c>
      <c r="I394">
        <v>5.6</v>
      </c>
      <c r="J394">
        <v>0.40500000000000003</v>
      </c>
      <c r="K394">
        <v>0.8</v>
      </c>
      <c r="L394">
        <v>2.9</v>
      </c>
      <c r="M394">
        <v>0.28699999999999998</v>
      </c>
      <c r="N394">
        <v>1.1000000000000001</v>
      </c>
      <c r="O394">
        <v>1.2</v>
      </c>
      <c r="P394">
        <v>0.89300000000000002</v>
      </c>
      <c r="Q394">
        <v>0.3</v>
      </c>
      <c r="R394">
        <v>1.4</v>
      </c>
      <c r="S394">
        <v>1.8</v>
      </c>
      <c r="T394">
        <v>1.5</v>
      </c>
      <c r="U394">
        <v>0.6</v>
      </c>
      <c r="V394">
        <v>0.2</v>
      </c>
      <c r="W394">
        <v>0.9</v>
      </c>
      <c r="X394">
        <v>1.4</v>
      </c>
      <c r="Y394">
        <v>6.5</v>
      </c>
      <c r="AP394">
        <v>2.2999999999999998</v>
      </c>
      <c r="AQ394">
        <v>5.6</v>
      </c>
      <c r="AR394">
        <v>0.8</v>
      </c>
      <c r="AS394">
        <v>2.9</v>
      </c>
      <c r="AT394">
        <v>1.1000000000000001</v>
      </c>
      <c r="AU394">
        <v>1.2</v>
      </c>
      <c r="AV394">
        <v>1.8</v>
      </c>
      <c r="AW394">
        <v>1.5</v>
      </c>
      <c r="AX394">
        <v>6.5</v>
      </c>
    </row>
    <row r="395" spans="1:50" x14ac:dyDescent="0.2">
      <c r="A395" s="1" t="s">
        <v>385</v>
      </c>
      <c r="B395" s="1" t="s">
        <v>31</v>
      </c>
      <c r="C395">
        <v>23</v>
      </c>
      <c r="D395" s="1" t="s">
        <v>51</v>
      </c>
      <c r="E395">
        <v>68</v>
      </c>
      <c r="F395">
        <v>21</v>
      </c>
      <c r="G395">
        <v>19.899999999999999</v>
      </c>
      <c r="H395">
        <v>2.4</v>
      </c>
      <c r="I395">
        <v>5</v>
      </c>
      <c r="J395">
        <v>0.47199999999999998</v>
      </c>
      <c r="K395">
        <v>1</v>
      </c>
      <c r="L395">
        <v>3.1</v>
      </c>
      <c r="M395">
        <v>0.34</v>
      </c>
      <c r="N395">
        <v>0.7</v>
      </c>
      <c r="O395">
        <v>0.8</v>
      </c>
      <c r="P395">
        <v>0.85199999999999998</v>
      </c>
      <c r="Q395">
        <v>1</v>
      </c>
      <c r="R395">
        <v>1.5</v>
      </c>
      <c r="S395">
        <v>2.5</v>
      </c>
      <c r="T395">
        <v>1.4</v>
      </c>
      <c r="U395">
        <v>1.2</v>
      </c>
      <c r="V395">
        <v>0.1</v>
      </c>
      <c r="W395">
        <v>0.8</v>
      </c>
      <c r="X395">
        <v>1.9</v>
      </c>
      <c r="Y395">
        <v>6.5</v>
      </c>
      <c r="AP395">
        <v>2.4</v>
      </c>
      <c r="AQ395">
        <v>5</v>
      </c>
      <c r="AR395">
        <v>1</v>
      </c>
      <c r="AS395">
        <v>3.1</v>
      </c>
      <c r="AT395">
        <v>0.7</v>
      </c>
      <c r="AU395">
        <v>0.8</v>
      </c>
      <c r="AV395">
        <v>2.5</v>
      </c>
      <c r="AW395">
        <v>1.4</v>
      </c>
      <c r="AX395">
        <v>6.5</v>
      </c>
    </row>
    <row r="396" spans="1:50" x14ac:dyDescent="0.2">
      <c r="A396" s="1" t="s">
        <v>386</v>
      </c>
      <c r="B396" s="1" t="s">
        <v>31</v>
      </c>
      <c r="C396">
        <v>26</v>
      </c>
      <c r="D396" s="1" t="s">
        <v>70</v>
      </c>
      <c r="E396">
        <v>45</v>
      </c>
      <c r="F396">
        <v>6</v>
      </c>
      <c r="G396">
        <v>17.2</v>
      </c>
      <c r="H396">
        <v>2.4</v>
      </c>
      <c r="I396">
        <v>6.2</v>
      </c>
      <c r="J396">
        <v>0.39400000000000002</v>
      </c>
      <c r="K396">
        <v>1.2</v>
      </c>
      <c r="L396">
        <v>3.7</v>
      </c>
      <c r="M396">
        <v>0.32100000000000001</v>
      </c>
      <c r="N396">
        <v>0.4</v>
      </c>
      <c r="O396">
        <v>0.6</v>
      </c>
      <c r="P396">
        <v>0.67900000000000005</v>
      </c>
      <c r="Q396">
        <v>0.8</v>
      </c>
      <c r="R396">
        <v>1.8</v>
      </c>
      <c r="S396">
        <v>2.6</v>
      </c>
      <c r="T396">
        <v>1.7</v>
      </c>
      <c r="U396">
        <v>0.6</v>
      </c>
      <c r="V396">
        <v>0.1</v>
      </c>
      <c r="W396">
        <v>0.9</v>
      </c>
      <c r="X396">
        <v>0.7</v>
      </c>
      <c r="Y396">
        <v>6.4</v>
      </c>
      <c r="AP396">
        <v>2.4</v>
      </c>
      <c r="AQ396">
        <v>6.2</v>
      </c>
      <c r="AR396">
        <v>1.2</v>
      </c>
      <c r="AS396">
        <v>3.7</v>
      </c>
      <c r="AT396">
        <v>0.4</v>
      </c>
      <c r="AU396">
        <v>0.6</v>
      </c>
      <c r="AV396">
        <v>2.6</v>
      </c>
      <c r="AW396">
        <v>1.7</v>
      </c>
      <c r="AX396">
        <v>6.4</v>
      </c>
    </row>
    <row r="397" spans="1:50" x14ac:dyDescent="0.2">
      <c r="A397" s="1" t="s">
        <v>386</v>
      </c>
      <c r="B397" s="1" t="s">
        <v>31</v>
      </c>
      <c r="C397">
        <v>26</v>
      </c>
      <c r="D397" s="1" t="s">
        <v>66</v>
      </c>
      <c r="E397">
        <v>37</v>
      </c>
      <c r="F397">
        <v>6</v>
      </c>
      <c r="G397">
        <v>18.8</v>
      </c>
      <c r="H397">
        <v>2.7</v>
      </c>
      <c r="I397">
        <v>6.9</v>
      </c>
      <c r="J397">
        <v>0.39200000000000002</v>
      </c>
      <c r="K397">
        <v>1.4</v>
      </c>
      <c r="L397">
        <v>4.0999999999999996</v>
      </c>
      <c r="M397">
        <v>0.33600000000000002</v>
      </c>
      <c r="N397">
        <v>0.5</v>
      </c>
      <c r="O397">
        <v>0.7</v>
      </c>
      <c r="P397">
        <v>0.73099999999999998</v>
      </c>
      <c r="Q397">
        <v>0.9</v>
      </c>
      <c r="R397">
        <v>2</v>
      </c>
      <c r="S397">
        <v>2.9</v>
      </c>
      <c r="T397">
        <v>1.9</v>
      </c>
      <c r="U397">
        <v>0.6</v>
      </c>
      <c r="V397">
        <v>0.1</v>
      </c>
      <c r="W397">
        <v>0.9</v>
      </c>
      <c r="X397">
        <v>0.8</v>
      </c>
      <c r="Y397">
        <v>7.3</v>
      </c>
      <c r="AP397">
        <v>2.7</v>
      </c>
      <c r="AQ397">
        <v>6.9</v>
      </c>
      <c r="AR397">
        <v>1.4</v>
      </c>
      <c r="AS397">
        <v>4.0999999999999996</v>
      </c>
      <c r="AT397">
        <v>0.5</v>
      </c>
      <c r="AU397">
        <v>0.7</v>
      </c>
      <c r="AV397">
        <v>2.9</v>
      </c>
      <c r="AW397">
        <v>1.9</v>
      </c>
      <c r="AX397">
        <v>7.3</v>
      </c>
    </row>
    <row r="398" spans="1:50" x14ac:dyDescent="0.2">
      <c r="A398" s="1" t="s">
        <v>387</v>
      </c>
      <c r="B398" s="1" t="s">
        <v>23</v>
      </c>
      <c r="C398">
        <v>31</v>
      </c>
      <c r="D398" s="1" t="s">
        <v>29</v>
      </c>
      <c r="E398">
        <v>55</v>
      </c>
      <c r="F398">
        <v>2</v>
      </c>
      <c r="G398">
        <v>14.9</v>
      </c>
      <c r="H398">
        <v>2.5</v>
      </c>
      <c r="I398">
        <v>5.2</v>
      </c>
      <c r="J398">
        <v>0.47499999999999998</v>
      </c>
      <c r="K398">
        <v>0.9</v>
      </c>
      <c r="L398">
        <v>2.2000000000000002</v>
      </c>
      <c r="M398">
        <v>0.39</v>
      </c>
      <c r="N398">
        <v>0.6</v>
      </c>
      <c r="O398">
        <v>0.9</v>
      </c>
      <c r="P398">
        <v>0.64</v>
      </c>
      <c r="Q398">
        <v>1</v>
      </c>
      <c r="R398">
        <v>2.2000000000000002</v>
      </c>
      <c r="S398">
        <v>3.2</v>
      </c>
      <c r="T398">
        <v>1.3</v>
      </c>
      <c r="U398">
        <v>0.6</v>
      </c>
      <c r="V398">
        <v>0.1</v>
      </c>
      <c r="W398">
        <v>0.8</v>
      </c>
      <c r="X398">
        <v>1</v>
      </c>
      <c r="Y398">
        <v>6.4</v>
      </c>
      <c r="AP398">
        <v>2.5</v>
      </c>
      <c r="AQ398">
        <v>5.2</v>
      </c>
      <c r="AR398">
        <v>0.9</v>
      </c>
      <c r="AS398">
        <v>2.2000000000000002</v>
      </c>
      <c r="AT398">
        <v>0.6</v>
      </c>
      <c r="AU398">
        <v>0.9</v>
      </c>
      <c r="AV398">
        <v>3.2</v>
      </c>
      <c r="AW398">
        <v>1.3</v>
      </c>
      <c r="AX398">
        <v>6.4</v>
      </c>
    </row>
    <row r="399" spans="1:50" x14ac:dyDescent="0.2">
      <c r="A399" s="1" t="s">
        <v>388</v>
      </c>
      <c r="B399" s="1" t="s">
        <v>43</v>
      </c>
      <c r="C399">
        <v>32</v>
      </c>
      <c r="D399" s="1" t="s">
        <v>37</v>
      </c>
      <c r="E399">
        <v>62</v>
      </c>
      <c r="F399">
        <v>25</v>
      </c>
      <c r="G399">
        <v>19.5</v>
      </c>
      <c r="H399">
        <v>2.5</v>
      </c>
      <c r="I399">
        <v>5.3</v>
      </c>
      <c r="J399">
        <v>0.47099999999999997</v>
      </c>
      <c r="K399">
        <v>0.5</v>
      </c>
      <c r="L399">
        <v>1.4</v>
      </c>
      <c r="M399">
        <v>0.34499999999999997</v>
      </c>
      <c r="N399">
        <v>0.9</v>
      </c>
      <c r="O399">
        <v>1.4</v>
      </c>
      <c r="P399">
        <v>0.63100000000000001</v>
      </c>
      <c r="Q399">
        <v>3.1</v>
      </c>
      <c r="R399">
        <v>5.3</v>
      </c>
      <c r="S399">
        <v>8.4</v>
      </c>
      <c r="T399">
        <v>1.2</v>
      </c>
      <c r="U399">
        <v>0.6</v>
      </c>
      <c r="V399">
        <v>0.8</v>
      </c>
      <c r="W399">
        <v>1</v>
      </c>
      <c r="X399">
        <v>2</v>
      </c>
      <c r="Y399">
        <v>6.3</v>
      </c>
      <c r="AP399">
        <v>2.5</v>
      </c>
      <c r="AQ399">
        <v>5.3</v>
      </c>
      <c r="AR399">
        <v>0.5</v>
      </c>
      <c r="AS399">
        <v>1.4</v>
      </c>
      <c r="AT399">
        <v>0.9</v>
      </c>
      <c r="AU399">
        <v>1.4</v>
      </c>
      <c r="AV399">
        <v>8.4</v>
      </c>
      <c r="AW399">
        <v>1.2</v>
      </c>
      <c r="AX399">
        <v>6.3</v>
      </c>
    </row>
    <row r="400" spans="1:50" x14ac:dyDescent="0.2">
      <c r="A400" s="1" t="s">
        <v>389</v>
      </c>
      <c r="B400" s="1" t="s">
        <v>23</v>
      </c>
      <c r="C400">
        <v>25</v>
      </c>
      <c r="D400" s="1" t="s">
        <v>66</v>
      </c>
      <c r="E400">
        <v>53</v>
      </c>
      <c r="F400">
        <v>2</v>
      </c>
      <c r="G400">
        <v>15.7</v>
      </c>
      <c r="H400">
        <v>2</v>
      </c>
      <c r="I400">
        <v>5.0999999999999996</v>
      </c>
      <c r="J400">
        <v>0.39800000000000002</v>
      </c>
      <c r="K400">
        <v>1</v>
      </c>
      <c r="L400">
        <v>2.9</v>
      </c>
      <c r="M400">
        <v>0.35499999999999998</v>
      </c>
      <c r="N400">
        <v>1.2</v>
      </c>
      <c r="O400">
        <v>1.7</v>
      </c>
      <c r="P400">
        <v>0.73299999999999998</v>
      </c>
      <c r="Q400">
        <v>0.3</v>
      </c>
      <c r="R400">
        <v>1.7</v>
      </c>
      <c r="S400">
        <v>2</v>
      </c>
      <c r="T400">
        <v>0.9</v>
      </c>
      <c r="U400">
        <v>0.4</v>
      </c>
      <c r="V400">
        <v>0</v>
      </c>
      <c r="W400">
        <v>0.7</v>
      </c>
      <c r="X400">
        <v>1.5</v>
      </c>
      <c r="Y400">
        <v>6.3</v>
      </c>
      <c r="AP400">
        <v>2</v>
      </c>
      <c r="AQ400">
        <v>5.0999999999999996</v>
      </c>
      <c r="AR400">
        <v>1</v>
      </c>
      <c r="AS400">
        <v>2.9</v>
      </c>
      <c r="AT400">
        <v>1.2</v>
      </c>
      <c r="AU400">
        <v>1.7</v>
      </c>
      <c r="AV400">
        <v>2</v>
      </c>
      <c r="AW400">
        <v>0.9</v>
      </c>
      <c r="AX400">
        <v>6.3</v>
      </c>
    </row>
    <row r="401" spans="1:50" x14ac:dyDescent="0.2">
      <c r="A401" s="1" t="s">
        <v>390</v>
      </c>
      <c r="B401" s="1" t="s">
        <v>34</v>
      </c>
      <c r="C401">
        <v>32</v>
      </c>
      <c r="D401" s="1" t="s">
        <v>391</v>
      </c>
      <c r="E401">
        <v>43</v>
      </c>
      <c r="F401">
        <v>5</v>
      </c>
      <c r="G401">
        <v>19.8</v>
      </c>
      <c r="H401">
        <v>2.5</v>
      </c>
      <c r="I401">
        <v>4.7</v>
      </c>
      <c r="J401">
        <v>0.53</v>
      </c>
      <c r="K401">
        <v>0.1</v>
      </c>
      <c r="L401">
        <v>0.3</v>
      </c>
      <c r="M401">
        <v>0.36399999999999999</v>
      </c>
      <c r="N401">
        <v>1.1000000000000001</v>
      </c>
      <c r="O401">
        <v>1.6</v>
      </c>
      <c r="P401">
        <v>0.70599999999999996</v>
      </c>
      <c r="Q401">
        <v>1</v>
      </c>
      <c r="R401">
        <v>2.5</v>
      </c>
      <c r="S401">
        <v>3.5</v>
      </c>
      <c r="T401">
        <v>2.9</v>
      </c>
      <c r="U401">
        <v>1</v>
      </c>
      <c r="V401">
        <v>0.6</v>
      </c>
      <c r="W401">
        <v>0.9</v>
      </c>
      <c r="X401">
        <v>2.2000000000000002</v>
      </c>
      <c r="Y401">
        <v>6.2</v>
      </c>
      <c r="AP401">
        <v>2.5</v>
      </c>
      <c r="AQ401">
        <v>4.7</v>
      </c>
      <c r="AR401">
        <v>0.1</v>
      </c>
      <c r="AS401">
        <v>0.3</v>
      </c>
      <c r="AT401">
        <v>1.1000000000000001</v>
      </c>
      <c r="AU401">
        <v>1.6</v>
      </c>
      <c r="AV401">
        <v>3.5</v>
      </c>
      <c r="AW401">
        <v>2.9</v>
      </c>
      <c r="AX401">
        <v>6.2</v>
      </c>
    </row>
    <row r="402" spans="1:50" x14ac:dyDescent="0.2">
      <c r="A402" s="1" t="s">
        <v>390</v>
      </c>
      <c r="B402" s="1" t="s">
        <v>34</v>
      </c>
      <c r="C402">
        <v>32</v>
      </c>
      <c r="D402" s="1" t="s">
        <v>49</v>
      </c>
      <c r="E402">
        <v>20</v>
      </c>
      <c r="F402">
        <v>0</v>
      </c>
      <c r="G402">
        <v>20.100000000000001</v>
      </c>
      <c r="H402">
        <v>2.9</v>
      </c>
      <c r="I402">
        <v>5.5</v>
      </c>
      <c r="J402">
        <v>0.52300000000000002</v>
      </c>
      <c r="K402">
        <v>0.2</v>
      </c>
      <c r="L402">
        <v>0.3</v>
      </c>
      <c r="M402">
        <v>0.6</v>
      </c>
      <c r="N402">
        <v>1.3</v>
      </c>
      <c r="O402">
        <v>1.9</v>
      </c>
      <c r="P402">
        <v>0.65800000000000003</v>
      </c>
      <c r="Q402">
        <v>1</v>
      </c>
      <c r="R402">
        <v>2.4</v>
      </c>
      <c r="S402">
        <v>3.3</v>
      </c>
      <c r="T402">
        <v>3.1</v>
      </c>
      <c r="U402">
        <v>1.2</v>
      </c>
      <c r="V402">
        <v>0.5</v>
      </c>
      <c r="W402">
        <v>0.9</v>
      </c>
      <c r="X402">
        <v>2.2999999999999998</v>
      </c>
      <c r="Y402">
        <v>7.1</v>
      </c>
      <c r="AP402">
        <v>2.9</v>
      </c>
      <c r="AQ402">
        <v>5.5</v>
      </c>
      <c r="AR402">
        <v>0.2</v>
      </c>
      <c r="AS402">
        <v>0.3</v>
      </c>
      <c r="AT402">
        <v>1.3</v>
      </c>
      <c r="AU402">
        <v>1.9</v>
      </c>
      <c r="AV402">
        <v>3.3</v>
      </c>
      <c r="AW402">
        <v>3.1</v>
      </c>
      <c r="AX402">
        <v>7.1</v>
      </c>
    </row>
    <row r="403" spans="1:50" x14ac:dyDescent="0.2">
      <c r="A403" s="1" t="s">
        <v>390</v>
      </c>
      <c r="B403" s="1" t="s">
        <v>34</v>
      </c>
      <c r="C403">
        <v>32</v>
      </c>
      <c r="D403" s="1" t="s">
        <v>32</v>
      </c>
      <c r="E403">
        <v>19</v>
      </c>
      <c r="F403">
        <v>2</v>
      </c>
      <c r="G403">
        <v>19.100000000000001</v>
      </c>
      <c r="H403">
        <v>1.8</v>
      </c>
      <c r="I403">
        <v>3.9</v>
      </c>
      <c r="J403">
        <v>0.47299999999999998</v>
      </c>
      <c r="K403">
        <v>0</v>
      </c>
      <c r="L403">
        <v>0.3</v>
      </c>
      <c r="M403">
        <v>0</v>
      </c>
      <c r="N403">
        <v>0.9</v>
      </c>
      <c r="O403">
        <v>1.2</v>
      </c>
      <c r="P403">
        <v>0.77300000000000002</v>
      </c>
      <c r="Q403">
        <v>1.1000000000000001</v>
      </c>
      <c r="R403">
        <v>2.6</v>
      </c>
      <c r="S403">
        <v>3.7</v>
      </c>
      <c r="T403">
        <v>3.3</v>
      </c>
      <c r="U403">
        <v>0.8</v>
      </c>
      <c r="V403">
        <v>0.6</v>
      </c>
      <c r="W403">
        <v>0.8</v>
      </c>
      <c r="X403">
        <v>2</v>
      </c>
      <c r="Y403">
        <v>4.5999999999999996</v>
      </c>
      <c r="AP403">
        <v>1.8</v>
      </c>
      <c r="AQ403">
        <v>3.9</v>
      </c>
      <c r="AR403">
        <v>0</v>
      </c>
      <c r="AS403">
        <v>0.3</v>
      </c>
      <c r="AT403">
        <v>0.9</v>
      </c>
      <c r="AU403">
        <v>1.2</v>
      </c>
      <c r="AV403">
        <v>3.7</v>
      </c>
      <c r="AW403">
        <v>3.3</v>
      </c>
      <c r="AX403">
        <v>4.5999999999999996</v>
      </c>
    </row>
    <row r="404" spans="1:50" x14ac:dyDescent="0.2">
      <c r="A404" s="1" t="s">
        <v>392</v>
      </c>
      <c r="B404" s="1" t="s">
        <v>43</v>
      </c>
      <c r="C404">
        <v>28</v>
      </c>
      <c r="D404" s="1" t="s">
        <v>41</v>
      </c>
      <c r="E404">
        <v>60</v>
      </c>
      <c r="F404">
        <v>1</v>
      </c>
      <c r="G404">
        <v>12.2</v>
      </c>
      <c r="H404">
        <v>2.2999999999999998</v>
      </c>
      <c r="I404">
        <v>4.5</v>
      </c>
      <c r="J404">
        <v>0.50600000000000001</v>
      </c>
      <c r="K404">
        <v>0.8</v>
      </c>
      <c r="L404">
        <v>2.2000000000000002</v>
      </c>
      <c r="M404">
        <v>0.35899999999999999</v>
      </c>
      <c r="N404">
        <v>0.9</v>
      </c>
      <c r="O404">
        <v>1.1000000000000001</v>
      </c>
      <c r="P404">
        <v>0.80300000000000005</v>
      </c>
      <c r="Q404">
        <v>1</v>
      </c>
      <c r="R404">
        <v>2.4</v>
      </c>
      <c r="S404">
        <v>3.4</v>
      </c>
      <c r="T404">
        <v>0.6</v>
      </c>
      <c r="U404">
        <v>0.3</v>
      </c>
      <c r="V404">
        <v>0.4</v>
      </c>
      <c r="W404">
        <v>0.5</v>
      </c>
      <c r="X404">
        <v>1.3</v>
      </c>
      <c r="Y404">
        <v>6.2</v>
      </c>
      <c r="AP404">
        <v>2.2999999999999998</v>
      </c>
      <c r="AQ404">
        <v>4.5</v>
      </c>
      <c r="AR404">
        <v>0.8</v>
      </c>
      <c r="AS404">
        <v>2.2000000000000002</v>
      </c>
      <c r="AT404">
        <v>0.9</v>
      </c>
      <c r="AU404">
        <v>1.1000000000000001</v>
      </c>
      <c r="AV404">
        <v>3.4</v>
      </c>
      <c r="AW404">
        <v>0.6</v>
      </c>
      <c r="AX404">
        <v>6.2</v>
      </c>
    </row>
    <row r="405" spans="1:50" x14ac:dyDescent="0.2">
      <c r="A405" s="1" t="s">
        <v>393</v>
      </c>
      <c r="B405" s="1" t="s">
        <v>31</v>
      </c>
      <c r="C405">
        <v>31</v>
      </c>
      <c r="D405" s="1" t="s">
        <v>29</v>
      </c>
      <c r="E405">
        <v>56</v>
      </c>
      <c r="F405">
        <v>0</v>
      </c>
      <c r="G405">
        <v>18.2</v>
      </c>
      <c r="H405">
        <v>2.2999999999999998</v>
      </c>
      <c r="I405">
        <v>5.4</v>
      </c>
      <c r="J405">
        <v>0.42299999999999999</v>
      </c>
      <c r="K405">
        <v>0.9</v>
      </c>
      <c r="L405">
        <v>3.2</v>
      </c>
      <c r="M405">
        <v>0.29299999999999998</v>
      </c>
      <c r="N405">
        <v>0.7</v>
      </c>
      <c r="O405">
        <v>0.9</v>
      </c>
      <c r="P405">
        <v>0.80400000000000005</v>
      </c>
      <c r="Q405">
        <v>0.5</v>
      </c>
      <c r="R405">
        <v>2.2999999999999998</v>
      </c>
      <c r="S405">
        <v>2.8</v>
      </c>
      <c r="T405">
        <v>2</v>
      </c>
      <c r="U405">
        <v>1.3</v>
      </c>
      <c r="V405">
        <v>0.3</v>
      </c>
      <c r="W405">
        <v>0.9</v>
      </c>
      <c r="X405">
        <v>1.2</v>
      </c>
      <c r="Y405">
        <v>6.2</v>
      </c>
      <c r="AP405">
        <v>2.2999999999999998</v>
      </c>
      <c r="AQ405">
        <v>5.4</v>
      </c>
      <c r="AR405">
        <v>0.9</v>
      </c>
      <c r="AS405">
        <v>3.2</v>
      </c>
      <c r="AT405">
        <v>0.7</v>
      </c>
      <c r="AU405">
        <v>0.9</v>
      </c>
      <c r="AV405">
        <v>2.8</v>
      </c>
      <c r="AW405">
        <v>2</v>
      </c>
      <c r="AX405">
        <v>6.2</v>
      </c>
    </row>
    <row r="406" spans="1:50" x14ac:dyDescent="0.2">
      <c r="A406" s="1" t="s">
        <v>394</v>
      </c>
      <c r="B406" s="1" t="s">
        <v>26</v>
      </c>
      <c r="C406">
        <v>19</v>
      </c>
      <c r="D406" s="1" t="s">
        <v>79</v>
      </c>
      <c r="E406">
        <v>52</v>
      </c>
      <c r="F406">
        <v>12</v>
      </c>
      <c r="G406">
        <v>17.8</v>
      </c>
      <c r="H406">
        <v>1.9</v>
      </c>
      <c r="I406">
        <v>4.5</v>
      </c>
      <c r="J406">
        <v>0.42099999999999999</v>
      </c>
      <c r="K406">
        <v>1.2</v>
      </c>
      <c r="L406">
        <v>3</v>
      </c>
      <c r="M406">
        <v>0.41599999999999998</v>
      </c>
      <c r="N406">
        <v>1.1000000000000001</v>
      </c>
      <c r="O406">
        <v>1.3</v>
      </c>
      <c r="P406">
        <v>0.879</v>
      </c>
      <c r="Q406">
        <v>0.8</v>
      </c>
      <c r="R406">
        <v>1.8</v>
      </c>
      <c r="S406">
        <v>2.6</v>
      </c>
      <c r="T406">
        <v>2.5</v>
      </c>
      <c r="U406">
        <v>0.6</v>
      </c>
      <c r="V406">
        <v>0.1</v>
      </c>
      <c r="W406">
        <v>0.9</v>
      </c>
      <c r="X406">
        <v>1.9</v>
      </c>
      <c r="Y406">
        <v>6.2</v>
      </c>
      <c r="AP406">
        <v>1.9</v>
      </c>
      <c r="AQ406">
        <v>4.5</v>
      </c>
      <c r="AR406">
        <v>1.2</v>
      </c>
      <c r="AS406">
        <v>3</v>
      </c>
      <c r="AT406">
        <v>1.1000000000000001</v>
      </c>
      <c r="AU406">
        <v>1.3</v>
      </c>
      <c r="AV406">
        <v>2.6</v>
      </c>
      <c r="AW406">
        <v>2.5</v>
      </c>
      <c r="AX406">
        <v>6.2</v>
      </c>
    </row>
    <row r="407" spans="1:50" x14ac:dyDescent="0.2">
      <c r="A407" s="1" t="s">
        <v>395</v>
      </c>
      <c r="B407" s="1" t="s">
        <v>23</v>
      </c>
      <c r="C407">
        <v>20</v>
      </c>
      <c r="D407" s="1" t="s">
        <v>98</v>
      </c>
      <c r="E407">
        <v>36</v>
      </c>
      <c r="F407">
        <v>0</v>
      </c>
      <c r="G407">
        <v>15.9</v>
      </c>
      <c r="H407">
        <v>2.2000000000000002</v>
      </c>
      <c r="I407">
        <v>4.4000000000000004</v>
      </c>
      <c r="J407">
        <v>0.50600000000000001</v>
      </c>
      <c r="K407">
        <v>1</v>
      </c>
      <c r="L407">
        <v>2.2999999999999998</v>
      </c>
      <c r="M407">
        <v>0.434</v>
      </c>
      <c r="N407">
        <v>0.7</v>
      </c>
      <c r="O407">
        <v>1.1000000000000001</v>
      </c>
      <c r="P407">
        <v>0.65</v>
      </c>
      <c r="Q407">
        <v>0.7</v>
      </c>
      <c r="R407">
        <v>3.4</v>
      </c>
      <c r="S407">
        <v>4.0999999999999996</v>
      </c>
      <c r="T407">
        <v>0.8</v>
      </c>
      <c r="U407">
        <v>0.4</v>
      </c>
      <c r="V407">
        <v>0.2</v>
      </c>
      <c r="W407">
        <v>0.7</v>
      </c>
      <c r="X407">
        <v>1.5</v>
      </c>
      <c r="Y407">
        <v>6.2</v>
      </c>
      <c r="AP407">
        <v>2.2000000000000002</v>
      </c>
      <c r="AQ407">
        <v>4.4000000000000004</v>
      </c>
      <c r="AR407">
        <v>1</v>
      </c>
      <c r="AS407">
        <v>2.2999999999999998</v>
      </c>
      <c r="AT407">
        <v>0.7</v>
      </c>
      <c r="AU407">
        <v>1.1000000000000001</v>
      </c>
      <c r="AV407">
        <v>4.0999999999999996</v>
      </c>
      <c r="AW407">
        <v>0.8</v>
      </c>
      <c r="AX407">
        <v>6.2</v>
      </c>
    </row>
    <row r="408" spans="1:50" x14ac:dyDescent="0.2">
      <c r="A408" s="1" t="s">
        <v>396</v>
      </c>
      <c r="B408" s="1" t="s">
        <v>26</v>
      </c>
      <c r="C408">
        <v>21</v>
      </c>
      <c r="D408" s="1" t="s">
        <v>70</v>
      </c>
      <c r="E408">
        <v>64</v>
      </c>
      <c r="F408">
        <v>0</v>
      </c>
      <c r="G408">
        <v>14.7</v>
      </c>
      <c r="H408">
        <v>2.4</v>
      </c>
      <c r="I408">
        <v>6.2</v>
      </c>
      <c r="J408">
        <v>0.38600000000000001</v>
      </c>
      <c r="K408">
        <v>0.6</v>
      </c>
      <c r="L408">
        <v>2</v>
      </c>
      <c r="M408">
        <v>0.32</v>
      </c>
      <c r="N408">
        <v>0.6</v>
      </c>
      <c r="O408">
        <v>0.8</v>
      </c>
      <c r="P408">
        <v>0.76500000000000001</v>
      </c>
      <c r="Q408">
        <v>0.3</v>
      </c>
      <c r="R408">
        <v>1.7</v>
      </c>
      <c r="S408">
        <v>2</v>
      </c>
      <c r="T408">
        <v>2.2000000000000002</v>
      </c>
      <c r="U408">
        <v>0.7</v>
      </c>
      <c r="V408">
        <v>0.1</v>
      </c>
      <c r="W408">
        <v>1.5</v>
      </c>
      <c r="X408">
        <v>1.8</v>
      </c>
      <c r="Y408">
        <v>6</v>
      </c>
      <c r="AP408">
        <v>2.4</v>
      </c>
      <c r="AQ408">
        <v>6.2</v>
      </c>
      <c r="AR408">
        <v>0.6</v>
      </c>
      <c r="AS408">
        <v>2</v>
      </c>
      <c r="AT408">
        <v>0.6</v>
      </c>
      <c r="AU408">
        <v>0.8</v>
      </c>
      <c r="AV408">
        <v>2</v>
      </c>
      <c r="AW408">
        <v>2.2000000000000002</v>
      </c>
      <c r="AX408">
        <v>6</v>
      </c>
    </row>
    <row r="409" spans="1:50" x14ac:dyDescent="0.2">
      <c r="A409" s="1" t="s">
        <v>396</v>
      </c>
      <c r="B409" s="1" t="s">
        <v>26</v>
      </c>
      <c r="C409">
        <v>21</v>
      </c>
      <c r="D409" s="1" t="s">
        <v>32</v>
      </c>
      <c r="E409">
        <v>35</v>
      </c>
      <c r="F409">
        <v>0</v>
      </c>
      <c r="G409">
        <v>9.3000000000000007</v>
      </c>
      <c r="H409">
        <v>1.3</v>
      </c>
      <c r="I409">
        <v>4</v>
      </c>
      <c r="J409">
        <v>0.33300000000000002</v>
      </c>
      <c r="K409">
        <v>0.3</v>
      </c>
      <c r="L409">
        <v>0.9</v>
      </c>
      <c r="M409">
        <v>0.36399999999999999</v>
      </c>
      <c r="N409">
        <v>0.4</v>
      </c>
      <c r="O409">
        <v>0.6</v>
      </c>
      <c r="P409">
        <v>0.75</v>
      </c>
      <c r="Q409">
        <v>0.1</v>
      </c>
      <c r="R409">
        <v>1</v>
      </c>
      <c r="S409">
        <v>1.2</v>
      </c>
      <c r="T409">
        <v>1.7</v>
      </c>
      <c r="U409">
        <v>0.5</v>
      </c>
      <c r="V409">
        <v>0.1</v>
      </c>
      <c r="W409">
        <v>1</v>
      </c>
      <c r="X409">
        <v>1</v>
      </c>
      <c r="Y409">
        <v>3.5</v>
      </c>
      <c r="AP409">
        <v>1.3</v>
      </c>
      <c r="AQ409">
        <v>4</v>
      </c>
      <c r="AR409">
        <v>0.3</v>
      </c>
      <c r="AS409">
        <v>0.9</v>
      </c>
      <c r="AT409">
        <v>0.4</v>
      </c>
      <c r="AU409">
        <v>0.6</v>
      </c>
      <c r="AV409">
        <v>1.2</v>
      </c>
      <c r="AW409">
        <v>1.7</v>
      </c>
      <c r="AX409">
        <v>3.5</v>
      </c>
    </row>
    <row r="410" spans="1:50" x14ac:dyDescent="0.2">
      <c r="A410" s="1" t="s">
        <v>396</v>
      </c>
      <c r="B410" s="1" t="s">
        <v>26</v>
      </c>
      <c r="C410">
        <v>21</v>
      </c>
      <c r="D410" s="1" t="s">
        <v>128</v>
      </c>
      <c r="E410">
        <v>29</v>
      </c>
      <c r="F410">
        <v>0</v>
      </c>
      <c r="G410">
        <v>21.2</v>
      </c>
      <c r="H410">
        <v>3.6</v>
      </c>
      <c r="I410">
        <v>8.6999999999999993</v>
      </c>
      <c r="J410">
        <v>0.41499999999999998</v>
      </c>
      <c r="K410">
        <v>1</v>
      </c>
      <c r="L410">
        <v>3.3</v>
      </c>
      <c r="M410">
        <v>0.30499999999999999</v>
      </c>
      <c r="N410">
        <v>0.8</v>
      </c>
      <c r="O410">
        <v>1.1000000000000001</v>
      </c>
      <c r="P410">
        <v>0.77400000000000002</v>
      </c>
      <c r="Q410">
        <v>0.5</v>
      </c>
      <c r="R410">
        <v>2.4</v>
      </c>
      <c r="S410">
        <v>2.9</v>
      </c>
      <c r="T410">
        <v>2.8</v>
      </c>
      <c r="U410">
        <v>0.9</v>
      </c>
      <c r="V410">
        <v>0.1</v>
      </c>
      <c r="W410">
        <v>2</v>
      </c>
      <c r="X410">
        <v>2.6</v>
      </c>
      <c r="Y410">
        <v>9.1</v>
      </c>
      <c r="AP410">
        <v>3.6</v>
      </c>
      <c r="AQ410">
        <v>8.6999999999999993</v>
      </c>
      <c r="AR410">
        <v>1</v>
      </c>
      <c r="AS410">
        <v>3.3</v>
      </c>
      <c r="AT410">
        <v>0.8</v>
      </c>
      <c r="AU410">
        <v>1.1000000000000001</v>
      </c>
      <c r="AV410">
        <v>2.9</v>
      </c>
      <c r="AW410">
        <v>2.8</v>
      </c>
      <c r="AX410">
        <v>9.1</v>
      </c>
    </row>
    <row r="411" spans="1:50" x14ac:dyDescent="0.2">
      <c r="A411" s="1" t="s">
        <v>397</v>
      </c>
      <c r="B411" s="1" t="s">
        <v>31</v>
      </c>
      <c r="C411">
        <v>22</v>
      </c>
      <c r="D411" s="1" t="s">
        <v>83</v>
      </c>
      <c r="E411">
        <v>75</v>
      </c>
      <c r="F411">
        <v>1</v>
      </c>
      <c r="G411">
        <v>14.2</v>
      </c>
      <c r="H411">
        <v>2.1</v>
      </c>
      <c r="I411">
        <v>5.0999999999999996</v>
      </c>
      <c r="J411">
        <v>0.42099999999999999</v>
      </c>
      <c r="K411">
        <v>0.7</v>
      </c>
      <c r="L411">
        <v>2.5</v>
      </c>
      <c r="M411">
        <v>0.30099999999999999</v>
      </c>
      <c r="N411">
        <v>1</v>
      </c>
      <c r="O411">
        <v>1.2</v>
      </c>
      <c r="P411">
        <v>0.874</v>
      </c>
      <c r="Q411">
        <v>0.6</v>
      </c>
      <c r="R411">
        <v>1.4</v>
      </c>
      <c r="S411">
        <v>2</v>
      </c>
      <c r="T411">
        <v>0.7</v>
      </c>
      <c r="U411">
        <v>0.6</v>
      </c>
      <c r="V411">
        <v>0.1</v>
      </c>
      <c r="W411">
        <v>0.6</v>
      </c>
      <c r="X411">
        <v>1.3</v>
      </c>
      <c r="Y411">
        <v>6</v>
      </c>
      <c r="AP411">
        <v>2.1</v>
      </c>
      <c r="AQ411">
        <v>5.0999999999999996</v>
      </c>
      <c r="AR411">
        <v>0.7</v>
      </c>
      <c r="AS411">
        <v>2.5</v>
      </c>
      <c r="AT411">
        <v>1</v>
      </c>
      <c r="AU411">
        <v>1.2</v>
      </c>
      <c r="AV411">
        <v>2</v>
      </c>
      <c r="AW411">
        <v>0.7</v>
      </c>
      <c r="AX411">
        <v>6</v>
      </c>
    </row>
    <row r="412" spans="1:50" x14ac:dyDescent="0.2">
      <c r="A412" s="1" t="s">
        <v>398</v>
      </c>
      <c r="B412" s="1" t="s">
        <v>31</v>
      </c>
      <c r="C412">
        <v>23</v>
      </c>
      <c r="D412" s="1" t="s">
        <v>104</v>
      </c>
      <c r="E412">
        <v>30</v>
      </c>
      <c r="F412">
        <v>6</v>
      </c>
      <c r="G412">
        <v>21.2</v>
      </c>
      <c r="H412">
        <v>2.4</v>
      </c>
      <c r="I412">
        <v>6.1</v>
      </c>
      <c r="J412">
        <v>0.39900000000000002</v>
      </c>
      <c r="K412">
        <v>0.6</v>
      </c>
      <c r="L412">
        <v>2.2000000000000002</v>
      </c>
      <c r="M412">
        <v>0.25800000000000001</v>
      </c>
      <c r="N412">
        <v>0.6</v>
      </c>
      <c r="O412">
        <v>1.1000000000000001</v>
      </c>
      <c r="P412">
        <v>0.52900000000000003</v>
      </c>
      <c r="Q412">
        <v>0.8</v>
      </c>
      <c r="R412">
        <v>1.9</v>
      </c>
      <c r="S412">
        <v>2.7</v>
      </c>
      <c r="T412">
        <v>1.9</v>
      </c>
      <c r="U412">
        <v>1.2</v>
      </c>
      <c r="V412">
        <v>0.4</v>
      </c>
      <c r="W412">
        <v>1.5</v>
      </c>
      <c r="X412">
        <v>2</v>
      </c>
      <c r="Y412">
        <v>6</v>
      </c>
      <c r="AP412">
        <v>2.4</v>
      </c>
      <c r="AQ412">
        <v>6.1</v>
      </c>
      <c r="AR412">
        <v>0.6</v>
      </c>
      <c r="AS412">
        <v>2.2000000000000002</v>
      </c>
      <c r="AT412">
        <v>0.6</v>
      </c>
      <c r="AU412">
        <v>1.1000000000000001</v>
      </c>
      <c r="AV412">
        <v>2.7</v>
      </c>
      <c r="AW412">
        <v>1.9</v>
      </c>
      <c r="AX412">
        <v>6</v>
      </c>
    </row>
    <row r="413" spans="1:50" x14ac:dyDescent="0.2">
      <c r="A413" s="1" t="s">
        <v>399</v>
      </c>
      <c r="B413" s="1" t="s">
        <v>31</v>
      </c>
      <c r="C413">
        <v>21</v>
      </c>
      <c r="D413" s="1" t="s">
        <v>27</v>
      </c>
      <c r="E413">
        <v>29</v>
      </c>
      <c r="F413">
        <v>1</v>
      </c>
      <c r="G413">
        <v>12.3</v>
      </c>
      <c r="H413">
        <v>2.2000000000000002</v>
      </c>
      <c r="I413">
        <v>5.2</v>
      </c>
      <c r="J413">
        <v>0.433</v>
      </c>
      <c r="K413">
        <v>1.1000000000000001</v>
      </c>
      <c r="L413">
        <v>2.8</v>
      </c>
      <c r="M413">
        <v>0.4</v>
      </c>
      <c r="N413">
        <v>0.4</v>
      </c>
      <c r="O413">
        <v>0.5</v>
      </c>
      <c r="P413">
        <v>0.73299999999999998</v>
      </c>
      <c r="Q413">
        <v>0.1</v>
      </c>
      <c r="R413">
        <v>0.7</v>
      </c>
      <c r="S413">
        <v>0.8</v>
      </c>
      <c r="T413">
        <v>1</v>
      </c>
      <c r="U413">
        <v>0.3</v>
      </c>
      <c r="V413">
        <v>0.1</v>
      </c>
      <c r="W413">
        <v>0.7</v>
      </c>
      <c r="X413">
        <v>1</v>
      </c>
      <c r="Y413">
        <v>6</v>
      </c>
      <c r="AP413">
        <v>2.2000000000000002</v>
      </c>
      <c r="AQ413">
        <v>5.2</v>
      </c>
      <c r="AR413">
        <v>1.1000000000000001</v>
      </c>
      <c r="AS413">
        <v>2.8</v>
      </c>
      <c r="AT413">
        <v>0.4</v>
      </c>
      <c r="AU413">
        <v>0.5</v>
      </c>
      <c r="AV413">
        <v>0.8</v>
      </c>
      <c r="AW413">
        <v>1</v>
      </c>
      <c r="AX413">
        <v>6</v>
      </c>
    </row>
    <row r="414" spans="1:50" x14ac:dyDescent="0.2">
      <c r="A414" s="1" t="s">
        <v>400</v>
      </c>
      <c r="B414" s="1" t="s">
        <v>43</v>
      </c>
      <c r="C414">
        <v>26</v>
      </c>
      <c r="D414" s="1" t="s">
        <v>76</v>
      </c>
      <c r="E414">
        <v>63</v>
      </c>
      <c r="F414">
        <v>3</v>
      </c>
      <c r="G414">
        <v>15.2</v>
      </c>
      <c r="H414">
        <v>2.4</v>
      </c>
      <c r="I414">
        <v>3.5</v>
      </c>
      <c r="J414">
        <v>0.67300000000000004</v>
      </c>
      <c r="K414">
        <v>0</v>
      </c>
      <c r="L414">
        <v>0.2</v>
      </c>
      <c r="M414">
        <v>0.182</v>
      </c>
      <c r="N414">
        <v>1.1000000000000001</v>
      </c>
      <c r="O414">
        <v>1.5</v>
      </c>
      <c r="P414">
        <v>0.71599999999999997</v>
      </c>
      <c r="Q414">
        <v>2.1</v>
      </c>
      <c r="R414">
        <v>2.8</v>
      </c>
      <c r="S414">
        <v>5</v>
      </c>
      <c r="T414">
        <v>1.3</v>
      </c>
      <c r="U414">
        <v>0.6</v>
      </c>
      <c r="V414">
        <v>1</v>
      </c>
      <c r="W414">
        <v>0.7</v>
      </c>
      <c r="X414">
        <v>2.1</v>
      </c>
      <c r="Y414">
        <v>5.9</v>
      </c>
      <c r="AP414">
        <v>2.4</v>
      </c>
      <c r="AQ414">
        <v>3.5</v>
      </c>
      <c r="AR414">
        <v>0</v>
      </c>
      <c r="AS414">
        <v>0.2</v>
      </c>
      <c r="AT414">
        <v>1.1000000000000001</v>
      </c>
      <c r="AU414">
        <v>1.5</v>
      </c>
      <c r="AV414">
        <v>5</v>
      </c>
      <c r="AW414">
        <v>1.3</v>
      </c>
      <c r="AX414">
        <v>5.9</v>
      </c>
    </row>
    <row r="415" spans="1:50" x14ac:dyDescent="0.2">
      <c r="A415" s="1" t="s">
        <v>401</v>
      </c>
      <c r="B415" s="1" t="s">
        <v>34</v>
      </c>
      <c r="C415">
        <v>22</v>
      </c>
      <c r="D415" s="1" t="s">
        <v>37</v>
      </c>
      <c r="E415">
        <v>63</v>
      </c>
      <c r="F415">
        <v>12</v>
      </c>
      <c r="G415">
        <v>15.2</v>
      </c>
      <c r="H415">
        <v>2.2000000000000002</v>
      </c>
      <c r="I415">
        <v>4.9000000000000004</v>
      </c>
      <c r="J415">
        <v>0.44600000000000001</v>
      </c>
      <c r="K415">
        <v>1</v>
      </c>
      <c r="L415">
        <v>2.7</v>
      </c>
      <c r="M415">
        <v>0.36</v>
      </c>
      <c r="N415">
        <v>0.5</v>
      </c>
      <c r="O415">
        <v>0.6</v>
      </c>
      <c r="P415">
        <v>0.84599999999999997</v>
      </c>
      <c r="Q415">
        <v>0.4</v>
      </c>
      <c r="R415">
        <v>1.1000000000000001</v>
      </c>
      <c r="S415">
        <v>1.5</v>
      </c>
      <c r="T415">
        <v>1.2</v>
      </c>
      <c r="U415">
        <v>0.8</v>
      </c>
      <c r="V415">
        <v>0.2</v>
      </c>
      <c r="W415">
        <v>0.6</v>
      </c>
      <c r="X415">
        <v>1.4</v>
      </c>
      <c r="Y415">
        <v>5.9</v>
      </c>
      <c r="AP415">
        <v>2.2000000000000002</v>
      </c>
      <c r="AQ415">
        <v>4.9000000000000004</v>
      </c>
      <c r="AR415">
        <v>1</v>
      </c>
      <c r="AS415">
        <v>2.7</v>
      </c>
      <c r="AT415">
        <v>0.5</v>
      </c>
      <c r="AU415">
        <v>0.6</v>
      </c>
      <c r="AV415">
        <v>1.5</v>
      </c>
      <c r="AW415">
        <v>1.2</v>
      </c>
      <c r="AX415">
        <v>5.9</v>
      </c>
    </row>
    <row r="416" spans="1:50" x14ac:dyDescent="0.2">
      <c r="A416" s="1" t="s">
        <v>402</v>
      </c>
      <c r="B416" s="1" t="s">
        <v>43</v>
      </c>
      <c r="C416">
        <v>28</v>
      </c>
      <c r="D416" s="1" t="s">
        <v>70</v>
      </c>
      <c r="E416">
        <v>48</v>
      </c>
      <c r="F416">
        <v>6</v>
      </c>
      <c r="G416">
        <v>14.6</v>
      </c>
      <c r="H416">
        <v>2.1</v>
      </c>
      <c r="I416">
        <v>4.2</v>
      </c>
      <c r="J416">
        <v>0.51200000000000001</v>
      </c>
      <c r="K416">
        <v>0.1</v>
      </c>
      <c r="L416">
        <v>0.4</v>
      </c>
      <c r="M416">
        <v>0.27800000000000002</v>
      </c>
      <c r="N416">
        <v>1.4</v>
      </c>
      <c r="O416">
        <v>2.1</v>
      </c>
      <c r="P416">
        <v>0.64400000000000002</v>
      </c>
      <c r="Q416">
        <v>1.6</v>
      </c>
      <c r="R416">
        <v>3.5</v>
      </c>
      <c r="S416">
        <v>5.0999999999999996</v>
      </c>
      <c r="T416">
        <v>0.3</v>
      </c>
      <c r="U416">
        <v>0.2</v>
      </c>
      <c r="V416">
        <v>0.7</v>
      </c>
      <c r="W416">
        <v>1.2</v>
      </c>
      <c r="X416">
        <v>1.8</v>
      </c>
      <c r="Y416">
        <v>5.8</v>
      </c>
      <c r="AP416">
        <v>2.1</v>
      </c>
      <c r="AQ416">
        <v>4.2</v>
      </c>
      <c r="AR416">
        <v>0.1</v>
      </c>
      <c r="AS416">
        <v>0.4</v>
      </c>
      <c r="AT416">
        <v>1.4</v>
      </c>
      <c r="AU416">
        <v>2.1</v>
      </c>
      <c r="AV416">
        <v>5.0999999999999996</v>
      </c>
      <c r="AW416">
        <v>0.3</v>
      </c>
      <c r="AX416">
        <v>5.8</v>
      </c>
    </row>
    <row r="417" spans="1:50" x14ac:dyDescent="0.2">
      <c r="A417" s="1" t="s">
        <v>402</v>
      </c>
      <c r="B417" s="1" t="s">
        <v>43</v>
      </c>
      <c r="C417">
        <v>28</v>
      </c>
      <c r="D417" s="1" t="s">
        <v>53</v>
      </c>
      <c r="E417">
        <v>28</v>
      </c>
      <c r="F417">
        <v>2</v>
      </c>
      <c r="G417">
        <v>9.1</v>
      </c>
      <c r="H417">
        <v>1.3</v>
      </c>
      <c r="I417">
        <v>2.5</v>
      </c>
      <c r="J417">
        <v>0.49299999999999999</v>
      </c>
      <c r="K417">
        <v>0</v>
      </c>
      <c r="L417">
        <v>0</v>
      </c>
      <c r="N417">
        <v>0.7</v>
      </c>
      <c r="O417">
        <v>1</v>
      </c>
      <c r="P417">
        <v>0.67900000000000005</v>
      </c>
      <c r="Q417">
        <v>1.3</v>
      </c>
      <c r="R417">
        <v>2</v>
      </c>
      <c r="S417">
        <v>3.3</v>
      </c>
      <c r="T417">
        <v>0.3</v>
      </c>
      <c r="U417">
        <v>0.1</v>
      </c>
      <c r="V417">
        <v>0.5</v>
      </c>
      <c r="W417">
        <v>0.9</v>
      </c>
      <c r="X417">
        <v>1.4</v>
      </c>
      <c r="Y417">
        <v>3.2</v>
      </c>
      <c r="AP417">
        <v>1.3</v>
      </c>
      <c r="AQ417">
        <v>2.5</v>
      </c>
      <c r="AR417">
        <v>0</v>
      </c>
      <c r="AS417">
        <v>0</v>
      </c>
      <c r="AT417">
        <v>0.7</v>
      </c>
      <c r="AU417">
        <v>1</v>
      </c>
      <c r="AV417">
        <v>3.3</v>
      </c>
      <c r="AW417">
        <v>0.3</v>
      </c>
      <c r="AX417">
        <v>3.2</v>
      </c>
    </row>
    <row r="418" spans="1:50" x14ac:dyDescent="0.2">
      <c r="A418" s="1" t="s">
        <v>402</v>
      </c>
      <c r="B418" s="1" t="s">
        <v>43</v>
      </c>
      <c r="C418">
        <v>28</v>
      </c>
      <c r="D418" s="1" t="s">
        <v>128</v>
      </c>
      <c r="E418">
        <v>20</v>
      </c>
      <c r="F418">
        <v>4</v>
      </c>
      <c r="G418">
        <v>22.4</v>
      </c>
      <c r="H418">
        <v>3.4</v>
      </c>
      <c r="I418">
        <v>6.5</v>
      </c>
      <c r="J418">
        <v>0.52300000000000002</v>
      </c>
      <c r="K418">
        <v>0.3</v>
      </c>
      <c r="L418">
        <v>0.9</v>
      </c>
      <c r="M418">
        <v>0.27800000000000002</v>
      </c>
      <c r="N418">
        <v>2.2999999999999998</v>
      </c>
      <c r="O418">
        <v>3.7</v>
      </c>
      <c r="P418">
        <v>0.63</v>
      </c>
      <c r="Q418">
        <v>2.1</v>
      </c>
      <c r="R418">
        <v>5.5</v>
      </c>
      <c r="S418">
        <v>7.6</v>
      </c>
      <c r="T418">
        <v>0.4</v>
      </c>
      <c r="U418">
        <v>0.3</v>
      </c>
      <c r="V418">
        <v>0.9</v>
      </c>
      <c r="W418">
        <v>1.7</v>
      </c>
      <c r="X418">
        <v>2.5</v>
      </c>
      <c r="Y418">
        <v>9.4</v>
      </c>
      <c r="AP418">
        <v>3.4</v>
      </c>
      <c r="AQ418">
        <v>6.5</v>
      </c>
      <c r="AR418">
        <v>0.3</v>
      </c>
      <c r="AS418">
        <v>0.9</v>
      </c>
      <c r="AT418">
        <v>2.2999999999999998</v>
      </c>
      <c r="AU418">
        <v>3.7</v>
      </c>
      <c r="AV418">
        <v>7.6</v>
      </c>
      <c r="AW418">
        <v>0.4</v>
      </c>
      <c r="AX418">
        <v>9.4</v>
      </c>
    </row>
    <row r="419" spans="1:50" x14ac:dyDescent="0.2">
      <c r="A419" s="1" t="s">
        <v>403</v>
      </c>
      <c r="B419" s="1" t="s">
        <v>43</v>
      </c>
      <c r="C419">
        <v>32</v>
      </c>
      <c r="D419" s="1" t="s">
        <v>57</v>
      </c>
      <c r="E419">
        <v>32</v>
      </c>
      <c r="F419">
        <v>11</v>
      </c>
      <c r="G419">
        <v>22.8</v>
      </c>
      <c r="H419">
        <v>2.2000000000000002</v>
      </c>
      <c r="I419">
        <v>4.3</v>
      </c>
      <c r="J419">
        <v>0.504</v>
      </c>
      <c r="K419">
        <v>0</v>
      </c>
      <c r="L419">
        <v>0</v>
      </c>
      <c r="N419">
        <v>1.5</v>
      </c>
      <c r="O419">
        <v>2.5</v>
      </c>
      <c r="P419">
        <v>0.57999999999999996</v>
      </c>
      <c r="Q419">
        <v>4.5</v>
      </c>
      <c r="R419">
        <v>4.0999999999999996</v>
      </c>
      <c r="S419">
        <v>8.6</v>
      </c>
      <c r="T419">
        <v>1.5</v>
      </c>
      <c r="U419">
        <v>0.7</v>
      </c>
      <c r="V419">
        <v>0.6</v>
      </c>
      <c r="W419">
        <v>1.1000000000000001</v>
      </c>
      <c r="X419">
        <v>1.7</v>
      </c>
      <c r="Y419">
        <v>5.8</v>
      </c>
      <c r="AP419">
        <v>2.2000000000000002</v>
      </c>
      <c r="AQ419">
        <v>4.3</v>
      </c>
      <c r="AR419">
        <v>0</v>
      </c>
      <c r="AS419">
        <v>0</v>
      </c>
      <c r="AT419">
        <v>1.5</v>
      </c>
      <c r="AU419">
        <v>2.5</v>
      </c>
      <c r="AV419">
        <v>8.6</v>
      </c>
      <c r="AW419">
        <v>1.5</v>
      </c>
      <c r="AX419">
        <v>5.8</v>
      </c>
    </row>
    <row r="420" spans="1:50" x14ac:dyDescent="0.2">
      <c r="A420" s="1" t="s">
        <v>404</v>
      </c>
      <c r="B420" s="1" t="s">
        <v>34</v>
      </c>
      <c r="C420">
        <v>25</v>
      </c>
      <c r="D420" s="1" t="s">
        <v>62</v>
      </c>
      <c r="E420">
        <v>56</v>
      </c>
      <c r="F420">
        <v>15</v>
      </c>
      <c r="G420">
        <v>23.3</v>
      </c>
      <c r="H420">
        <v>2.2999999999999998</v>
      </c>
      <c r="I420">
        <v>4.9000000000000004</v>
      </c>
      <c r="J420">
        <v>0.46300000000000002</v>
      </c>
      <c r="K420">
        <v>0.6</v>
      </c>
      <c r="L420">
        <v>2.1</v>
      </c>
      <c r="M420">
        <v>0.26700000000000002</v>
      </c>
      <c r="N420">
        <v>0.7</v>
      </c>
      <c r="O420">
        <v>1</v>
      </c>
      <c r="P420">
        <v>0.69099999999999995</v>
      </c>
      <c r="Q420">
        <v>1.6</v>
      </c>
      <c r="R420">
        <v>2</v>
      </c>
      <c r="S420">
        <v>3.6</v>
      </c>
      <c r="T420">
        <v>1.4</v>
      </c>
      <c r="U420">
        <v>0.9</v>
      </c>
      <c r="V420">
        <v>0.4</v>
      </c>
      <c r="W420">
        <v>0.8</v>
      </c>
      <c r="X420">
        <v>1.6</v>
      </c>
      <c r="Y420">
        <v>5.8</v>
      </c>
      <c r="AP420">
        <v>2.2999999999999998</v>
      </c>
      <c r="AQ420">
        <v>4.9000000000000004</v>
      </c>
      <c r="AR420">
        <v>0.6</v>
      </c>
      <c r="AS420">
        <v>2.1</v>
      </c>
      <c r="AT420">
        <v>0.7</v>
      </c>
      <c r="AU420">
        <v>1</v>
      </c>
      <c r="AV420">
        <v>3.6</v>
      </c>
      <c r="AW420">
        <v>1.4</v>
      </c>
      <c r="AX420">
        <v>5.8</v>
      </c>
    </row>
    <row r="421" spans="1:50" x14ac:dyDescent="0.2">
      <c r="A421" s="1" t="s">
        <v>405</v>
      </c>
      <c r="B421" s="1" t="s">
        <v>31</v>
      </c>
      <c r="C421">
        <v>28</v>
      </c>
      <c r="D421" s="1" t="s">
        <v>62</v>
      </c>
      <c r="E421">
        <v>29</v>
      </c>
      <c r="F421">
        <v>0</v>
      </c>
      <c r="G421">
        <v>16.3</v>
      </c>
      <c r="H421">
        <v>1.9</v>
      </c>
      <c r="I421">
        <v>4.5</v>
      </c>
      <c r="J421">
        <v>0.43099999999999999</v>
      </c>
      <c r="K421">
        <v>1.2</v>
      </c>
      <c r="L421">
        <v>3.1</v>
      </c>
      <c r="M421">
        <v>0.4</v>
      </c>
      <c r="N421">
        <v>0.7</v>
      </c>
      <c r="O421">
        <v>0.9</v>
      </c>
      <c r="P421">
        <v>0.84</v>
      </c>
      <c r="Q421">
        <v>0.6</v>
      </c>
      <c r="R421">
        <v>1.4</v>
      </c>
      <c r="S421">
        <v>2</v>
      </c>
      <c r="T421">
        <v>0.9</v>
      </c>
      <c r="U421">
        <v>2.1</v>
      </c>
      <c r="V421">
        <v>0.6</v>
      </c>
      <c r="W421">
        <v>1</v>
      </c>
      <c r="X421">
        <v>1.4</v>
      </c>
      <c r="Y421">
        <v>5.8</v>
      </c>
      <c r="AP421">
        <v>1.9</v>
      </c>
      <c r="AQ421">
        <v>4.5</v>
      </c>
      <c r="AR421">
        <v>1.2</v>
      </c>
      <c r="AS421">
        <v>3.1</v>
      </c>
      <c r="AT421">
        <v>0.7</v>
      </c>
      <c r="AU421">
        <v>0.9</v>
      </c>
      <c r="AV421">
        <v>2</v>
      </c>
      <c r="AW421">
        <v>0.9</v>
      </c>
      <c r="AX421">
        <v>5.8</v>
      </c>
    </row>
    <row r="422" spans="1:50" x14ac:dyDescent="0.2">
      <c r="A422" s="1" t="s">
        <v>406</v>
      </c>
      <c r="B422" s="1" t="s">
        <v>23</v>
      </c>
      <c r="C422">
        <v>29</v>
      </c>
      <c r="D422" s="1" t="s">
        <v>41</v>
      </c>
      <c r="E422">
        <v>59</v>
      </c>
      <c r="F422">
        <v>38</v>
      </c>
      <c r="G422">
        <v>22.3</v>
      </c>
      <c r="H422">
        <v>2.1</v>
      </c>
      <c r="I422">
        <v>4.7</v>
      </c>
      <c r="J422">
        <v>0.439</v>
      </c>
      <c r="K422">
        <v>1.2</v>
      </c>
      <c r="L422">
        <v>3.3</v>
      </c>
      <c r="M422">
        <v>0.36199999999999999</v>
      </c>
      <c r="N422">
        <v>0.5</v>
      </c>
      <c r="O422">
        <v>0.6</v>
      </c>
      <c r="P422">
        <v>0.71099999999999997</v>
      </c>
      <c r="Q422">
        <v>0.9</v>
      </c>
      <c r="R422">
        <v>3.3</v>
      </c>
      <c r="S422">
        <v>4.2</v>
      </c>
      <c r="T422">
        <v>1.5</v>
      </c>
      <c r="U422">
        <v>0.7</v>
      </c>
      <c r="V422">
        <v>0.4</v>
      </c>
      <c r="W422">
        <v>0.3</v>
      </c>
      <c r="X422">
        <v>1.5</v>
      </c>
      <c r="Y422">
        <v>5.8</v>
      </c>
      <c r="AP422">
        <v>2.1</v>
      </c>
      <c r="AQ422">
        <v>4.7</v>
      </c>
      <c r="AR422">
        <v>1.2</v>
      </c>
      <c r="AS422">
        <v>3.3</v>
      </c>
      <c r="AT422">
        <v>0.5</v>
      </c>
      <c r="AU422">
        <v>0.6</v>
      </c>
      <c r="AV422">
        <v>4.2</v>
      </c>
      <c r="AW422">
        <v>1.5</v>
      </c>
      <c r="AX422">
        <v>5.8</v>
      </c>
    </row>
    <row r="423" spans="1:50" x14ac:dyDescent="0.2">
      <c r="A423" s="1" t="s">
        <v>407</v>
      </c>
      <c r="B423" s="1" t="s">
        <v>23</v>
      </c>
      <c r="C423">
        <v>33</v>
      </c>
      <c r="D423" s="1" t="s">
        <v>113</v>
      </c>
      <c r="E423">
        <v>54</v>
      </c>
      <c r="F423">
        <v>7</v>
      </c>
      <c r="G423">
        <v>17.100000000000001</v>
      </c>
      <c r="H423">
        <v>2.4</v>
      </c>
      <c r="I423">
        <v>3.9</v>
      </c>
      <c r="J423">
        <v>0.62</v>
      </c>
      <c r="K423">
        <v>0.3</v>
      </c>
      <c r="L423">
        <v>0.8</v>
      </c>
      <c r="M423">
        <v>0.33300000000000002</v>
      </c>
      <c r="N423">
        <v>0.6</v>
      </c>
      <c r="O423">
        <v>0.9</v>
      </c>
      <c r="P423">
        <v>0.73899999999999999</v>
      </c>
      <c r="Q423">
        <v>1.1000000000000001</v>
      </c>
      <c r="R423">
        <v>1.8</v>
      </c>
      <c r="S423">
        <v>2.8</v>
      </c>
      <c r="T423">
        <v>1.3</v>
      </c>
      <c r="U423">
        <v>0.6</v>
      </c>
      <c r="V423">
        <v>0.4</v>
      </c>
      <c r="W423">
        <v>0.6</v>
      </c>
      <c r="X423">
        <v>1.6</v>
      </c>
      <c r="Y423">
        <v>5.7</v>
      </c>
      <c r="AP423">
        <v>2.4</v>
      </c>
      <c r="AQ423">
        <v>3.9</v>
      </c>
      <c r="AR423">
        <v>0.3</v>
      </c>
      <c r="AS423">
        <v>0.8</v>
      </c>
      <c r="AT423">
        <v>0.6</v>
      </c>
      <c r="AU423">
        <v>0.9</v>
      </c>
      <c r="AV423">
        <v>2.8</v>
      </c>
      <c r="AW423">
        <v>1.3</v>
      </c>
      <c r="AX423">
        <v>5.7</v>
      </c>
    </row>
    <row r="424" spans="1:50" x14ac:dyDescent="0.2">
      <c r="A424" s="1" t="s">
        <v>408</v>
      </c>
      <c r="B424" s="1" t="s">
        <v>23</v>
      </c>
      <c r="C424">
        <v>24</v>
      </c>
      <c r="D424" s="1" t="s">
        <v>81</v>
      </c>
      <c r="E424">
        <v>62</v>
      </c>
      <c r="F424">
        <v>2</v>
      </c>
      <c r="G424">
        <v>14.7</v>
      </c>
      <c r="H424">
        <v>2.2999999999999998</v>
      </c>
      <c r="I424">
        <v>3.8</v>
      </c>
      <c r="J424">
        <v>0.60399999999999998</v>
      </c>
      <c r="K424">
        <v>0.6</v>
      </c>
      <c r="L424">
        <v>1.5</v>
      </c>
      <c r="M424">
        <v>0.42199999999999999</v>
      </c>
      <c r="N424">
        <v>0.5</v>
      </c>
      <c r="O424">
        <v>0.7</v>
      </c>
      <c r="P424">
        <v>0.73199999999999998</v>
      </c>
      <c r="Q424">
        <v>1.2</v>
      </c>
      <c r="R424">
        <v>2.5</v>
      </c>
      <c r="S424">
        <v>3.7</v>
      </c>
      <c r="T424">
        <v>0.8</v>
      </c>
      <c r="U424">
        <v>0.4</v>
      </c>
      <c r="V424">
        <v>0.9</v>
      </c>
      <c r="W424">
        <v>0.5</v>
      </c>
      <c r="X424">
        <v>1.7</v>
      </c>
      <c r="Y424">
        <v>5.7</v>
      </c>
      <c r="AP424">
        <v>2.2999999999999998</v>
      </c>
      <c r="AQ424">
        <v>3.8</v>
      </c>
      <c r="AR424">
        <v>0.6</v>
      </c>
      <c r="AS424">
        <v>1.5</v>
      </c>
      <c r="AT424">
        <v>0.5</v>
      </c>
      <c r="AU424">
        <v>0.7</v>
      </c>
      <c r="AV424">
        <v>3.7</v>
      </c>
      <c r="AW424">
        <v>0.8</v>
      </c>
      <c r="AX424">
        <v>5.7</v>
      </c>
    </row>
    <row r="425" spans="1:50" x14ac:dyDescent="0.2">
      <c r="A425" s="1" t="s">
        <v>409</v>
      </c>
      <c r="B425" s="1" t="s">
        <v>43</v>
      </c>
      <c r="C425">
        <v>21</v>
      </c>
      <c r="D425" s="1" t="s">
        <v>81</v>
      </c>
      <c r="E425">
        <v>66</v>
      </c>
      <c r="F425">
        <v>14</v>
      </c>
      <c r="G425">
        <v>19.7</v>
      </c>
      <c r="H425">
        <v>2.4</v>
      </c>
      <c r="I425">
        <v>4.5</v>
      </c>
      <c r="J425">
        <v>0.54400000000000004</v>
      </c>
      <c r="K425">
        <v>0</v>
      </c>
      <c r="L425">
        <v>0</v>
      </c>
      <c r="M425">
        <v>0</v>
      </c>
      <c r="N425">
        <v>0.9</v>
      </c>
      <c r="O425">
        <v>1.5</v>
      </c>
      <c r="P425">
        <v>0.55900000000000005</v>
      </c>
      <c r="Q425">
        <v>2.8</v>
      </c>
      <c r="R425">
        <v>3.1</v>
      </c>
      <c r="S425">
        <v>5.8</v>
      </c>
      <c r="T425">
        <v>1.3</v>
      </c>
      <c r="U425">
        <v>0.3</v>
      </c>
      <c r="V425">
        <v>1.5</v>
      </c>
      <c r="W425">
        <v>0.8</v>
      </c>
      <c r="X425">
        <v>1.7</v>
      </c>
      <c r="Y425">
        <v>5.7</v>
      </c>
      <c r="AP425">
        <v>2.4</v>
      </c>
      <c r="AQ425">
        <v>4.5</v>
      </c>
      <c r="AR425">
        <v>0</v>
      </c>
      <c r="AS425">
        <v>0</v>
      </c>
      <c r="AT425">
        <v>0.9</v>
      </c>
      <c r="AU425">
        <v>1.5</v>
      </c>
      <c r="AV425">
        <v>5.8</v>
      </c>
      <c r="AW425">
        <v>1.3</v>
      </c>
      <c r="AX425">
        <v>5.7</v>
      </c>
    </row>
    <row r="426" spans="1:50" x14ac:dyDescent="0.2">
      <c r="A426" s="1" t="s">
        <v>410</v>
      </c>
      <c r="B426" s="1" t="s">
        <v>43</v>
      </c>
      <c r="C426">
        <v>27</v>
      </c>
      <c r="D426" s="1" t="s">
        <v>55</v>
      </c>
      <c r="E426">
        <v>60</v>
      </c>
      <c r="F426">
        <v>16</v>
      </c>
      <c r="G426">
        <v>19.600000000000001</v>
      </c>
      <c r="H426">
        <v>2.5</v>
      </c>
      <c r="I426">
        <v>3.4</v>
      </c>
      <c r="J426">
        <v>0.72299999999999998</v>
      </c>
      <c r="K426">
        <v>0</v>
      </c>
      <c r="L426">
        <v>0</v>
      </c>
      <c r="N426">
        <v>0.7</v>
      </c>
      <c r="O426">
        <v>1.7</v>
      </c>
      <c r="P426">
        <v>0.40799999999999997</v>
      </c>
      <c r="Q426">
        <v>4.2</v>
      </c>
      <c r="R426">
        <v>4.5999999999999996</v>
      </c>
      <c r="S426">
        <v>8.8000000000000007</v>
      </c>
      <c r="T426">
        <v>0.9</v>
      </c>
      <c r="U426">
        <v>0.9</v>
      </c>
      <c r="V426">
        <v>1.2</v>
      </c>
      <c r="W426">
        <v>0.7</v>
      </c>
      <c r="X426">
        <v>2.1</v>
      </c>
      <c r="Y426">
        <v>5.7</v>
      </c>
      <c r="AP426">
        <v>2.5</v>
      </c>
      <c r="AQ426">
        <v>3.4</v>
      </c>
      <c r="AR426">
        <v>0</v>
      </c>
      <c r="AS426">
        <v>0</v>
      </c>
      <c r="AT426">
        <v>0.7</v>
      </c>
      <c r="AU426">
        <v>1.7</v>
      </c>
      <c r="AV426">
        <v>8.8000000000000007</v>
      </c>
      <c r="AW426">
        <v>0.9</v>
      </c>
      <c r="AX426">
        <v>5.7</v>
      </c>
    </row>
    <row r="427" spans="1:50" x14ac:dyDescent="0.2">
      <c r="A427" s="1" t="s">
        <v>411</v>
      </c>
      <c r="B427" s="1" t="s">
        <v>43</v>
      </c>
      <c r="C427">
        <v>30</v>
      </c>
      <c r="D427" s="1" t="s">
        <v>70</v>
      </c>
      <c r="E427">
        <v>67</v>
      </c>
      <c r="F427">
        <v>19</v>
      </c>
      <c r="G427">
        <v>15</v>
      </c>
      <c r="H427">
        <v>1.9</v>
      </c>
      <c r="I427">
        <v>4.7</v>
      </c>
      <c r="J427">
        <v>0.40100000000000002</v>
      </c>
      <c r="K427">
        <v>1</v>
      </c>
      <c r="L427">
        <v>2.9</v>
      </c>
      <c r="M427">
        <v>0.35199999999999998</v>
      </c>
      <c r="N427">
        <v>0.8</v>
      </c>
      <c r="O427">
        <v>1.1000000000000001</v>
      </c>
      <c r="P427">
        <v>0.75</v>
      </c>
      <c r="Q427">
        <v>0.8</v>
      </c>
      <c r="R427">
        <v>2.7</v>
      </c>
      <c r="S427">
        <v>3.5</v>
      </c>
      <c r="T427">
        <v>0.9</v>
      </c>
      <c r="U427">
        <v>0.4</v>
      </c>
      <c r="V427">
        <v>0.2</v>
      </c>
      <c r="W427">
        <v>0.6</v>
      </c>
      <c r="X427">
        <v>1.2</v>
      </c>
      <c r="Y427">
        <v>5.6</v>
      </c>
      <c r="AP427">
        <v>1.9</v>
      </c>
      <c r="AQ427">
        <v>4.7</v>
      </c>
      <c r="AR427">
        <v>1</v>
      </c>
      <c r="AS427">
        <v>2.9</v>
      </c>
      <c r="AT427">
        <v>0.8</v>
      </c>
      <c r="AU427">
        <v>1.1000000000000001</v>
      </c>
      <c r="AV427">
        <v>3.5</v>
      </c>
      <c r="AW427">
        <v>0.9</v>
      </c>
      <c r="AX427">
        <v>5.6</v>
      </c>
    </row>
    <row r="428" spans="1:50" x14ac:dyDescent="0.2">
      <c r="A428" s="1" t="s">
        <v>411</v>
      </c>
      <c r="B428" s="1" t="s">
        <v>43</v>
      </c>
      <c r="C428">
        <v>30</v>
      </c>
      <c r="D428" s="1" t="s">
        <v>55</v>
      </c>
      <c r="E428">
        <v>41</v>
      </c>
      <c r="F428">
        <v>0</v>
      </c>
      <c r="G428">
        <v>8.9</v>
      </c>
      <c r="H428">
        <v>1</v>
      </c>
      <c r="I428">
        <v>2.6</v>
      </c>
      <c r="J428">
        <v>0.39300000000000002</v>
      </c>
      <c r="K428">
        <v>0.5</v>
      </c>
      <c r="L428">
        <v>1.7</v>
      </c>
      <c r="M428">
        <v>0.29399999999999998</v>
      </c>
      <c r="N428">
        <v>0.2</v>
      </c>
      <c r="O428">
        <v>0.3</v>
      </c>
      <c r="P428">
        <v>0.66700000000000004</v>
      </c>
      <c r="Q428">
        <v>0.6</v>
      </c>
      <c r="R428">
        <v>1.5</v>
      </c>
      <c r="S428">
        <v>2.1</v>
      </c>
      <c r="T428">
        <v>0.4</v>
      </c>
      <c r="U428">
        <v>0.1</v>
      </c>
      <c r="V428">
        <v>0.1</v>
      </c>
      <c r="W428">
        <v>0.4</v>
      </c>
      <c r="X428">
        <v>0.9</v>
      </c>
      <c r="Y428">
        <v>2.7</v>
      </c>
      <c r="AP428">
        <v>1</v>
      </c>
      <c r="AQ428">
        <v>2.6</v>
      </c>
      <c r="AR428">
        <v>0.5</v>
      </c>
      <c r="AS428">
        <v>1.7</v>
      </c>
      <c r="AT428">
        <v>0.2</v>
      </c>
      <c r="AU428">
        <v>0.3</v>
      </c>
      <c r="AV428">
        <v>2.1</v>
      </c>
      <c r="AW428">
        <v>0.4</v>
      </c>
      <c r="AX428">
        <v>2.7</v>
      </c>
    </row>
    <row r="429" spans="1:50" x14ac:dyDescent="0.2">
      <c r="A429" s="1" t="s">
        <v>411</v>
      </c>
      <c r="B429" s="1" t="s">
        <v>43</v>
      </c>
      <c r="C429">
        <v>30</v>
      </c>
      <c r="D429" s="1" t="s">
        <v>128</v>
      </c>
      <c r="E429">
        <v>26</v>
      </c>
      <c r="F429">
        <v>19</v>
      </c>
      <c r="G429">
        <v>24.7</v>
      </c>
      <c r="H429">
        <v>3.2</v>
      </c>
      <c r="I429">
        <v>7.9</v>
      </c>
      <c r="J429">
        <v>0.40500000000000003</v>
      </c>
      <c r="K429">
        <v>1.9</v>
      </c>
      <c r="L429">
        <v>4.9000000000000004</v>
      </c>
      <c r="M429">
        <v>0.38300000000000001</v>
      </c>
      <c r="N429">
        <v>1.8</v>
      </c>
      <c r="O429">
        <v>2.2999999999999998</v>
      </c>
      <c r="P429">
        <v>0.76700000000000002</v>
      </c>
      <c r="Q429">
        <v>1.2</v>
      </c>
      <c r="R429">
        <v>4.4000000000000004</v>
      </c>
      <c r="S429">
        <v>5.7</v>
      </c>
      <c r="T429">
        <v>1.7</v>
      </c>
      <c r="U429">
        <v>0.8</v>
      </c>
      <c r="V429">
        <v>0.4</v>
      </c>
      <c r="W429">
        <v>1</v>
      </c>
      <c r="X429">
        <v>1.7</v>
      </c>
      <c r="Y429">
        <v>10</v>
      </c>
      <c r="AP429">
        <v>3.2</v>
      </c>
      <c r="AQ429">
        <v>7.9</v>
      </c>
      <c r="AR429">
        <v>1.9</v>
      </c>
      <c r="AS429">
        <v>4.9000000000000004</v>
      </c>
      <c r="AT429">
        <v>1.8</v>
      </c>
      <c r="AU429">
        <v>2.2999999999999998</v>
      </c>
      <c r="AV429">
        <v>5.7</v>
      </c>
      <c r="AW429">
        <v>1.7</v>
      </c>
      <c r="AX429">
        <v>10</v>
      </c>
    </row>
    <row r="430" spans="1:50" x14ac:dyDescent="0.2">
      <c r="A430" s="1" t="s">
        <v>412</v>
      </c>
      <c r="B430" s="1" t="s">
        <v>23</v>
      </c>
      <c r="C430">
        <v>26</v>
      </c>
      <c r="D430" s="1" t="s">
        <v>70</v>
      </c>
      <c r="E430">
        <v>60</v>
      </c>
      <c r="F430">
        <v>9</v>
      </c>
      <c r="G430">
        <v>15.5</v>
      </c>
      <c r="H430">
        <v>2</v>
      </c>
      <c r="I430">
        <v>4.3</v>
      </c>
      <c r="J430">
        <v>0.46500000000000002</v>
      </c>
      <c r="K430">
        <v>0.8</v>
      </c>
      <c r="L430">
        <v>2.2000000000000002</v>
      </c>
      <c r="M430">
        <v>0.36399999999999999</v>
      </c>
      <c r="N430">
        <v>0.8</v>
      </c>
      <c r="O430">
        <v>0.9</v>
      </c>
      <c r="P430">
        <v>0.80400000000000005</v>
      </c>
      <c r="Q430">
        <v>1.1000000000000001</v>
      </c>
      <c r="R430">
        <v>1.9</v>
      </c>
      <c r="S430">
        <v>3</v>
      </c>
      <c r="T430">
        <v>1.3</v>
      </c>
      <c r="U430">
        <v>0.4</v>
      </c>
      <c r="V430">
        <v>0.2</v>
      </c>
      <c r="W430">
        <v>0.9</v>
      </c>
      <c r="X430">
        <v>1.1000000000000001</v>
      </c>
      <c r="Y430">
        <v>5.6</v>
      </c>
      <c r="AP430">
        <v>2</v>
      </c>
      <c r="AQ430">
        <v>4.3</v>
      </c>
      <c r="AR430">
        <v>0.8</v>
      </c>
      <c r="AS430">
        <v>2.2000000000000002</v>
      </c>
      <c r="AT430">
        <v>0.8</v>
      </c>
      <c r="AU430">
        <v>0.9</v>
      </c>
      <c r="AV430">
        <v>3</v>
      </c>
      <c r="AW430">
        <v>1.3</v>
      </c>
      <c r="AX430">
        <v>5.6</v>
      </c>
    </row>
    <row r="431" spans="1:50" x14ac:dyDescent="0.2">
      <c r="A431" s="1" t="s">
        <v>412</v>
      </c>
      <c r="B431" s="1" t="s">
        <v>23</v>
      </c>
      <c r="C431">
        <v>26</v>
      </c>
      <c r="D431" s="1" t="s">
        <v>39</v>
      </c>
      <c r="E431">
        <v>34</v>
      </c>
      <c r="F431">
        <v>0</v>
      </c>
      <c r="G431">
        <v>8.6999999999999993</v>
      </c>
      <c r="H431">
        <v>1</v>
      </c>
      <c r="I431">
        <v>2.5</v>
      </c>
      <c r="J431">
        <v>0.39300000000000002</v>
      </c>
      <c r="K431">
        <v>0.4</v>
      </c>
      <c r="L431">
        <v>1.4</v>
      </c>
      <c r="M431">
        <v>0.26500000000000001</v>
      </c>
      <c r="N431">
        <v>0.6</v>
      </c>
      <c r="O431">
        <v>0.8</v>
      </c>
      <c r="P431">
        <v>0.80800000000000005</v>
      </c>
      <c r="Q431">
        <v>0.5</v>
      </c>
      <c r="R431">
        <v>1</v>
      </c>
      <c r="S431">
        <v>1.6</v>
      </c>
      <c r="T431">
        <v>0.8</v>
      </c>
      <c r="U431">
        <v>0.3</v>
      </c>
      <c r="V431">
        <v>0.1</v>
      </c>
      <c r="W431">
        <v>0.4</v>
      </c>
      <c r="X431">
        <v>0.5</v>
      </c>
      <c r="Y431">
        <v>2.9</v>
      </c>
      <c r="AP431">
        <v>1</v>
      </c>
      <c r="AQ431">
        <v>2.5</v>
      </c>
      <c r="AR431">
        <v>0.4</v>
      </c>
      <c r="AS431">
        <v>1.4</v>
      </c>
      <c r="AT431">
        <v>0.6</v>
      </c>
      <c r="AU431">
        <v>0.8</v>
      </c>
      <c r="AV431">
        <v>1.6</v>
      </c>
      <c r="AW431">
        <v>0.8</v>
      </c>
      <c r="AX431">
        <v>2.9</v>
      </c>
    </row>
    <row r="432" spans="1:50" x14ac:dyDescent="0.2">
      <c r="A432" s="1" t="s">
        <v>412</v>
      </c>
      <c r="B432" s="1" t="s">
        <v>23</v>
      </c>
      <c r="C432">
        <v>26</v>
      </c>
      <c r="D432" s="1" t="s">
        <v>68</v>
      </c>
      <c r="E432">
        <v>26</v>
      </c>
      <c r="F432">
        <v>9</v>
      </c>
      <c r="G432">
        <v>24.3</v>
      </c>
      <c r="H432">
        <v>3.3</v>
      </c>
      <c r="I432">
        <v>6.7</v>
      </c>
      <c r="J432">
        <v>0.5</v>
      </c>
      <c r="K432">
        <v>1.3</v>
      </c>
      <c r="L432">
        <v>3.2</v>
      </c>
      <c r="M432">
        <v>0.42199999999999999</v>
      </c>
      <c r="N432">
        <v>0.9</v>
      </c>
      <c r="O432">
        <v>1.2</v>
      </c>
      <c r="P432">
        <v>0.8</v>
      </c>
      <c r="Q432">
        <v>1.8</v>
      </c>
      <c r="R432">
        <v>3</v>
      </c>
      <c r="S432">
        <v>4.8</v>
      </c>
      <c r="T432">
        <v>2</v>
      </c>
      <c r="U432">
        <v>0.5</v>
      </c>
      <c r="V432">
        <v>0.4</v>
      </c>
      <c r="W432">
        <v>1.4</v>
      </c>
      <c r="X432">
        <v>2</v>
      </c>
      <c r="Y432">
        <v>9</v>
      </c>
      <c r="AP432">
        <v>3.3</v>
      </c>
      <c r="AQ432">
        <v>6.7</v>
      </c>
      <c r="AR432">
        <v>1.3</v>
      </c>
      <c r="AS432">
        <v>3.2</v>
      </c>
      <c r="AT432">
        <v>0.9</v>
      </c>
      <c r="AU432">
        <v>1.2</v>
      </c>
      <c r="AV432">
        <v>4.8</v>
      </c>
      <c r="AW432">
        <v>2</v>
      </c>
      <c r="AX432">
        <v>9</v>
      </c>
    </row>
    <row r="433" spans="1:50" x14ac:dyDescent="0.2">
      <c r="A433" s="1" t="s">
        <v>413</v>
      </c>
      <c r="B433" s="1" t="s">
        <v>34</v>
      </c>
      <c r="C433">
        <v>23</v>
      </c>
      <c r="D433" s="1" t="s">
        <v>53</v>
      </c>
      <c r="E433">
        <v>69</v>
      </c>
      <c r="F433">
        <v>15</v>
      </c>
      <c r="G433">
        <v>19.3</v>
      </c>
      <c r="H433">
        <v>2.2999999999999998</v>
      </c>
      <c r="I433">
        <v>5.0999999999999996</v>
      </c>
      <c r="J433">
        <v>0.44400000000000001</v>
      </c>
      <c r="K433">
        <v>0.8</v>
      </c>
      <c r="L433">
        <v>2.4</v>
      </c>
      <c r="M433">
        <v>0.32500000000000001</v>
      </c>
      <c r="N433">
        <v>0.3</v>
      </c>
      <c r="O433">
        <v>0.6</v>
      </c>
      <c r="P433">
        <v>0.47699999999999998</v>
      </c>
      <c r="Q433">
        <v>1.4</v>
      </c>
      <c r="R433">
        <v>2.7</v>
      </c>
      <c r="S433">
        <v>4.0999999999999996</v>
      </c>
      <c r="T433">
        <v>1.4</v>
      </c>
      <c r="U433">
        <v>0.9</v>
      </c>
      <c r="V433">
        <v>0.4</v>
      </c>
      <c r="W433">
        <v>0.8</v>
      </c>
      <c r="X433">
        <v>1.9</v>
      </c>
      <c r="Y433">
        <v>5.6</v>
      </c>
      <c r="AP433">
        <v>2.2999999999999998</v>
      </c>
      <c r="AQ433">
        <v>5.0999999999999996</v>
      </c>
      <c r="AR433">
        <v>0.8</v>
      </c>
      <c r="AS433">
        <v>2.4</v>
      </c>
      <c r="AT433">
        <v>0.3</v>
      </c>
      <c r="AU433">
        <v>0.6</v>
      </c>
      <c r="AV433">
        <v>4.0999999999999996</v>
      </c>
      <c r="AW433">
        <v>1.4</v>
      </c>
      <c r="AX433">
        <v>5.6</v>
      </c>
    </row>
    <row r="434" spans="1:50" x14ac:dyDescent="0.2">
      <c r="A434" s="1" t="s">
        <v>414</v>
      </c>
      <c r="B434" s="1" t="s">
        <v>26</v>
      </c>
      <c r="C434">
        <v>24</v>
      </c>
      <c r="D434" s="1" t="s">
        <v>98</v>
      </c>
      <c r="E434">
        <v>52</v>
      </c>
      <c r="F434">
        <v>1</v>
      </c>
      <c r="G434">
        <v>12.8</v>
      </c>
      <c r="H434">
        <v>2.1</v>
      </c>
      <c r="I434">
        <v>5.8</v>
      </c>
      <c r="J434">
        <v>0.36099999999999999</v>
      </c>
      <c r="K434">
        <v>1</v>
      </c>
      <c r="L434">
        <v>3</v>
      </c>
      <c r="M434">
        <v>0.32300000000000001</v>
      </c>
      <c r="N434">
        <v>0.4</v>
      </c>
      <c r="O434">
        <v>0.5</v>
      </c>
      <c r="P434">
        <v>0.85199999999999998</v>
      </c>
      <c r="Q434">
        <v>0.4</v>
      </c>
      <c r="R434">
        <v>1.4</v>
      </c>
      <c r="S434">
        <v>1.8</v>
      </c>
      <c r="T434">
        <v>1.7</v>
      </c>
      <c r="U434">
        <v>0.5</v>
      </c>
      <c r="V434">
        <v>0.1</v>
      </c>
      <c r="W434">
        <v>1</v>
      </c>
      <c r="X434">
        <v>1.3</v>
      </c>
      <c r="Y434">
        <v>5.6</v>
      </c>
      <c r="AP434">
        <v>2.1</v>
      </c>
      <c r="AQ434">
        <v>5.8</v>
      </c>
      <c r="AR434">
        <v>1</v>
      </c>
      <c r="AS434">
        <v>3</v>
      </c>
      <c r="AT434">
        <v>0.4</v>
      </c>
      <c r="AU434">
        <v>0.5</v>
      </c>
      <c r="AV434">
        <v>1.8</v>
      </c>
      <c r="AW434">
        <v>1.7</v>
      </c>
      <c r="AX434">
        <v>5.6</v>
      </c>
    </row>
    <row r="435" spans="1:50" x14ac:dyDescent="0.2">
      <c r="A435" s="1" t="s">
        <v>415</v>
      </c>
      <c r="B435" s="1" t="s">
        <v>34</v>
      </c>
      <c r="C435">
        <v>34</v>
      </c>
      <c r="D435" s="1" t="s">
        <v>109</v>
      </c>
      <c r="E435">
        <v>28</v>
      </c>
      <c r="F435">
        <v>0</v>
      </c>
      <c r="G435">
        <v>14.8</v>
      </c>
      <c r="H435">
        <v>1.9</v>
      </c>
      <c r="I435">
        <v>4.8</v>
      </c>
      <c r="J435">
        <v>0.38800000000000001</v>
      </c>
      <c r="K435">
        <v>1.6</v>
      </c>
      <c r="L435">
        <v>4.3</v>
      </c>
      <c r="M435">
        <v>0.38700000000000001</v>
      </c>
      <c r="N435">
        <v>0.3</v>
      </c>
      <c r="O435">
        <v>0.3</v>
      </c>
      <c r="P435">
        <v>1</v>
      </c>
      <c r="Q435">
        <v>0.3</v>
      </c>
      <c r="R435">
        <v>1</v>
      </c>
      <c r="S435">
        <v>1.2</v>
      </c>
      <c r="T435">
        <v>0.8</v>
      </c>
      <c r="U435">
        <v>0.2</v>
      </c>
      <c r="V435">
        <v>0.1</v>
      </c>
      <c r="W435">
        <v>0.5</v>
      </c>
      <c r="X435">
        <v>0.9</v>
      </c>
      <c r="Y435">
        <v>5.6</v>
      </c>
      <c r="AP435">
        <v>1.9</v>
      </c>
      <c r="AQ435">
        <v>4.8</v>
      </c>
      <c r="AR435">
        <v>1.6</v>
      </c>
      <c r="AS435">
        <v>4.3</v>
      </c>
      <c r="AT435">
        <v>0.3</v>
      </c>
      <c r="AU435">
        <v>0.3</v>
      </c>
      <c r="AV435">
        <v>1.2</v>
      </c>
      <c r="AW435">
        <v>0.8</v>
      </c>
      <c r="AX435">
        <v>5.6</v>
      </c>
    </row>
    <row r="436" spans="1:50" x14ac:dyDescent="0.2">
      <c r="A436" s="1" t="s">
        <v>416</v>
      </c>
      <c r="B436" s="1" t="s">
        <v>31</v>
      </c>
      <c r="C436">
        <v>28</v>
      </c>
      <c r="D436" s="1" t="s">
        <v>79</v>
      </c>
      <c r="E436">
        <v>70</v>
      </c>
      <c r="F436">
        <v>1</v>
      </c>
      <c r="G436">
        <v>16.3</v>
      </c>
      <c r="H436">
        <v>1.9</v>
      </c>
      <c r="I436">
        <v>4.5999999999999996</v>
      </c>
      <c r="J436">
        <v>0.41499999999999998</v>
      </c>
      <c r="K436">
        <v>0.5</v>
      </c>
      <c r="L436">
        <v>1.8</v>
      </c>
      <c r="M436">
        <v>0.29499999999999998</v>
      </c>
      <c r="N436">
        <v>1.2</v>
      </c>
      <c r="O436">
        <v>1.5</v>
      </c>
      <c r="P436">
        <v>0.82899999999999996</v>
      </c>
      <c r="Q436">
        <v>0.9</v>
      </c>
      <c r="R436">
        <v>1.6</v>
      </c>
      <c r="S436">
        <v>2.5</v>
      </c>
      <c r="T436">
        <v>2.6</v>
      </c>
      <c r="U436">
        <v>1.4</v>
      </c>
      <c r="V436">
        <v>0.3</v>
      </c>
      <c r="W436">
        <v>0.8</v>
      </c>
      <c r="X436">
        <v>1.6</v>
      </c>
      <c r="Y436">
        <v>5.6</v>
      </c>
      <c r="AP436">
        <v>1.9</v>
      </c>
      <c r="AQ436">
        <v>4.5999999999999996</v>
      </c>
      <c r="AR436">
        <v>0.5</v>
      </c>
      <c r="AS436">
        <v>1.8</v>
      </c>
      <c r="AT436">
        <v>1.2</v>
      </c>
      <c r="AU436">
        <v>1.5</v>
      </c>
      <c r="AV436">
        <v>2.5</v>
      </c>
      <c r="AW436">
        <v>2.6</v>
      </c>
      <c r="AX436">
        <v>5.6</v>
      </c>
    </row>
    <row r="437" spans="1:50" x14ac:dyDescent="0.2">
      <c r="A437" s="1" t="s">
        <v>417</v>
      </c>
      <c r="B437" s="1" t="s">
        <v>34</v>
      </c>
      <c r="C437">
        <v>26</v>
      </c>
      <c r="D437" s="1" t="s">
        <v>76</v>
      </c>
      <c r="E437">
        <v>39</v>
      </c>
      <c r="F437">
        <v>1</v>
      </c>
      <c r="G437">
        <v>12.1</v>
      </c>
      <c r="H437">
        <v>1.9</v>
      </c>
      <c r="I437">
        <v>3.9</v>
      </c>
      <c r="J437">
        <v>0.49</v>
      </c>
      <c r="K437">
        <v>0.7</v>
      </c>
      <c r="L437">
        <v>1.8</v>
      </c>
      <c r="M437">
        <v>0.38900000000000001</v>
      </c>
      <c r="N437">
        <v>0.9</v>
      </c>
      <c r="O437">
        <v>1.1000000000000001</v>
      </c>
      <c r="P437">
        <v>0.84099999999999997</v>
      </c>
      <c r="Q437">
        <v>0.7</v>
      </c>
      <c r="R437">
        <v>1.3</v>
      </c>
      <c r="S437">
        <v>1.9</v>
      </c>
      <c r="T437">
        <v>0.7</v>
      </c>
      <c r="U437">
        <v>0.3</v>
      </c>
      <c r="V437">
        <v>0.1</v>
      </c>
      <c r="W437">
        <v>0.5</v>
      </c>
      <c r="X437">
        <v>1.3</v>
      </c>
      <c r="Y437">
        <v>5.5</v>
      </c>
      <c r="AP437">
        <v>1.9</v>
      </c>
      <c r="AQ437">
        <v>3.9</v>
      </c>
      <c r="AR437">
        <v>0.7</v>
      </c>
      <c r="AS437">
        <v>1.8</v>
      </c>
      <c r="AT437">
        <v>0.9</v>
      </c>
      <c r="AU437">
        <v>1.1000000000000001</v>
      </c>
      <c r="AV437">
        <v>1.9</v>
      </c>
      <c r="AW437">
        <v>0.7</v>
      </c>
      <c r="AX437">
        <v>5.5</v>
      </c>
    </row>
    <row r="438" spans="1:50" x14ac:dyDescent="0.2">
      <c r="A438" s="1" t="s">
        <v>418</v>
      </c>
      <c r="B438" s="1" t="s">
        <v>34</v>
      </c>
      <c r="C438">
        <v>22</v>
      </c>
      <c r="D438" s="1" t="s">
        <v>76</v>
      </c>
      <c r="E438">
        <v>55</v>
      </c>
      <c r="F438">
        <v>0</v>
      </c>
      <c r="G438">
        <v>12.6</v>
      </c>
      <c r="H438">
        <v>1.9</v>
      </c>
      <c r="I438">
        <v>4.5999999999999996</v>
      </c>
      <c r="J438">
        <v>0.41799999999999998</v>
      </c>
      <c r="K438">
        <v>1</v>
      </c>
      <c r="L438">
        <v>2.6</v>
      </c>
      <c r="M438">
        <v>0.372</v>
      </c>
      <c r="N438">
        <v>0.7</v>
      </c>
      <c r="O438">
        <v>0.7</v>
      </c>
      <c r="P438">
        <v>0.94899999999999995</v>
      </c>
      <c r="Q438">
        <v>0.4</v>
      </c>
      <c r="R438">
        <v>1.2</v>
      </c>
      <c r="S438">
        <v>1.6</v>
      </c>
      <c r="T438">
        <v>0.8</v>
      </c>
      <c r="U438">
        <v>0.2</v>
      </c>
      <c r="V438">
        <v>0.2</v>
      </c>
      <c r="W438">
        <v>0.3</v>
      </c>
      <c r="X438">
        <v>1.2</v>
      </c>
      <c r="Y438">
        <v>5.5</v>
      </c>
      <c r="AP438">
        <v>1.9</v>
      </c>
      <c r="AQ438">
        <v>4.5999999999999996</v>
      </c>
      <c r="AR438">
        <v>1</v>
      </c>
      <c r="AS438">
        <v>2.6</v>
      </c>
      <c r="AT438">
        <v>0.7</v>
      </c>
      <c r="AU438">
        <v>0.7</v>
      </c>
      <c r="AV438">
        <v>1.6</v>
      </c>
      <c r="AW438">
        <v>0.8</v>
      </c>
      <c r="AX438">
        <v>5.5</v>
      </c>
    </row>
    <row r="439" spans="1:50" x14ac:dyDescent="0.2">
      <c r="A439" s="1" t="s">
        <v>419</v>
      </c>
      <c r="B439" s="1" t="s">
        <v>34</v>
      </c>
      <c r="C439">
        <v>24</v>
      </c>
      <c r="D439" s="1" t="s">
        <v>44</v>
      </c>
      <c r="E439">
        <v>64</v>
      </c>
      <c r="F439">
        <v>37</v>
      </c>
      <c r="G439">
        <v>22.1</v>
      </c>
      <c r="H439">
        <v>2.1</v>
      </c>
      <c r="I439">
        <v>4.0999999999999996</v>
      </c>
      <c r="J439">
        <v>0.504</v>
      </c>
      <c r="K439">
        <v>0.9</v>
      </c>
      <c r="L439">
        <v>2.2999999999999998</v>
      </c>
      <c r="M439">
        <v>0.39600000000000002</v>
      </c>
      <c r="N439">
        <v>0.5</v>
      </c>
      <c r="O439">
        <v>0.8</v>
      </c>
      <c r="P439">
        <v>0.60799999999999998</v>
      </c>
      <c r="Q439">
        <v>1.2</v>
      </c>
      <c r="R439">
        <v>2.1</v>
      </c>
      <c r="S439">
        <v>3.3</v>
      </c>
      <c r="T439">
        <v>0.8</v>
      </c>
      <c r="U439">
        <v>0.8</v>
      </c>
      <c r="V439">
        <v>0.5</v>
      </c>
      <c r="W439">
        <v>0.5</v>
      </c>
      <c r="X439">
        <v>2.7</v>
      </c>
      <c r="Y439">
        <v>5.5</v>
      </c>
      <c r="AP439">
        <v>2.1</v>
      </c>
      <c r="AQ439">
        <v>4.0999999999999996</v>
      </c>
      <c r="AR439">
        <v>0.9</v>
      </c>
      <c r="AS439">
        <v>2.2999999999999998</v>
      </c>
      <c r="AT439">
        <v>0.5</v>
      </c>
      <c r="AU439">
        <v>0.8</v>
      </c>
      <c r="AV439">
        <v>3.3</v>
      </c>
      <c r="AW439">
        <v>0.8</v>
      </c>
      <c r="AX439">
        <v>5.5</v>
      </c>
    </row>
    <row r="440" spans="1:50" x14ac:dyDescent="0.2">
      <c r="A440" s="1" t="s">
        <v>420</v>
      </c>
      <c r="B440" s="1" t="s">
        <v>23</v>
      </c>
      <c r="C440">
        <v>25</v>
      </c>
      <c r="D440" s="1" t="s">
        <v>41</v>
      </c>
      <c r="E440">
        <v>63</v>
      </c>
      <c r="F440">
        <v>2</v>
      </c>
      <c r="G440">
        <v>15.3</v>
      </c>
      <c r="H440">
        <v>2.2000000000000002</v>
      </c>
      <c r="I440">
        <v>4.7</v>
      </c>
      <c r="J440">
        <v>0.47299999999999998</v>
      </c>
      <c r="K440">
        <v>0.4</v>
      </c>
      <c r="L440">
        <v>1.7</v>
      </c>
      <c r="M440">
        <v>0.215</v>
      </c>
      <c r="N440">
        <v>0.7</v>
      </c>
      <c r="O440">
        <v>0.9</v>
      </c>
      <c r="P440">
        <v>0.754</v>
      </c>
      <c r="Q440">
        <v>1.3</v>
      </c>
      <c r="R440">
        <v>1.6</v>
      </c>
      <c r="S440">
        <v>2.8</v>
      </c>
      <c r="T440">
        <v>0.8</v>
      </c>
      <c r="U440">
        <v>0.7</v>
      </c>
      <c r="V440">
        <v>0.5</v>
      </c>
      <c r="W440">
        <v>0.4</v>
      </c>
      <c r="X440">
        <v>2</v>
      </c>
      <c r="Y440">
        <v>5.5</v>
      </c>
      <c r="AP440">
        <v>2.2000000000000002</v>
      </c>
      <c r="AQ440">
        <v>4.7</v>
      </c>
      <c r="AR440">
        <v>0.4</v>
      </c>
      <c r="AS440">
        <v>1.7</v>
      </c>
      <c r="AT440">
        <v>0.7</v>
      </c>
      <c r="AU440">
        <v>0.9</v>
      </c>
      <c r="AV440">
        <v>2.8</v>
      </c>
      <c r="AW440">
        <v>0.8</v>
      </c>
      <c r="AX440">
        <v>5.5</v>
      </c>
    </row>
    <row r="441" spans="1:50" x14ac:dyDescent="0.2">
      <c r="A441" s="1" t="s">
        <v>421</v>
      </c>
      <c r="B441" s="1" t="s">
        <v>31</v>
      </c>
      <c r="C441">
        <v>27</v>
      </c>
      <c r="D441" s="1" t="s">
        <v>70</v>
      </c>
      <c r="E441">
        <v>10</v>
      </c>
      <c r="F441">
        <v>0</v>
      </c>
      <c r="G441">
        <v>11.7</v>
      </c>
      <c r="H441">
        <v>1.9</v>
      </c>
      <c r="I441">
        <v>5.2</v>
      </c>
      <c r="J441">
        <v>0.36499999999999999</v>
      </c>
      <c r="K441">
        <v>0.5</v>
      </c>
      <c r="L441">
        <v>2.6</v>
      </c>
      <c r="M441">
        <v>0.192</v>
      </c>
      <c r="N441">
        <v>1.1000000000000001</v>
      </c>
      <c r="O441">
        <v>1.4</v>
      </c>
      <c r="P441">
        <v>0.78600000000000003</v>
      </c>
      <c r="Q441">
        <v>0.2</v>
      </c>
      <c r="R441">
        <v>0.8</v>
      </c>
      <c r="S441">
        <v>1</v>
      </c>
      <c r="T441">
        <v>1</v>
      </c>
      <c r="U441">
        <v>1</v>
      </c>
      <c r="V441">
        <v>0.3</v>
      </c>
      <c r="W441">
        <v>0.9</v>
      </c>
      <c r="X441">
        <v>1.6</v>
      </c>
      <c r="Y441">
        <v>5.4</v>
      </c>
      <c r="AP441">
        <v>1.9</v>
      </c>
      <c r="AQ441">
        <v>5.2</v>
      </c>
      <c r="AR441">
        <v>0.5</v>
      </c>
      <c r="AS441">
        <v>2.6</v>
      </c>
      <c r="AT441">
        <v>1.1000000000000001</v>
      </c>
      <c r="AU441">
        <v>1.4</v>
      </c>
      <c r="AV441">
        <v>1</v>
      </c>
      <c r="AW441">
        <v>1</v>
      </c>
      <c r="AX441">
        <v>5.4</v>
      </c>
    </row>
    <row r="442" spans="1:50" x14ac:dyDescent="0.2">
      <c r="A442" s="1" t="s">
        <v>422</v>
      </c>
      <c r="B442" s="1" t="s">
        <v>43</v>
      </c>
      <c r="C442">
        <v>24</v>
      </c>
      <c r="D442" s="1" t="s">
        <v>109</v>
      </c>
      <c r="E442">
        <v>43</v>
      </c>
      <c r="F442">
        <v>1</v>
      </c>
      <c r="G442">
        <v>20.6</v>
      </c>
      <c r="H442">
        <v>2.4</v>
      </c>
      <c r="I442">
        <v>4</v>
      </c>
      <c r="J442">
        <v>0.59299999999999997</v>
      </c>
      <c r="K442">
        <v>0</v>
      </c>
      <c r="L442">
        <v>0.1</v>
      </c>
      <c r="M442">
        <v>0.66700000000000004</v>
      </c>
      <c r="N442">
        <v>0.6</v>
      </c>
      <c r="O442">
        <v>1.2</v>
      </c>
      <c r="P442">
        <v>0.51</v>
      </c>
      <c r="Q442">
        <v>3.3</v>
      </c>
      <c r="R442">
        <v>4.2</v>
      </c>
      <c r="S442">
        <v>7.5</v>
      </c>
      <c r="T442">
        <v>1.4</v>
      </c>
      <c r="U442">
        <v>0.7</v>
      </c>
      <c r="V442">
        <v>1.5</v>
      </c>
      <c r="W442">
        <v>0.9</v>
      </c>
      <c r="X442">
        <v>3.6</v>
      </c>
      <c r="Y442">
        <v>5.4</v>
      </c>
      <c r="AP442">
        <v>2.4</v>
      </c>
      <c r="AQ442">
        <v>4</v>
      </c>
      <c r="AR442">
        <v>0</v>
      </c>
      <c r="AS442">
        <v>0.1</v>
      </c>
      <c r="AT442">
        <v>0.6</v>
      </c>
      <c r="AU442">
        <v>1.2</v>
      </c>
      <c r="AV442">
        <v>7.5</v>
      </c>
      <c r="AW442">
        <v>1.4</v>
      </c>
      <c r="AX442">
        <v>5.4</v>
      </c>
    </row>
    <row r="443" spans="1:50" x14ac:dyDescent="0.2">
      <c r="A443" s="1" t="s">
        <v>423</v>
      </c>
      <c r="B443" s="1" t="s">
        <v>26</v>
      </c>
      <c r="C443">
        <v>24</v>
      </c>
      <c r="D443" s="1" t="s">
        <v>109</v>
      </c>
      <c r="E443">
        <v>22</v>
      </c>
      <c r="F443">
        <v>3</v>
      </c>
      <c r="G443">
        <v>17.3</v>
      </c>
      <c r="H443">
        <v>1.8</v>
      </c>
      <c r="I443">
        <v>5.9</v>
      </c>
      <c r="J443">
        <v>0.3</v>
      </c>
      <c r="K443">
        <v>0.7</v>
      </c>
      <c r="L443">
        <v>2.8</v>
      </c>
      <c r="M443">
        <v>0.25800000000000001</v>
      </c>
      <c r="N443">
        <v>1.1000000000000001</v>
      </c>
      <c r="O443">
        <v>1.2</v>
      </c>
      <c r="P443">
        <v>0.92300000000000004</v>
      </c>
      <c r="Q443">
        <v>0.2</v>
      </c>
      <c r="R443">
        <v>2.2000000000000002</v>
      </c>
      <c r="S443">
        <v>2.4</v>
      </c>
      <c r="T443">
        <v>3.5</v>
      </c>
      <c r="U443">
        <v>0.9</v>
      </c>
      <c r="V443">
        <v>0.2</v>
      </c>
      <c r="W443">
        <v>1.2</v>
      </c>
      <c r="X443">
        <v>1.5</v>
      </c>
      <c r="Y443">
        <v>5.4</v>
      </c>
      <c r="AP443">
        <v>1.8</v>
      </c>
      <c r="AQ443">
        <v>5.9</v>
      </c>
      <c r="AR443">
        <v>0.7</v>
      </c>
      <c r="AS443">
        <v>2.8</v>
      </c>
      <c r="AT443">
        <v>1.1000000000000001</v>
      </c>
      <c r="AU443">
        <v>1.2</v>
      </c>
      <c r="AV443">
        <v>2.4</v>
      </c>
      <c r="AW443">
        <v>3.5</v>
      </c>
      <c r="AX443">
        <v>5.4</v>
      </c>
    </row>
    <row r="444" spans="1:50" x14ac:dyDescent="0.2">
      <c r="A444" s="1" t="s">
        <v>424</v>
      </c>
      <c r="B444" s="1" t="s">
        <v>26</v>
      </c>
      <c r="C444">
        <v>29</v>
      </c>
      <c r="D444" s="1" t="s">
        <v>57</v>
      </c>
      <c r="E444">
        <v>56</v>
      </c>
      <c r="F444">
        <v>1</v>
      </c>
      <c r="G444">
        <v>13.6</v>
      </c>
      <c r="H444">
        <v>1.8</v>
      </c>
      <c r="I444">
        <v>4.4000000000000004</v>
      </c>
      <c r="J444">
        <v>0.41499999999999998</v>
      </c>
      <c r="K444">
        <v>1.2</v>
      </c>
      <c r="L444">
        <v>3</v>
      </c>
      <c r="M444">
        <v>0.39200000000000002</v>
      </c>
      <c r="N444">
        <v>0.6</v>
      </c>
      <c r="O444">
        <v>0.7</v>
      </c>
      <c r="P444">
        <v>0.872</v>
      </c>
      <c r="Q444">
        <v>0.2</v>
      </c>
      <c r="R444">
        <v>0.8</v>
      </c>
      <c r="S444">
        <v>1</v>
      </c>
      <c r="T444">
        <v>1</v>
      </c>
      <c r="U444">
        <v>0.4</v>
      </c>
      <c r="V444">
        <v>0.1</v>
      </c>
      <c r="W444">
        <v>0.7</v>
      </c>
      <c r="X444">
        <v>1.3</v>
      </c>
      <c r="Y444">
        <v>5.4</v>
      </c>
      <c r="AP444">
        <v>1.8</v>
      </c>
      <c r="AQ444">
        <v>4.4000000000000004</v>
      </c>
      <c r="AR444">
        <v>1.2</v>
      </c>
      <c r="AS444">
        <v>3</v>
      </c>
      <c r="AT444">
        <v>0.6</v>
      </c>
      <c r="AU444">
        <v>0.7</v>
      </c>
      <c r="AV444">
        <v>1</v>
      </c>
      <c r="AW444">
        <v>1</v>
      </c>
      <c r="AX444">
        <v>5.4</v>
      </c>
    </row>
    <row r="445" spans="1:50" x14ac:dyDescent="0.2">
      <c r="A445" s="1" t="s">
        <v>425</v>
      </c>
      <c r="B445" s="1" t="s">
        <v>23</v>
      </c>
      <c r="C445">
        <v>25</v>
      </c>
      <c r="D445" s="1" t="s">
        <v>46</v>
      </c>
      <c r="E445">
        <v>47</v>
      </c>
      <c r="F445">
        <v>6</v>
      </c>
      <c r="G445">
        <v>15.7</v>
      </c>
      <c r="H445">
        <v>2.1</v>
      </c>
      <c r="I445">
        <v>4.0999999999999996</v>
      </c>
      <c r="J445">
        <v>0.51500000000000001</v>
      </c>
      <c r="K445">
        <v>1.1000000000000001</v>
      </c>
      <c r="L445">
        <v>2.5</v>
      </c>
      <c r="M445">
        <v>0.42</v>
      </c>
      <c r="N445">
        <v>0.1</v>
      </c>
      <c r="O445">
        <v>0.2</v>
      </c>
      <c r="P445">
        <v>0.36399999999999999</v>
      </c>
      <c r="Q445">
        <v>0.6</v>
      </c>
      <c r="R445">
        <v>2.1</v>
      </c>
      <c r="S445">
        <v>2.7</v>
      </c>
      <c r="T445">
        <v>1</v>
      </c>
      <c r="U445">
        <v>0.3</v>
      </c>
      <c r="V445">
        <v>0.3</v>
      </c>
      <c r="W445">
        <v>0.6</v>
      </c>
      <c r="X445">
        <v>1.3</v>
      </c>
      <c r="Y445">
        <v>5.4</v>
      </c>
      <c r="AP445">
        <v>2.1</v>
      </c>
      <c r="AQ445">
        <v>4.0999999999999996</v>
      </c>
      <c r="AR445">
        <v>1.1000000000000001</v>
      </c>
      <c r="AS445">
        <v>2.5</v>
      </c>
      <c r="AT445">
        <v>0.1</v>
      </c>
      <c r="AU445">
        <v>0.2</v>
      </c>
      <c r="AV445">
        <v>2.7</v>
      </c>
      <c r="AW445">
        <v>1</v>
      </c>
      <c r="AX445">
        <v>5.4</v>
      </c>
    </row>
    <row r="446" spans="1:50" x14ac:dyDescent="0.2">
      <c r="A446" s="1" t="s">
        <v>426</v>
      </c>
      <c r="B446" s="1" t="s">
        <v>43</v>
      </c>
      <c r="C446">
        <v>26</v>
      </c>
      <c r="D446" s="1" t="s">
        <v>29</v>
      </c>
      <c r="E446">
        <v>41</v>
      </c>
      <c r="F446">
        <v>3</v>
      </c>
      <c r="G446">
        <v>10.9</v>
      </c>
      <c r="H446">
        <v>2.1</v>
      </c>
      <c r="I446">
        <v>4</v>
      </c>
      <c r="J446">
        <v>0.53</v>
      </c>
      <c r="K446">
        <v>0.6</v>
      </c>
      <c r="L446">
        <v>1.9</v>
      </c>
      <c r="M446">
        <v>0.34200000000000003</v>
      </c>
      <c r="N446">
        <v>0.3</v>
      </c>
      <c r="O446">
        <v>0.6</v>
      </c>
      <c r="P446">
        <v>0.58299999999999996</v>
      </c>
      <c r="Q446">
        <v>0.7</v>
      </c>
      <c r="R446">
        <v>2.1</v>
      </c>
      <c r="S446">
        <v>2.8</v>
      </c>
      <c r="T446">
        <v>0.7</v>
      </c>
      <c r="U446">
        <v>0.1</v>
      </c>
      <c r="V446">
        <v>0.5</v>
      </c>
      <c r="W446">
        <v>0.4</v>
      </c>
      <c r="X446">
        <v>0.9</v>
      </c>
      <c r="Y446">
        <v>5.3</v>
      </c>
      <c r="AP446">
        <v>2.1</v>
      </c>
      <c r="AQ446">
        <v>4</v>
      </c>
      <c r="AR446">
        <v>0.6</v>
      </c>
      <c r="AS446">
        <v>1.9</v>
      </c>
      <c r="AT446">
        <v>0.3</v>
      </c>
      <c r="AU446">
        <v>0.6</v>
      </c>
      <c r="AV446">
        <v>2.8</v>
      </c>
      <c r="AW446">
        <v>0.7</v>
      </c>
      <c r="AX446">
        <v>5.3</v>
      </c>
    </row>
    <row r="447" spans="1:50" x14ac:dyDescent="0.2">
      <c r="A447" s="1" t="s">
        <v>427</v>
      </c>
      <c r="B447" s="1" t="s">
        <v>31</v>
      </c>
      <c r="C447">
        <v>23</v>
      </c>
      <c r="D447" s="1" t="s">
        <v>98</v>
      </c>
      <c r="E447">
        <v>81</v>
      </c>
      <c r="F447">
        <v>19</v>
      </c>
      <c r="G447">
        <v>22.5</v>
      </c>
      <c r="H447">
        <v>1.7</v>
      </c>
      <c r="I447">
        <v>4.5</v>
      </c>
      <c r="J447">
        <v>0.36899999999999999</v>
      </c>
      <c r="K447">
        <v>1</v>
      </c>
      <c r="L447">
        <v>2.9</v>
      </c>
      <c r="M447">
        <v>0.35099999999999998</v>
      </c>
      <c r="N447">
        <v>1</v>
      </c>
      <c r="O447">
        <v>1.2</v>
      </c>
      <c r="P447">
        <v>0.83699999999999997</v>
      </c>
      <c r="Q447">
        <v>0.6</v>
      </c>
      <c r="R447">
        <v>2.9</v>
      </c>
      <c r="S447">
        <v>3.5</v>
      </c>
      <c r="T447">
        <v>2</v>
      </c>
      <c r="U447">
        <v>0.6</v>
      </c>
      <c r="V447">
        <v>0.2</v>
      </c>
      <c r="W447">
        <v>0.8</v>
      </c>
      <c r="X447">
        <v>1.8</v>
      </c>
      <c r="Y447">
        <v>5.3</v>
      </c>
      <c r="AP447">
        <v>1.7</v>
      </c>
      <c r="AQ447">
        <v>4.5</v>
      </c>
      <c r="AR447">
        <v>1</v>
      </c>
      <c r="AS447">
        <v>2.9</v>
      </c>
      <c r="AT447">
        <v>1</v>
      </c>
      <c r="AU447">
        <v>1.2</v>
      </c>
      <c r="AV447">
        <v>3.5</v>
      </c>
      <c r="AW447">
        <v>2</v>
      </c>
      <c r="AX447">
        <v>5.3</v>
      </c>
    </row>
    <row r="448" spans="1:50" x14ac:dyDescent="0.2">
      <c r="A448" s="1" t="s">
        <v>428</v>
      </c>
      <c r="B448" s="1" t="s">
        <v>23</v>
      </c>
      <c r="C448">
        <v>21</v>
      </c>
      <c r="D448" s="1" t="s">
        <v>35</v>
      </c>
      <c r="E448">
        <v>67</v>
      </c>
      <c r="F448">
        <v>24</v>
      </c>
      <c r="G448">
        <v>17.600000000000001</v>
      </c>
      <c r="H448">
        <v>2</v>
      </c>
      <c r="I448">
        <v>3.9</v>
      </c>
      <c r="J448">
        <v>0.51900000000000002</v>
      </c>
      <c r="K448">
        <v>0.7</v>
      </c>
      <c r="L448">
        <v>1.8</v>
      </c>
      <c r="M448">
        <v>0.39500000000000002</v>
      </c>
      <c r="N448">
        <v>0.6</v>
      </c>
      <c r="O448">
        <v>0.8</v>
      </c>
      <c r="P448">
        <v>0.755</v>
      </c>
      <c r="Q448">
        <v>1.3</v>
      </c>
      <c r="R448">
        <v>2.7</v>
      </c>
      <c r="S448">
        <v>3.9</v>
      </c>
      <c r="T448">
        <v>0.8</v>
      </c>
      <c r="U448">
        <v>0.7</v>
      </c>
      <c r="V448">
        <v>0.4</v>
      </c>
      <c r="W448">
        <v>0.5</v>
      </c>
      <c r="X448">
        <v>2</v>
      </c>
      <c r="Y448">
        <v>5.3</v>
      </c>
      <c r="AP448">
        <v>2</v>
      </c>
      <c r="AQ448">
        <v>3.9</v>
      </c>
      <c r="AR448">
        <v>0.7</v>
      </c>
      <c r="AS448">
        <v>1.8</v>
      </c>
      <c r="AT448">
        <v>0.6</v>
      </c>
      <c r="AU448">
        <v>0.8</v>
      </c>
      <c r="AV448">
        <v>3.9</v>
      </c>
      <c r="AW448">
        <v>0.8</v>
      </c>
      <c r="AX448">
        <v>5.3</v>
      </c>
    </row>
    <row r="449" spans="1:50" x14ac:dyDescent="0.2">
      <c r="A449" s="1" t="s">
        <v>429</v>
      </c>
      <c r="B449" s="1" t="s">
        <v>26</v>
      </c>
      <c r="C449">
        <v>26</v>
      </c>
      <c r="D449" s="1" t="s">
        <v>53</v>
      </c>
      <c r="E449">
        <v>45</v>
      </c>
      <c r="F449">
        <v>0</v>
      </c>
      <c r="G449">
        <v>13.4</v>
      </c>
      <c r="H449">
        <v>2.1</v>
      </c>
      <c r="I449">
        <v>4.7</v>
      </c>
      <c r="J449">
        <v>0.45100000000000001</v>
      </c>
      <c r="K449">
        <v>0.4</v>
      </c>
      <c r="L449">
        <v>1.6</v>
      </c>
      <c r="M449">
        <v>0.28599999999999998</v>
      </c>
      <c r="N449">
        <v>0.5</v>
      </c>
      <c r="O449">
        <v>0.7</v>
      </c>
      <c r="P449">
        <v>0.72699999999999998</v>
      </c>
      <c r="Q449">
        <v>0.4</v>
      </c>
      <c r="R449">
        <v>1.3</v>
      </c>
      <c r="S449">
        <v>1.7</v>
      </c>
      <c r="T449">
        <v>1.6</v>
      </c>
      <c r="U449">
        <v>0.6</v>
      </c>
      <c r="V449">
        <v>0.3</v>
      </c>
      <c r="W449">
        <v>0.6</v>
      </c>
      <c r="X449">
        <v>0.8</v>
      </c>
      <c r="Y449">
        <v>5.2</v>
      </c>
      <c r="AP449">
        <v>2.1</v>
      </c>
      <c r="AQ449">
        <v>4.7</v>
      </c>
      <c r="AR449">
        <v>0.4</v>
      </c>
      <c r="AS449">
        <v>1.6</v>
      </c>
      <c r="AT449">
        <v>0.5</v>
      </c>
      <c r="AU449">
        <v>0.7</v>
      </c>
      <c r="AV449">
        <v>1.7</v>
      </c>
      <c r="AW449">
        <v>1.6</v>
      </c>
      <c r="AX449">
        <v>5.2</v>
      </c>
    </row>
    <row r="450" spans="1:50" x14ac:dyDescent="0.2">
      <c r="A450" s="1" t="s">
        <v>430</v>
      </c>
      <c r="B450" s="1" t="s">
        <v>34</v>
      </c>
      <c r="C450">
        <v>21</v>
      </c>
      <c r="D450" s="1" t="s">
        <v>62</v>
      </c>
      <c r="E450">
        <v>74</v>
      </c>
      <c r="F450">
        <v>26</v>
      </c>
      <c r="G450">
        <v>19.399999999999999</v>
      </c>
      <c r="H450">
        <v>1.8</v>
      </c>
      <c r="I450">
        <v>4.5</v>
      </c>
      <c r="J450">
        <v>0.39800000000000002</v>
      </c>
      <c r="K450">
        <v>0.8</v>
      </c>
      <c r="L450">
        <v>2.7</v>
      </c>
      <c r="M450">
        <v>0.29799999999999999</v>
      </c>
      <c r="N450">
        <v>0.8</v>
      </c>
      <c r="O450">
        <v>1.2</v>
      </c>
      <c r="P450">
        <v>0.65900000000000003</v>
      </c>
      <c r="Q450">
        <v>0.8</v>
      </c>
      <c r="R450">
        <v>1.4</v>
      </c>
      <c r="S450">
        <v>2.2000000000000002</v>
      </c>
      <c r="T450">
        <v>1.5</v>
      </c>
      <c r="U450">
        <v>0.7</v>
      </c>
      <c r="V450">
        <v>0.3</v>
      </c>
      <c r="W450">
        <v>0.9</v>
      </c>
      <c r="X450">
        <v>2.5</v>
      </c>
      <c r="Y450">
        <v>5.2</v>
      </c>
      <c r="AP450">
        <v>1.8</v>
      </c>
      <c r="AQ450">
        <v>4.5</v>
      </c>
      <c r="AR450">
        <v>0.8</v>
      </c>
      <c r="AS450">
        <v>2.7</v>
      </c>
      <c r="AT450">
        <v>0.8</v>
      </c>
      <c r="AU450">
        <v>1.2</v>
      </c>
      <c r="AV450">
        <v>2.2000000000000002</v>
      </c>
      <c r="AW450">
        <v>1.5</v>
      </c>
      <c r="AX450">
        <v>5.2</v>
      </c>
    </row>
    <row r="451" spans="1:50" x14ac:dyDescent="0.2">
      <c r="A451" s="1" t="s">
        <v>431</v>
      </c>
      <c r="B451" s="1" t="s">
        <v>43</v>
      </c>
      <c r="C451">
        <v>28</v>
      </c>
      <c r="D451" s="1" t="s">
        <v>109</v>
      </c>
      <c r="E451">
        <v>42</v>
      </c>
      <c r="F451">
        <v>11</v>
      </c>
      <c r="G451">
        <v>13.1</v>
      </c>
      <c r="H451">
        <v>2.2000000000000002</v>
      </c>
      <c r="I451">
        <v>3.7</v>
      </c>
      <c r="J451">
        <v>0.59599999999999997</v>
      </c>
      <c r="K451">
        <v>0</v>
      </c>
      <c r="L451">
        <v>0.2</v>
      </c>
      <c r="M451">
        <v>0.14299999999999999</v>
      </c>
      <c r="N451">
        <v>0.8</v>
      </c>
      <c r="O451">
        <v>1.4</v>
      </c>
      <c r="P451">
        <v>0.56100000000000005</v>
      </c>
      <c r="Q451">
        <v>0.9</v>
      </c>
      <c r="R451">
        <v>2.1</v>
      </c>
      <c r="S451">
        <v>3</v>
      </c>
      <c r="T451">
        <v>0.5</v>
      </c>
      <c r="U451">
        <v>0.4</v>
      </c>
      <c r="V451">
        <v>0.6</v>
      </c>
      <c r="W451">
        <v>0.7</v>
      </c>
      <c r="X451">
        <v>1.4</v>
      </c>
      <c r="Y451">
        <v>5.2</v>
      </c>
      <c r="AP451">
        <v>2.2000000000000002</v>
      </c>
      <c r="AQ451">
        <v>3.7</v>
      </c>
      <c r="AR451">
        <v>0</v>
      </c>
      <c r="AS451">
        <v>0.2</v>
      </c>
      <c r="AT451">
        <v>0.8</v>
      </c>
      <c r="AU451">
        <v>1.4</v>
      </c>
      <c r="AV451">
        <v>3</v>
      </c>
      <c r="AW451">
        <v>0.5</v>
      </c>
      <c r="AX451">
        <v>5.2</v>
      </c>
    </row>
    <row r="452" spans="1:50" x14ac:dyDescent="0.2">
      <c r="A452" s="1" t="s">
        <v>432</v>
      </c>
      <c r="B452" s="1" t="s">
        <v>23</v>
      </c>
      <c r="C452">
        <v>25</v>
      </c>
      <c r="D452" s="1" t="s">
        <v>66</v>
      </c>
      <c r="E452">
        <v>25</v>
      </c>
      <c r="F452">
        <v>4</v>
      </c>
      <c r="G452">
        <v>12.9</v>
      </c>
      <c r="H452">
        <v>2</v>
      </c>
      <c r="I452">
        <v>4</v>
      </c>
      <c r="J452">
        <v>0.48499999999999999</v>
      </c>
      <c r="K452">
        <v>0.6</v>
      </c>
      <c r="L452">
        <v>1.9</v>
      </c>
      <c r="M452">
        <v>0.31900000000000001</v>
      </c>
      <c r="N452">
        <v>0.7</v>
      </c>
      <c r="O452">
        <v>0.9</v>
      </c>
      <c r="P452">
        <v>0.77300000000000002</v>
      </c>
      <c r="Q452">
        <v>0.5</v>
      </c>
      <c r="R452">
        <v>2.1</v>
      </c>
      <c r="S452">
        <v>2.6</v>
      </c>
      <c r="T452">
        <v>0.9</v>
      </c>
      <c r="U452">
        <v>0.2</v>
      </c>
      <c r="V452">
        <v>0.4</v>
      </c>
      <c r="W452">
        <v>0.6</v>
      </c>
      <c r="X452">
        <v>1.6</v>
      </c>
      <c r="Y452">
        <v>5.2</v>
      </c>
      <c r="AP452">
        <v>2</v>
      </c>
      <c r="AQ452">
        <v>4</v>
      </c>
      <c r="AR452">
        <v>0.6</v>
      </c>
      <c r="AS452">
        <v>1.9</v>
      </c>
      <c r="AT452">
        <v>0.7</v>
      </c>
      <c r="AU452">
        <v>0.9</v>
      </c>
      <c r="AV452">
        <v>2.6</v>
      </c>
      <c r="AW452">
        <v>0.9</v>
      </c>
      <c r="AX452">
        <v>5.2</v>
      </c>
    </row>
    <row r="453" spans="1:50" x14ac:dyDescent="0.2">
      <c r="A453" s="1" t="s">
        <v>433</v>
      </c>
      <c r="B453" s="1" t="s">
        <v>31</v>
      </c>
      <c r="C453">
        <v>29</v>
      </c>
      <c r="D453" s="1" t="s">
        <v>68</v>
      </c>
      <c r="E453">
        <v>15</v>
      </c>
      <c r="F453">
        <v>1</v>
      </c>
      <c r="G453">
        <v>13.1</v>
      </c>
      <c r="H453">
        <v>1.4</v>
      </c>
      <c r="I453">
        <v>3.5</v>
      </c>
      <c r="J453">
        <v>0.40400000000000003</v>
      </c>
      <c r="K453">
        <v>1.1000000000000001</v>
      </c>
      <c r="L453">
        <v>3.1</v>
      </c>
      <c r="M453">
        <v>0.37</v>
      </c>
      <c r="N453">
        <v>1.3</v>
      </c>
      <c r="O453">
        <v>1.5</v>
      </c>
      <c r="P453">
        <v>0.82599999999999996</v>
      </c>
      <c r="Q453">
        <v>0.1</v>
      </c>
      <c r="R453">
        <v>1</v>
      </c>
      <c r="S453">
        <v>1.1000000000000001</v>
      </c>
      <c r="T453">
        <v>0.7</v>
      </c>
      <c r="U453">
        <v>0.4</v>
      </c>
      <c r="V453">
        <v>0.2</v>
      </c>
      <c r="W453">
        <v>0.2</v>
      </c>
      <c r="X453">
        <v>1.3</v>
      </c>
      <c r="Y453">
        <v>5.2</v>
      </c>
      <c r="AP453">
        <v>1.4</v>
      </c>
      <c r="AQ453">
        <v>3.5</v>
      </c>
      <c r="AR453">
        <v>1.1000000000000001</v>
      </c>
      <c r="AS453">
        <v>3.1</v>
      </c>
      <c r="AT453">
        <v>1.3</v>
      </c>
      <c r="AU453">
        <v>1.5</v>
      </c>
      <c r="AV453">
        <v>1.1000000000000001</v>
      </c>
      <c r="AW453">
        <v>0.7</v>
      </c>
      <c r="AX453">
        <v>5.2</v>
      </c>
    </row>
    <row r="454" spans="1:50" x14ac:dyDescent="0.2">
      <c r="A454" s="1" t="s">
        <v>434</v>
      </c>
      <c r="B454" s="1" t="s">
        <v>26</v>
      </c>
      <c r="C454">
        <v>25</v>
      </c>
      <c r="D454" s="1" t="s">
        <v>64</v>
      </c>
      <c r="E454">
        <v>37</v>
      </c>
      <c r="F454">
        <v>5</v>
      </c>
      <c r="G454">
        <v>12.1</v>
      </c>
      <c r="H454">
        <v>1.8</v>
      </c>
      <c r="I454">
        <v>4.7</v>
      </c>
      <c r="J454">
        <v>0.39300000000000002</v>
      </c>
      <c r="K454">
        <v>1.2</v>
      </c>
      <c r="L454">
        <v>2.8</v>
      </c>
      <c r="M454">
        <v>0.41699999999999998</v>
      </c>
      <c r="N454">
        <v>0.4</v>
      </c>
      <c r="O454">
        <v>0.5</v>
      </c>
      <c r="P454">
        <v>0.83299999999999996</v>
      </c>
      <c r="Q454">
        <v>0.2</v>
      </c>
      <c r="R454">
        <v>0.9</v>
      </c>
      <c r="S454">
        <v>1.1000000000000001</v>
      </c>
      <c r="T454">
        <v>2</v>
      </c>
      <c r="U454">
        <v>0.5</v>
      </c>
      <c r="V454">
        <v>0.1</v>
      </c>
      <c r="W454">
        <v>0.8</v>
      </c>
      <c r="X454">
        <v>1.1000000000000001</v>
      </c>
      <c r="Y454">
        <v>5.2</v>
      </c>
      <c r="AP454">
        <v>1.8</v>
      </c>
      <c r="AQ454">
        <v>4.7</v>
      </c>
      <c r="AR454">
        <v>1.2</v>
      </c>
      <c r="AS454">
        <v>2.8</v>
      </c>
      <c r="AT454">
        <v>0.4</v>
      </c>
      <c r="AU454">
        <v>0.5</v>
      </c>
      <c r="AV454">
        <v>1.1000000000000001</v>
      </c>
      <c r="AW454">
        <v>2</v>
      </c>
      <c r="AX454">
        <v>5.2</v>
      </c>
    </row>
    <row r="455" spans="1:50" x14ac:dyDescent="0.2">
      <c r="A455" s="1" t="s">
        <v>435</v>
      </c>
      <c r="B455" s="1" t="s">
        <v>31</v>
      </c>
      <c r="C455">
        <v>25</v>
      </c>
      <c r="D455" s="1" t="s">
        <v>35</v>
      </c>
      <c r="E455">
        <v>76</v>
      </c>
      <c r="F455">
        <v>19</v>
      </c>
      <c r="G455">
        <v>18.3</v>
      </c>
      <c r="H455">
        <v>1.9</v>
      </c>
      <c r="I455">
        <v>4.0999999999999996</v>
      </c>
      <c r="J455">
        <v>0.45700000000000002</v>
      </c>
      <c r="K455">
        <v>1.2</v>
      </c>
      <c r="L455">
        <v>3</v>
      </c>
      <c r="M455">
        <v>0.39700000000000002</v>
      </c>
      <c r="N455">
        <v>0.3</v>
      </c>
      <c r="O455">
        <v>0.3</v>
      </c>
      <c r="P455">
        <v>0.87</v>
      </c>
      <c r="Q455">
        <v>0.8</v>
      </c>
      <c r="R455">
        <v>2.7</v>
      </c>
      <c r="S455">
        <v>3.4</v>
      </c>
      <c r="T455">
        <v>1.4</v>
      </c>
      <c r="U455">
        <v>0.5</v>
      </c>
      <c r="V455">
        <v>0.1</v>
      </c>
      <c r="W455">
        <v>0.6</v>
      </c>
      <c r="X455">
        <v>1.4</v>
      </c>
      <c r="Y455">
        <v>5.2</v>
      </c>
      <c r="AP455">
        <v>1.9</v>
      </c>
      <c r="AQ455">
        <v>4.0999999999999996</v>
      </c>
      <c r="AR455">
        <v>1.2</v>
      </c>
      <c r="AS455">
        <v>3</v>
      </c>
      <c r="AT455">
        <v>0.3</v>
      </c>
      <c r="AU455">
        <v>0.3</v>
      </c>
      <c r="AV455">
        <v>3.4</v>
      </c>
      <c r="AW455">
        <v>1.4</v>
      </c>
      <c r="AX455">
        <v>5.2</v>
      </c>
    </row>
    <row r="456" spans="1:50" x14ac:dyDescent="0.2">
      <c r="A456" s="1" t="s">
        <v>436</v>
      </c>
      <c r="B456" s="1" t="s">
        <v>31</v>
      </c>
      <c r="C456">
        <v>25</v>
      </c>
      <c r="D456" s="1" t="s">
        <v>70</v>
      </c>
      <c r="E456">
        <v>62</v>
      </c>
      <c r="F456">
        <v>13</v>
      </c>
      <c r="G456">
        <v>15.7</v>
      </c>
      <c r="H456">
        <v>2</v>
      </c>
      <c r="I456">
        <v>4.5</v>
      </c>
      <c r="J456">
        <v>0.436</v>
      </c>
      <c r="K456">
        <v>0.5</v>
      </c>
      <c r="L456">
        <v>2.1</v>
      </c>
      <c r="M456">
        <v>0.26600000000000001</v>
      </c>
      <c r="N456">
        <v>0.6</v>
      </c>
      <c r="O456">
        <v>0.7</v>
      </c>
      <c r="P456">
        <v>0.83699999999999997</v>
      </c>
      <c r="Q456">
        <v>0.7</v>
      </c>
      <c r="R456">
        <v>1.5</v>
      </c>
      <c r="S456">
        <v>2.2999999999999998</v>
      </c>
      <c r="T456">
        <v>0.8</v>
      </c>
      <c r="U456">
        <v>0.4</v>
      </c>
      <c r="V456">
        <v>0.3</v>
      </c>
      <c r="W456">
        <v>0.5</v>
      </c>
      <c r="X456">
        <v>1.5</v>
      </c>
      <c r="Y456">
        <v>5.0999999999999996</v>
      </c>
      <c r="AP456">
        <v>2</v>
      </c>
      <c r="AQ456">
        <v>4.5</v>
      </c>
      <c r="AR456">
        <v>0.5</v>
      </c>
      <c r="AS456">
        <v>2.1</v>
      </c>
      <c r="AT456">
        <v>0.6</v>
      </c>
      <c r="AU456">
        <v>0.7</v>
      </c>
      <c r="AV456">
        <v>2.2999999999999998</v>
      </c>
      <c r="AW456">
        <v>0.8</v>
      </c>
      <c r="AX456">
        <v>5.0999999999999996</v>
      </c>
    </row>
    <row r="457" spans="1:50" x14ac:dyDescent="0.2">
      <c r="A457" s="1" t="s">
        <v>436</v>
      </c>
      <c r="B457" s="1" t="s">
        <v>31</v>
      </c>
      <c r="C457">
        <v>25</v>
      </c>
      <c r="D457" s="1" t="s">
        <v>83</v>
      </c>
      <c r="E457">
        <v>42</v>
      </c>
      <c r="F457">
        <v>13</v>
      </c>
      <c r="G457">
        <v>15.5</v>
      </c>
      <c r="H457">
        <v>1.7</v>
      </c>
      <c r="I457">
        <v>4</v>
      </c>
      <c r="J457">
        <v>0.42399999999999999</v>
      </c>
      <c r="K457">
        <v>0.3</v>
      </c>
      <c r="L457">
        <v>1.5</v>
      </c>
      <c r="M457">
        <v>0.185</v>
      </c>
      <c r="N457">
        <v>0.6</v>
      </c>
      <c r="O457">
        <v>0.7</v>
      </c>
      <c r="P457">
        <v>0.86199999999999999</v>
      </c>
      <c r="Q457">
        <v>0.8</v>
      </c>
      <c r="R457">
        <v>1.5</v>
      </c>
      <c r="S457">
        <v>2.2999999999999998</v>
      </c>
      <c r="T457">
        <v>0.7</v>
      </c>
      <c r="U457">
        <v>0.4</v>
      </c>
      <c r="V457">
        <v>0.3</v>
      </c>
      <c r="W457">
        <v>0.5</v>
      </c>
      <c r="X457">
        <v>1.8</v>
      </c>
      <c r="Y457">
        <v>4.3</v>
      </c>
      <c r="AP457">
        <v>1.7</v>
      </c>
      <c r="AQ457">
        <v>4</v>
      </c>
      <c r="AR457">
        <v>0.3</v>
      </c>
      <c r="AS457">
        <v>1.5</v>
      </c>
      <c r="AT457">
        <v>0.6</v>
      </c>
      <c r="AU457">
        <v>0.7</v>
      </c>
      <c r="AV457">
        <v>2.2999999999999998</v>
      </c>
      <c r="AW457">
        <v>0.7</v>
      </c>
      <c r="AX457">
        <v>4.3</v>
      </c>
    </row>
    <row r="458" spans="1:50" x14ac:dyDescent="0.2">
      <c r="A458" s="1" t="s">
        <v>436</v>
      </c>
      <c r="B458" s="1" t="s">
        <v>31</v>
      </c>
      <c r="C458">
        <v>25</v>
      </c>
      <c r="D458" s="1" t="s">
        <v>66</v>
      </c>
      <c r="E458">
        <v>20</v>
      </c>
      <c r="F458">
        <v>0</v>
      </c>
      <c r="G458">
        <v>16.2</v>
      </c>
      <c r="H458">
        <v>2.5</v>
      </c>
      <c r="I458">
        <v>5.5</v>
      </c>
      <c r="J458">
        <v>0.45500000000000002</v>
      </c>
      <c r="K458">
        <v>1.1000000000000001</v>
      </c>
      <c r="L458">
        <v>3.2</v>
      </c>
      <c r="M458">
        <v>0.34899999999999998</v>
      </c>
      <c r="N458">
        <v>0.6</v>
      </c>
      <c r="O458">
        <v>0.7</v>
      </c>
      <c r="P458">
        <v>0.78600000000000003</v>
      </c>
      <c r="Q458">
        <v>0.7</v>
      </c>
      <c r="R458">
        <v>1.7</v>
      </c>
      <c r="S458">
        <v>2.2999999999999998</v>
      </c>
      <c r="T458">
        <v>0.9</v>
      </c>
      <c r="U458">
        <v>0.4</v>
      </c>
      <c r="V458">
        <v>0.3</v>
      </c>
      <c r="W458">
        <v>0.6</v>
      </c>
      <c r="X458">
        <v>0.9</v>
      </c>
      <c r="Y458">
        <v>6.7</v>
      </c>
      <c r="AP458">
        <v>2.5</v>
      </c>
      <c r="AQ458">
        <v>5.5</v>
      </c>
      <c r="AR458">
        <v>1.1000000000000001</v>
      </c>
      <c r="AS458">
        <v>3.2</v>
      </c>
      <c r="AT458">
        <v>0.6</v>
      </c>
      <c r="AU458">
        <v>0.7</v>
      </c>
      <c r="AV458">
        <v>2.2999999999999998</v>
      </c>
      <c r="AW458">
        <v>0.9</v>
      </c>
      <c r="AX458">
        <v>6.7</v>
      </c>
    </row>
    <row r="459" spans="1:50" x14ac:dyDescent="0.2">
      <c r="A459" s="1" t="s">
        <v>437</v>
      </c>
      <c r="B459" s="1" t="s">
        <v>31</v>
      </c>
      <c r="C459">
        <v>21</v>
      </c>
      <c r="D459" s="1" t="s">
        <v>68</v>
      </c>
      <c r="E459">
        <v>35</v>
      </c>
      <c r="F459">
        <v>21</v>
      </c>
      <c r="G459">
        <v>18.399999999999999</v>
      </c>
      <c r="H459">
        <v>2</v>
      </c>
      <c r="I459">
        <v>4.3</v>
      </c>
      <c r="J459">
        <v>0.47</v>
      </c>
      <c r="K459">
        <v>0.7</v>
      </c>
      <c r="L459">
        <v>2</v>
      </c>
      <c r="M459">
        <v>0.32400000000000001</v>
      </c>
      <c r="N459">
        <v>0.5</v>
      </c>
      <c r="O459">
        <v>1</v>
      </c>
      <c r="P459">
        <v>0.48599999999999999</v>
      </c>
      <c r="Q459">
        <v>0.9</v>
      </c>
      <c r="R459">
        <v>3.5</v>
      </c>
      <c r="S459">
        <v>4.4000000000000004</v>
      </c>
      <c r="T459">
        <v>1.2</v>
      </c>
      <c r="U459">
        <v>0.6</v>
      </c>
      <c r="V459">
        <v>0.2</v>
      </c>
      <c r="W459">
        <v>0.8</v>
      </c>
      <c r="X459">
        <v>1.9</v>
      </c>
      <c r="Y459">
        <v>5.0999999999999996</v>
      </c>
      <c r="AP459">
        <v>2</v>
      </c>
      <c r="AQ459">
        <v>4.3</v>
      </c>
      <c r="AR459">
        <v>0.7</v>
      </c>
      <c r="AS459">
        <v>2</v>
      </c>
      <c r="AT459">
        <v>0.5</v>
      </c>
      <c r="AU459">
        <v>1</v>
      </c>
      <c r="AV459">
        <v>4.4000000000000004</v>
      </c>
      <c r="AW459">
        <v>1.2</v>
      </c>
      <c r="AX459">
        <v>5.0999999999999996</v>
      </c>
    </row>
    <row r="460" spans="1:50" x14ac:dyDescent="0.2">
      <c r="A460" s="1" t="s">
        <v>438</v>
      </c>
      <c r="B460" s="1" t="s">
        <v>31</v>
      </c>
      <c r="C460">
        <v>26</v>
      </c>
      <c r="D460" s="1" t="s">
        <v>44</v>
      </c>
      <c r="E460">
        <v>49</v>
      </c>
      <c r="F460">
        <v>18</v>
      </c>
      <c r="G460">
        <v>15.9</v>
      </c>
      <c r="H460">
        <v>1.9</v>
      </c>
      <c r="I460">
        <v>4.5</v>
      </c>
      <c r="J460">
        <v>0.42899999999999999</v>
      </c>
      <c r="K460">
        <v>1</v>
      </c>
      <c r="L460">
        <v>2.5</v>
      </c>
      <c r="M460">
        <v>0.39300000000000002</v>
      </c>
      <c r="N460">
        <v>0.3</v>
      </c>
      <c r="O460">
        <v>0.3</v>
      </c>
      <c r="P460">
        <v>0.86699999999999999</v>
      </c>
      <c r="Q460">
        <v>0.4</v>
      </c>
      <c r="R460">
        <v>1.9</v>
      </c>
      <c r="S460">
        <v>2.2999999999999998</v>
      </c>
      <c r="T460">
        <v>2.2000000000000002</v>
      </c>
      <c r="U460">
        <v>0.3</v>
      </c>
      <c r="V460">
        <v>0.1</v>
      </c>
      <c r="W460">
        <v>0.7</v>
      </c>
      <c r="X460">
        <v>0.9</v>
      </c>
      <c r="Y460">
        <v>5.0999999999999996</v>
      </c>
      <c r="AP460">
        <v>1.9</v>
      </c>
      <c r="AQ460">
        <v>4.5</v>
      </c>
      <c r="AR460">
        <v>1</v>
      </c>
      <c r="AS460">
        <v>2.5</v>
      </c>
      <c r="AT460">
        <v>0.3</v>
      </c>
      <c r="AU460">
        <v>0.3</v>
      </c>
      <c r="AV460">
        <v>2.2999999999999998</v>
      </c>
      <c r="AW460">
        <v>2.2000000000000002</v>
      </c>
      <c r="AX460">
        <v>5.0999999999999996</v>
      </c>
    </row>
    <row r="461" spans="1:50" x14ac:dyDescent="0.2">
      <c r="A461" s="1" t="s">
        <v>439</v>
      </c>
      <c r="B461" s="1" t="s">
        <v>26</v>
      </c>
      <c r="C461">
        <v>21</v>
      </c>
      <c r="D461" s="1" t="s">
        <v>41</v>
      </c>
      <c r="E461">
        <v>49</v>
      </c>
      <c r="F461">
        <v>1</v>
      </c>
      <c r="G461">
        <v>10.4</v>
      </c>
      <c r="H461">
        <v>1.7</v>
      </c>
      <c r="I461">
        <v>4.3</v>
      </c>
      <c r="J461">
        <v>0.40200000000000002</v>
      </c>
      <c r="K461">
        <v>0.9</v>
      </c>
      <c r="L461">
        <v>2.5</v>
      </c>
      <c r="M461">
        <v>0.34100000000000003</v>
      </c>
      <c r="N461">
        <v>0.8</v>
      </c>
      <c r="O461">
        <v>0.9</v>
      </c>
      <c r="P461">
        <v>0.88900000000000001</v>
      </c>
      <c r="Q461">
        <v>0.2</v>
      </c>
      <c r="R461">
        <v>0.9</v>
      </c>
      <c r="S461">
        <v>1.1000000000000001</v>
      </c>
      <c r="T461">
        <v>1.3</v>
      </c>
      <c r="U461">
        <v>0.5</v>
      </c>
      <c r="V461">
        <v>0</v>
      </c>
      <c r="W461">
        <v>0.7</v>
      </c>
      <c r="X461">
        <v>1.2</v>
      </c>
      <c r="Y461">
        <v>5.0999999999999996</v>
      </c>
      <c r="AP461">
        <v>1.7</v>
      </c>
      <c r="AQ461">
        <v>4.3</v>
      </c>
      <c r="AR461">
        <v>0.9</v>
      </c>
      <c r="AS461">
        <v>2.5</v>
      </c>
      <c r="AT461">
        <v>0.8</v>
      </c>
      <c r="AU461">
        <v>0.9</v>
      </c>
      <c r="AV461">
        <v>1.1000000000000001</v>
      </c>
      <c r="AW461">
        <v>1.3</v>
      </c>
      <c r="AX461">
        <v>5.0999999999999996</v>
      </c>
    </row>
    <row r="462" spans="1:50" x14ac:dyDescent="0.2">
      <c r="A462" s="1" t="s">
        <v>440</v>
      </c>
      <c r="B462" s="1" t="s">
        <v>31</v>
      </c>
      <c r="C462">
        <v>25</v>
      </c>
      <c r="D462" s="1" t="s">
        <v>32</v>
      </c>
      <c r="E462">
        <v>42</v>
      </c>
      <c r="F462">
        <v>1</v>
      </c>
      <c r="G462">
        <v>12</v>
      </c>
      <c r="H462">
        <v>1.7</v>
      </c>
      <c r="I462">
        <v>3.6</v>
      </c>
      <c r="J462">
        <v>0.46400000000000002</v>
      </c>
      <c r="K462">
        <v>0.7</v>
      </c>
      <c r="L462">
        <v>1.6</v>
      </c>
      <c r="M462">
        <v>0.44900000000000001</v>
      </c>
      <c r="N462">
        <v>1</v>
      </c>
      <c r="O462">
        <v>1.2</v>
      </c>
      <c r="P462">
        <v>0.80800000000000005</v>
      </c>
      <c r="Q462">
        <v>0.2</v>
      </c>
      <c r="R462">
        <v>0.9</v>
      </c>
      <c r="S462">
        <v>1.1000000000000001</v>
      </c>
      <c r="T462">
        <v>0.8</v>
      </c>
      <c r="U462">
        <v>0.3</v>
      </c>
      <c r="V462">
        <v>0</v>
      </c>
      <c r="W462">
        <v>0.5</v>
      </c>
      <c r="X462">
        <v>1.1000000000000001</v>
      </c>
      <c r="Y462">
        <v>5.0999999999999996</v>
      </c>
      <c r="AP462">
        <v>1.7</v>
      </c>
      <c r="AQ462">
        <v>3.6</v>
      </c>
      <c r="AR462">
        <v>0.7</v>
      </c>
      <c r="AS462">
        <v>1.6</v>
      </c>
      <c r="AT462">
        <v>1</v>
      </c>
      <c r="AU462">
        <v>1.2</v>
      </c>
      <c r="AV462">
        <v>1.1000000000000001</v>
      </c>
      <c r="AW462">
        <v>0.8</v>
      </c>
      <c r="AX462">
        <v>5.0999999999999996</v>
      </c>
    </row>
    <row r="463" spans="1:50" x14ac:dyDescent="0.2">
      <c r="A463" s="1" t="s">
        <v>441</v>
      </c>
      <c r="B463" s="1" t="s">
        <v>43</v>
      </c>
      <c r="C463">
        <v>25</v>
      </c>
      <c r="D463" s="1" t="s">
        <v>442</v>
      </c>
      <c r="E463">
        <v>12</v>
      </c>
      <c r="F463">
        <v>0</v>
      </c>
      <c r="G463">
        <v>11.3</v>
      </c>
      <c r="H463">
        <v>2.2000000000000002</v>
      </c>
      <c r="I463">
        <v>3.4</v>
      </c>
      <c r="J463">
        <v>0.63400000000000001</v>
      </c>
      <c r="K463">
        <v>0</v>
      </c>
      <c r="L463">
        <v>0</v>
      </c>
      <c r="N463">
        <v>0.7</v>
      </c>
      <c r="O463">
        <v>1</v>
      </c>
      <c r="P463">
        <v>0.66700000000000004</v>
      </c>
      <c r="Q463">
        <v>1.8</v>
      </c>
      <c r="R463">
        <v>2.8</v>
      </c>
      <c r="S463">
        <v>4.5</v>
      </c>
      <c r="T463">
        <v>0.4</v>
      </c>
      <c r="U463">
        <v>0.3</v>
      </c>
      <c r="V463">
        <v>0.9</v>
      </c>
      <c r="W463">
        <v>0.4</v>
      </c>
      <c r="X463">
        <v>1.3</v>
      </c>
      <c r="Y463">
        <v>5</v>
      </c>
      <c r="AP463">
        <v>2.2000000000000002</v>
      </c>
      <c r="AQ463">
        <v>3.4</v>
      </c>
      <c r="AR463">
        <v>0</v>
      </c>
      <c r="AS463">
        <v>0</v>
      </c>
      <c r="AT463">
        <v>0.7</v>
      </c>
      <c r="AU463">
        <v>1</v>
      </c>
      <c r="AV463">
        <v>4.5</v>
      </c>
      <c r="AW463">
        <v>0.4</v>
      </c>
      <c r="AX463">
        <v>5</v>
      </c>
    </row>
    <row r="464" spans="1:50" x14ac:dyDescent="0.2">
      <c r="A464" s="1" t="s">
        <v>443</v>
      </c>
      <c r="B464" s="1" t="s">
        <v>31</v>
      </c>
      <c r="C464">
        <v>21</v>
      </c>
      <c r="D464" s="1" t="s">
        <v>70</v>
      </c>
      <c r="E464">
        <v>63</v>
      </c>
      <c r="F464">
        <v>7</v>
      </c>
      <c r="G464">
        <v>16.399999999999999</v>
      </c>
      <c r="H464">
        <v>1.8</v>
      </c>
      <c r="I464">
        <v>4.7</v>
      </c>
      <c r="J464">
        <v>0.38600000000000001</v>
      </c>
      <c r="K464">
        <v>0.7</v>
      </c>
      <c r="L464">
        <v>2.1</v>
      </c>
      <c r="M464">
        <v>0.32100000000000001</v>
      </c>
      <c r="N464">
        <v>0.6</v>
      </c>
      <c r="O464">
        <v>0.8</v>
      </c>
      <c r="P464">
        <v>0.76500000000000001</v>
      </c>
      <c r="Q464">
        <v>0.7</v>
      </c>
      <c r="R464">
        <v>2.1</v>
      </c>
      <c r="S464">
        <v>2.8</v>
      </c>
      <c r="T464">
        <v>1</v>
      </c>
      <c r="U464">
        <v>0.8</v>
      </c>
      <c r="V464">
        <v>0.1</v>
      </c>
      <c r="W464">
        <v>0.8</v>
      </c>
      <c r="X464">
        <v>1.9</v>
      </c>
      <c r="Y464">
        <v>4.9000000000000004</v>
      </c>
      <c r="AP464">
        <v>1.8</v>
      </c>
      <c r="AQ464">
        <v>4.7</v>
      </c>
      <c r="AR464">
        <v>0.7</v>
      </c>
      <c r="AS464">
        <v>2.1</v>
      </c>
      <c r="AT464">
        <v>0.6</v>
      </c>
      <c r="AU464">
        <v>0.8</v>
      </c>
      <c r="AV464">
        <v>2.8</v>
      </c>
      <c r="AW464">
        <v>1</v>
      </c>
      <c r="AX464">
        <v>4.9000000000000004</v>
      </c>
    </row>
    <row r="465" spans="1:50" x14ac:dyDescent="0.2">
      <c r="A465" s="1" t="s">
        <v>443</v>
      </c>
      <c r="B465" s="1" t="s">
        <v>31</v>
      </c>
      <c r="C465">
        <v>21</v>
      </c>
      <c r="D465" s="1" t="s">
        <v>62</v>
      </c>
      <c r="E465">
        <v>48</v>
      </c>
      <c r="F465">
        <v>0</v>
      </c>
      <c r="G465">
        <v>12</v>
      </c>
      <c r="H465">
        <v>1.1000000000000001</v>
      </c>
      <c r="I465">
        <v>3.1</v>
      </c>
      <c r="J465">
        <v>0.36099999999999999</v>
      </c>
      <c r="K465">
        <v>0.5</v>
      </c>
      <c r="L465">
        <v>1.5</v>
      </c>
      <c r="M465">
        <v>0.31</v>
      </c>
      <c r="N465">
        <v>0.2</v>
      </c>
      <c r="O465">
        <v>0.3</v>
      </c>
      <c r="P465">
        <v>0.64300000000000002</v>
      </c>
      <c r="Q465">
        <v>0.5</v>
      </c>
      <c r="R465">
        <v>1.3</v>
      </c>
      <c r="S465">
        <v>1.8</v>
      </c>
      <c r="T465">
        <v>0.7</v>
      </c>
      <c r="U465">
        <v>0.6</v>
      </c>
      <c r="V465">
        <v>0</v>
      </c>
      <c r="W465">
        <v>0.6</v>
      </c>
      <c r="X465">
        <v>1.3</v>
      </c>
      <c r="Y465">
        <v>2.9</v>
      </c>
      <c r="AP465">
        <v>1.1000000000000001</v>
      </c>
      <c r="AQ465">
        <v>3.1</v>
      </c>
      <c r="AR465">
        <v>0.5</v>
      </c>
      <c r="AS465">
        <v>1.5</v>
      </c>
      <c r="AT465">
        <v>0.2</v>
      </c>
      <c r="AU465">
        <v>0.3</v>
      </c>
      <c r="AV465">
        <v>1.8</v>
      </c>
      <c r="AW465">
        <v>0.7</v>
      </c>
      <c r="AX465">
        <v>2.9</v>
      </c>
    </row>
    <row r="466" spans="1:50" x14ac:dyDescent="0.2">
      <c r="A466" s="1" t="s">
        <v>443</v>
      </c>
      <c r="B466" s="1" t="s">
        <v>31</v>
      </c>
      <c r="C466">
        <v>21</v>
      </c>
      <c r="D466" s="1" t="s">
        <v>104</v>
      </c>
      <c r="E466">
        <v>15</v>
      </c>
      <c r="F466">
        <v>7</v>
      </c>
      <c r="G466">
        <v>30.3</v>
      </c>
      <c r="H466">
        <v>4.0999999999999996</v>
      </c>
      <c r="I466">
        <v>10.1</v>
      </c>
      <c r="J466">
        <v>0.41099999999999998</v>
      </c>
      <c r="K466">
        <v>1.3</v>
      </c>
      <c r="L466">
        <v>4</v>
      </c>
      <c r="M466">
        <v>0.33300000000000002</v>
      </c>
      <c r="N466">
        <v>2</v>
      </c>
      <c r="O466">
        <v>2.5</v>
      </c>
      <c r="P466">
        <v>0.81100000000000005</v>
      </c>
      <c r="Q466">
        <v>1.5</v>
      </c>
      <c r="R466">
        <v>4.5</v>
      </c>
      <c r="S466">
        <v>6</v>
      </c>
      <c r="T466">
        <v>1.9</v>
      </c>
      <c r="U466">
        <v>1.6</v>
      </c>
      <c r="V466">
        <v>0.4</v>
      </c>
      <c r="W466">
        <v>1.4</v>
      </c>
      <c r="X466">
        <v>4</v>
      </c>
      <c r="Y466">
        <v>11.6</v>
      </c>
      <c r="AP466">
        <v>4.0999999999999996</v>
      </c>
      <c r="AQ466">
        <v>10.1</v>
      </c>
      <c r="AR466">
        <v>1.3</v>
      </c>
      <c r="AS466">
        <v>4</v>
      </c>
      <c r="AT466">
        <v>2</v>
      </c>
      <c r="AU466">
        <v>2.5</v>
      </c>
      <c r="AV466">
        <v>6</v>
      </c>
      <c r="AW466">
        <v>1.9</v>
      </c>
      <c r="AX466">
        <v>11.6</v>
      </c>
    </row>
    <row r="467" spans="1:50" x14ac:dyDescent="0.2">
      <c r="A467" s="1" t="s">
        <v>444</v>
      </c>
      <c r="B467" s="1" t="s">
        <v>43</v>
      </c>
      <c r="C467">
        <v>22</v>
      </c>
      <c r="D467" s="1" t="s">
        <v>37</v>
      </c>
      <c r="E467">
        <v>70</v>
      </c>
      <c r="F467">
        <v>17</v>
      </c>
      <c r="G467">
        <v>17.399999999999999</v>
      </c>
      <c r="H467">
        <v>1.8</v>
      </c>
      <c r="I467">
        <v>3.1</v>
      </c>
      <c r="J467">
        <v>0.59399999999999997</v>
      </c>
      <c r="K467">
        <v>0</v>
      </c>
      <c r="L467">
        <v>0.1</v>
      </c>
      <c r="M467">
        <v>0.33300000000000002</v>
      </c>
      <c r="N467">
        <v>1.1000000000000001</v>
      </c>
      <c r="O467">
        <v>1.6</v>
      </c>
      <c r="P467">
        <v>0.70799999999999996</v>
      </c>
      <c r="Q467">
        <v>1.8</v>
      </c>
      <c r="R467">
        <v>2.5</v>
      </c>
      <c r="S467">
        <v>4.4000000000000004</v>
      </c>
      <c r="T467">
        <v>0.5</v>
      </c>
      <c r="U467">
        <v>0.4</v>
      </c>
      <c r="V467">
        <v>1.2</v>
      </c>
      <c r="W467">
        <v>0.8</v>
      </c>
      <c r="X467">
        <v>2.2000000000000002</v>
      </c>
      <c r="Y467">
        <v>4.9000000000000004</v>
      </c>
      <c r="AP467">
        <v>1.8</v>
      </c>
      <c r="AQ467">
        <v>3.1</v>
      </c>
      <c r="AR467">
        <v>0</v>
      </c>
      <c r="AS467">
        <v>0.1</v>
      </c>
      <c r="AT467">
        <v>1.1000000000000001</v>
      </c>
      <c r="AU467">
        <v>1.6</v>
      </c>
      <c r="AV467">
        <v>4.4000000000000004</v>
      </c>
      <c r="AW467">
        <v>0.5</v>
      </c>
      <c r="AX467">
        <v>4.9000000000000004</v>
      </c>
    </row>
    <row r="468" spans="1:50" x14ac:dyDescent="0.2">
      <c r="A468" s="1" t="s">
        <v>445</v>
      </c>
      <c r="B468" s="1" t="s">
        <v>31</v>
      </c>
      <c r="C468">
        <v>23</v>
      </c>
      <c r="D468" s="1" t="s">
        <v>81</v>
      </c>
      <c r="E468">
        <v>50</v>
      </c>
      <c r="F468">
        <v>0</v>
      </c>
      <c r="G468">
        <v>13.2</v>
      </c>
      <c r="H468">
        <v>1.8</v>
      </c>
      <c r="I468">
        <v>4.8</v>
      </c>
      <c r="J468">
        <v>0.377</v>
      </c>
      <c r="K468">
        <v>0.9</v>
      </c>
      <c r="L468">
        <v>2.6</v>
      </c>
      <c r="M468">
        <v>0.35099999999999998</v>
      </c>
      <c r="N468">
        <v>0.4</v>
      </c>
      <c r="O468">
        <v>0.5</v>
      </c>
      <c r="P468">
        <v>0.82599999999999996</v>
      </c>
      <c r="Q468">
        <v>0.4</v>
      </c>
      <c r="R468">
        <v>1.3</v>
      </c>
      <c r="S468">
        <v>1.7</v>
      </c>
      <c r="T468">
        <v>0.8</v>
      </c>
      <c r="U468">
        <v>0.2</v>
      </c>
      <c r="V468">
        <v>0.2</v>
      </c>
      <c r="W468">
        <v>0.7</v>
      </c>
      <c r="X468">
        <v>0.5</v>
      </c>
      <c r="Y468">
        <v>4.9000000000000004</v>
      </c>
      <c r="AP468">
        <v>1.8</v>
      </c>
      <c r="AQ468">
        <v>4.8</v>
      </c>
      <c r="AR468">
        <v>0.9</v>
      </c>
      <c r="AS468">
        <v>2.6</v>
      </c>
      <c r="AT468">
        <v>0.4</v>
      </c>
      <c r="AU468">
        <v>0.5</v>
      </c>
      <c r="AV468">
        <v>1.7</v>
      </c>
      <c r="AW468">
        <v>0.8</v>
      </c>
      <c r="AX468">
        <v>4.9000000000000004</v>
      </c>
    </row>
    <row r="469" spans="1:50" x14ac:dyDescent="0.2">
      <c r="A469" s="1" t="s">
        <v>446</v>
      </c>
      <c r="B469" s="1" t="s">
        <v>23</v>
      </c>
      <c r="C469">
        <v>20</v>
      </c>
      <c r="D469" s="1" t="s">
        <v>74</v>
      </c>
      <c r="E469">
        <v>43</v>
      </c>
      <c r="F469">
        <v>1</v>
      </c>
      <c r="G469">
        <v>10.7</v>
      </c>
      <c r="H469">
        <v>2</v>
      </c>
      <c r="I469">
        <v>3.6</v>
      </c>
      <c r="J469">
        <v>0.53800000000000003</v>
      </c>
      <c r="K469">
        <v>0.7</v>
      </c>
      <c r="L469">
        <v>1.7</v>
      </c>
      <c r="M469">
        <v>0.38900000000000001</v>
      </c>
      <c r="N469">
        <v>0.3</v>
      </c>
      <c r="O469">
        <v>0.6</v>
      </c>
      <c r="P469">
        <v>0.56000000000000005</v>
      </c>
      <c r="Q469">
        <v>0.9</v>
      </c>
      <c r="R469">
        <v>1</v>
      </c>
      <c r="S469">
        <v>2</v>
      </c>
      <c r="T469">
        <v>0.6</v>
      </c>
      <c r="U469">
        <v>0.4</v>
      </c>
      <c r="V469">
        <v>0.3</v>
      </c>
      <c r="W469">
        <v>0.5</v>
      </c>
      <c r="X469">
        <v>1.5</v>
      </c>
      <c r="Y469">
        <v>4.9000000000000004</v>
      </c>
      <c r="AP469">
        <v>2</v>
      </c>
      <c r="AQ469">
        <v>3.6</v>
      </c>
      <c r="AR469">
        <v>0.7</v>
      </c>
      <c r="AS469">
        <v>1.7</v>
      </c>
      <c r="AT469">
        <v>0.3</v>
      </c>
      <c r="AU469">
        <v>0.6</v>
      </c>
      <c r="AV469">
        <v>2</v>
      </c>
      <c r="AW469">
        <v>0.6</v>
      </c>
      <c r="AX469">
        <v>4.9000000000000004</v>
      </c>
    </row>
    <row r="470" spans="1:50" x14ac:dyDescent="0.2">
      <c r="A470" s="1" t="s">
        <v>447</v>
      </c>
      <c r="B470" s="1" t="s">
        <v>31</v>
      </c>
      <c r="C470">
        <v>22</v>
      </c>
      <c r="D470" s="1" t="s">
        <v>62</v>
      </c>
      <c r="E470">
        <v>30</v>
      </c>
      <c r="F470">
        <v>0</v>
      </c>
      <c r="G470">
        <v>12</v>
      </c>
      <c r="H470">
        <v>1.9</v>
      </c>
      <c r="I470">
        <v>4.0999999999999996</v>
      </c>
      <c r="J470">
        <v>0.45200000000000001</v>
      </c>
      <c r="K470">
        <v>0.3</v>
      </c>
      <c r="L470">
        <v>1.2</v>
      </c>
      <c r="M470">
        <v>0.27800000000000002</v>
      </c>
      <c r="N470">
        <v>0.9</v>
      </c>
      <c r="O470">
        <v>1.6</v>
      </c>
      <c r="P470">
        <v>0.55300000000000005</v>
      </c>
      <c r="Q470">
        <v>0.3</v>
      </c>
      <c r="R470">
        <v>1</v>
      </c>
      <c r="S470">
        <v>1.3</v>
      </c>
      <c r="T470">
        <v>2.1</v>
      </c>
      <c r="U470">
        <v>0.5</v>
      </c>
      <c r="V470">
        <v>0.2</v>
      </c>
      <c r="W470">
        <v>1</v>
      </c>
      <c r="X470">
        <v>1.1000000000000001</v>
      </c>
      <c r="Y470">
        <v>4.9000000000000004</v>
      </c>
      <c r="AP470">
        <v>1.9</v>
      </c>
      <c r="AQ470">
        <v>4.0999999999999996</v>
      </c>
      <c r="AR470">
        <v>0.3</v>
      </c>
      <c r="AS470">
        <v>1.2</v>
      </c>
      <c r="AT470">
        <v>0.9</v>
      </c>
      <c r="AU470">
        <v>1.6</v>
      </c>
      <c r="AV470">
        <v>1.3</v>
      </c>
      <c r="AW470">
        <v>2.1</v>
      </c>
      <c r="AX470">
        <v>4.9000000000000004</v>
      </c>
    </row>
    <row r="471" spans="1:50" x14ac:dyDescent="0.2">
      <c r="A471" s="1" t="s">
        <v>448</v>
      </c>
      <c r="B471" s="1" t="s">
        <v>43</v>
      </c>
      <c r="C471">
        <v>27</v>
      </c>
      <c r="D471" s="1" t="s">
        <v>46</v>
      </c>
      <c r="E471">
        <v>66</v>
      </c>
      <c r="F471">
        <v>18</v>
      </c>
      <c r="G471">
        <v>19.5</v>
      </c>
      <c r="H471">
        <v>2.1</v>
      </c>
      <c r="I471">
        <v>2.7</v>
      </c>
      <c r="J471">
        <v>0.78400000000000003</v>
      </c>
      <c r="K471">
        <v>0</v>
      </c>
      <c r="L471">
        <v>0</v>
      </c>
      <c r="N471">
        <v>0.7</v>
      </c>
      <c r="O471">
        <v>1.1000000000000001</v>
      </c>
      <c r="P471">
        <v>0.61399999999999999</v>
      </c>
      <c r="Q471">
        <v>2.2000000000000002</v>
      </c>
      <c r="R471">
        <v>3.3</v>
      </c>
      <c r="S471">
        <v>5.5</v>
      </c>
      <c r="T471">
        <v>1.5</v>
      </c>
      <c r="U471">
        <v>0.3</v>
      </c>
      <c r="V471">
        <v>0.3</v>
      </c>
      <c r="W471">
        <v>1.1000000000000001</v>
      </c>
      <c r="X471">
        <v>2.2000000000000002</v>
      </c>
      <c r="Y471">
        <v>4.8</v>
      </c>
      <c r="AP471">
        <v>2.1</v>
      </c>
      <c r="AQ471">
        <v>2.7</v>
      </c>
      <c r="AR471">
        <v>0</v>
      </c>
      <c r="AS471">
        <v>0</v>
      </c>
      <c r="AT471">
        <v>0.7</v>
      </c>
      <c r="AU471">
        <v>1.1000000000000001</v>
      </c>
      <c r="AV471">
        <v>5.5</v>
      </c>
      <c r="AW471">
        <v>1.5</v>
      </c>
      <c r="AX471">
        <v>4.8</v>
      </c>
    </row>
    <row r="472" spans="1:50" x14ac:dyDescent="0.2">
      <c r="A472" s="1" t="s">
        <v>449</v>
      </c>
      <c r="B472" s="1" t="s">
        <v>26</v>
      </c>
      <c r="C472">
        <v>23</v>
      </c>
      <c r="D472" s="1" t="s">
        <v>70</v>
      </c>
      <c r="E472">
        <v>20</v>
      </c>
      <c r="F472">
        <v>2</v>
      </c>
      <c r="G472">
        <v>12.9</v>
      </c>
      <c r="H472">
        <v>1.7</v>
      </c>
      <c r="I472">
        <v>5</v>
      </c>
      <c r="J472">
        <v>0.34300000000000003</v>
      </c>
      <c r="K472">
        <v>0.6</v>
      </c>
      <c r="L472">
        <v>2</v>
      </c>
      <c r="M472">
        <v>0.3</v>
      </c>
      <c r="N472">
        <v>0.6</v>
      </c>
      <c r="O472">
        <v>0.9</v>
      </c>
      <c r="P472">
        <v>0.61099999999999999</v>
      </c>
      <c r="Q472">
        <v>0.5</v>
      </c>
      <c r="R472">
        <v>1.4</v>
      </c>
      <c r="S472">
        <v>1.9</v>
      </c>
      <c r="T472">
        <v>2.2000000000000002</v>
      </c>
      <c r="U472">
        <v>0.8</v>
      </c>
      <c r="V472">
        <v>0</v>
      </c>
      <c r="W472">
        <v>1.3</v>
      </c>
      <c r="X472">
        <v>0.9</v>
      </c>
      <c r="Y472">
        <v>4.5999999999999996</v>
      </c>
      <c r="AP472">
        <v>1.7</v>
      </c>
      <c r="AQ472">
        <v>5</v>
      </c>
      <c r="AR472">
        <v>0.6</v>
      </c>
      <c r="AS472">
        <v>2</v>
      </c>
      <c r="AT472">
        <v>0.6</v>
      </c>
      <c r="AU472">
        <v>0.9</v>
      </c>
      <c r="AV472">
        <v>1.9</v>
      </c>
      <c r="AW472">
        <v>2.2000000000000002</v>
      </c>
      <c r="AX472">
        <v>4.5999999999999996</v>
      </c>
    </row>
    <row r="473" spans="1:50" x14ac:dyDescent="0.2">
      <c r="A473" s="1" t="s">
        <v>449</v>
      </c>
      <c r="B473" s="1" t="s">
        <v>26</v>
      </c>
      <c r="C473">
        <v>23</v>
      </c>
      <c r="D473" s="1" t="s">
        <v>98</v>
      </c>
      <c r="E473">
        <v>14</v>
      </c>
      <c r="F473">
        <v>2</v>
      </c>
      <c r="G473">
        <v>15.9</v>
      </c>
      <c r="H473">
        <v>2.2000000000000002</v>
      </c>
      <c r="I473">
        <v>6.4</v>
      </c>
      <c r="J473">
        <v>0.34799999999999998</v>
      </c>
      <c r="K473">
        <v>0.9</v>
      </c>
      <c r="L473">
        <v>2.8</v>
      </c>
      <c r="M473">
        <v>0.308</v>
      </c>
      <c r="N473">
        <v>0.7</v>
      </c>
      <c r="O473">
        <v>1.1000000000000001</v>
      </c>
      <c r="P473">
        <v>0.625</v>
      </c>
      <c r="Q473">
        <v>0.4</v>
      </c>
      <c r="R473">
        <v>1.7</v>
      </c>
      <c r="S473">
        <v>2.1</v>
      </c>
      <c r="T473">
        <v>2.5</v>
      </c>
      <c r="U473">
        <v>1.1000000000000001</v>
      </c>
      <c r="V473">
        <v>0</v>
      </c>
      <c r="W473">
        <v>1.7</v>
      </c>
      <c r="X473">
        <v>1</v>
      </c>
      <c r="Y473">
        <v>6</v>
      </c>
      <c r="AP473">
        <v>2.2000000000000002</v>
      </c>
      <c r="AQ473">
        <v>6.4</v>
      </c>
      <c r="AR473">
        <v>0.9</v>
      </c>
      <c r="AS473">
        <v>2.8</v>
      </c>
      <c r="AT473">
        <v>0.7</v>
      </c>
      <c r="AU473">
        <v>1.1000000000000001</v>
      </c>
      <c r="AV473">
        <v>2.1</v>
      </c>
      <c r="AW473">
        <v>2.5</v>
      </c>
      <c r="AX473">
        <v>6</v>
      </c>
    </row>
    <row r="474" spans="1:50" x14ac:dyDescent="0.2">
      <c r="A474" s="1" t="s">
        <v>450</v>
      </c>
      <c r="B474" s="1" t="s">
        <v>26</v>
      </c>
      <c r="C474">
        <v>28</v>
      </c>
      <c r="D474" s="1" t="s">
        <v>41</v>
      </c>
      <c r="E474">
        <v>35</v>
      </c>
      <c r="F474">
        <v>3</v>
      </c>
      <c r="G474">
        <v>20.8</v>
      </c>
      <c r="H474">
        <v>1.5</v>
      </c>
      <c r="I474">
        <v>5</v>
      </c>
      <c r="J474">
        <v>0.30099999999999999</v>
      </c>
      <c r="K474">
        <v>1.1000000000000001</v>
      </c>
      <c r="L474">
        <v>4.2</v>
      </c>
      <c r="M474">
        <v>0.27200000000000002</v>
      </c>
      <c r="N474">
        <v>0.4</v>
      </c>
      <c r="O474">
        <v>0.6</v>
      </c>
      <c r="P474">
        <v>0.66700000000000004</v>
      </c>
      <c r="Q474">
        <v>0.7</v>
      </c>
      <c r="R474">
        <v>3.3</v>
      </c>
      <c r="S474">
        <v>4</v>
      </c>
      <c r="T474">
        <v>3.9</v>
      </c>
      <c r="U474">
        <v>1.3</v>
      </c>
      <c r="V474">
        <v>0.3</v>
      </c>
      <c r="W474">
        <v>1.5</v>
      </c>
      <c r="X474">
        <v>1.3</v>
      </c>
      <c r="Y474">
        <v>4.5999999999999996</v>
      </c>
      <c r="AP474">
        <v>1.5</v>
      </c>
      <c r="AQ474">
        <v>5</v>
      </c>
      <c r="AR474">
        <v>1.1000000000000001</v>
      </c>
      <c r="AS474">
        <v>4.2</v>
      </c>
      <c r="AT474">
        <v>0.4</v>
      </c>
      <c r="AU474">
        <v>0.6</v>
      </c>
      <c r="AV474">
        <v>4</v>
      </c>
      <c r="AW474">
        <v>3.9</v>
      </c>
      <c r="AX474">
        <v>4.5999999999999996</v>
      </c>
    </row>
    <row r="475" spans="1:50" x14ac:dyDescent="0.2">
      <c r="A475" s="1" t="s">
        <v>451</v>
      </c>
      <c r="B475" s="1" t="s">
        <v>31</v>
      </c>
      <c r="C475">
        <v>22</v>
      </c>
      <c r="D475" s="1" t="s">
        <v>113</v>
      </c>
      <c r="E475">
        <v>28</v>
      </c>
      <c r="F475">
        <v>0</v>
      </c>
      <c r="G475">
        <v>9.8000000000000007</v>
      </c>
      <c r="H475">
        <v>1.5</v>
      </c>
      <c r="I475">
        <v>3.3</v>
      </c>
      <c r="J475">
        <v>0.47299999999999998</v>
      </c>
      <c r="K475">
        <v>0.5</v>
      </c>
      <c r="L475">
        <v>1.3</v>
      </c>
      <c r="M475">
        <v>0.378</v>
      </c>
      <c r="N475">
        <v>1</v>
      </c>
      <c r="O475">
        <v>1.2</v>
      </c>
      <c r="P475">
        <v>0.82399999999999995</v>
      </c>
      <c r="Q475">
        <v>0.4</v>
      </c>
      <c r="R475">
        <v>1.1000000000000001</v>
      </c>
      <c r="S475">
        <v>1.6</v>
      </c>
      <c r="T475">
        <v>0.8</v>
      </c>
      <c r="U475">
        <v>0.4</v>
      </c>
      <c r="V475">
        <v>0.1</v>
      </c>
      <c r="W475">
        <v>0.5</v>
      </c>
      <c r="X475">
        <v>0.8</v>
      </c>
      <c r="Y475">
        <v>4.5999999999999996</v>
      </c>
      <c r="AP475">
        <v>1.5</v>
      </c>
      <c r="AQ475">
        <v>3.3</v>
      </c>
      <c r="AR475">
        <v>0.5</v>
      </c>
      <c r="AS475">
        <v>1.3</v>
      </c>
      <c r="AT475">
        <v>1</v>
      </c>
      <c r="AU475">
        <v>1.2</v>
      </c>
      <c r="AV475">
        <v>1.6</v>
      </c>
      <c r="AW475">
        <v>0.8</v>
      </c>
      <c r="AX475">
        <v>4.5999999999999996</v>
      </c>
    </row>
    <row r="476" spans="1:50" x14ac:dyDescent="0.2">
      <c r="A476" s="1" t="s">
        <v>452</v>
      </c>
      <c r="B476" s="1" t="s">
        <v>23</v>
      </c>
      <c r="C476">
        <v>25</v>
      </c>
      <c r="D476" s="1" t="s">
        <v>70</v>
      </c>
      <c r="E476">
        <v>22</v>
      </c>
      <c r="F476">
        <v>3</v>
      </c>
      <c r="G476">
        <v>16.399999999999999</v>
      </c>
      <c r="H476">
        <v>1.7</v>
      </c>
      <c r="I476">
        <v>4.5</v>
      </c>
      <c r="J476">
        <v>0.37</v>
      </c>
      <c r="K476">
        <v>0.5</v>
      </c>
      <c r="L476">
        <v>1.9</v>
      </c>
      <c r="M476">
        <v>0.24399999999999999</v>
      </c>
      <c r="N476">
        <v>0.8</v>
      </c>
      <c r="O476">
        <v>0.8</v>
      </c>
      <c r="P476">
        <v>0.94399999999999995</v>
      </c>
      <c r="Q476">
        <v>1.6</v>
      </c>
      <c r="R476">
        <v>3</v>
      </c>
      <c r="S476">
        <v>4.7</v>
      </c>
      <c r="T476">
        <v>0.7</v>
      </c>
      <c r="U476">
        <v>0.4</v>
      </c>
      <c r="V476">
        <v>0</v>
      </c>
      <c r="W476">
        <v>0.5</v>
      </c>
      <c r="X476">
        <v>1.2</v>
      </c>
      <c r="Y476">
        <v>4.5999999999999996</v>
      </c>
      <c r="AP476">
        <v>1.7</v>
      </c>
      <c r="AQ476">
        <v>4.5</v>
      </c>
      <c r="AR476">
        <v>0.5</v>
      </c>
      <c r="AS476">
        <v>1.9</v>
      </c>
      <c r="AT476">
        <v>0.8</v>
      </c>
      <c r="AU476">
        <v>0.8</v>
      </c>
      <c r="AV476">
        <v>4.7</v>
      </c>
      <c r="AW476">
        <v>0.7</v>
      </c>
      <c r="AX476">
        <v>4.5999999999999996</v>
      </c>
    </row>
    <row r="477" spans="1:50" x14ac:dyDescent="0.2">
      <c r="A477" s="1" t="s">
        <v>452</v>
      </c>
      <c r="B477" s="1" t="s">
        <v>23</v>
      </c>
      <c r="C477">
        <v>25</v>
      </c>
      <c r="D477" s="1" t="s">
        <v>68</v>
      </c>
      <c r="E477">
        <v>17</v>
      </c>
      <c r="F477">
        <v>3</v>
      </c>
      <c r="G477">
        <v>17.600000000000001</v>
      </c>
      <c r="H477">
        <v>1.7</v>
      </c>
      <c r="I477">
        <v>4.9000000000000004</v>
      </c>
      <c r="J477">
        <v>0.34899999999999998</v>
      </c>
      <c r="K477">
        <v>0.5</v>
      </c>
      <c r="L477">
        <v>1.9</v>
      </c>
      <c r="M477">
        <v>0.24199999999999999</v>
      </c>
      <c r="N477">
        <v>0.8</v>
      </c>
      <c r="O477">
        <v>0.8</v>
      </c>
      <c r="P477">
        <v>0.92900000000000005</v>
      </c>
      <c r="Q477">
        <v>1.9</v>
      </c>
      <c r="R477">
        <v>3.3</v>
      </c>
      <c r="S477">
        <v>5.2</v>
      </c>
      <c r="T477">
        <v>0.7</v>
      </c>
      <c r="U477">
        <v>0.4</v>
      </c>
      <c r="V477">
        <v>0.1</v>
      </c>
      <c r="W477">
        <v>0.6</v>
      </c>
      <c r="X477">
        <v>1.4</v>
      </c>
      <c r="Y477">
        <v>4.5999999999999996</v>
      </c>
      <c r="AP477">
        <v>1.7</v>
      </c>
      <c r="AQ477">
        <v>4.9000000000000004</v>
      </c>
      <c r="AR477">
        <v>0.5</v>
      </c>
      <c r="AS477">
        <v>1.9</v>
      </c>
      <c r="AT477">
        <v>0.8</v>
      </c>
      <c r="AU477">
        <v>0.8</v>
      </c>
      <c r="AV477">
        <v>5.2</v>
      </c>
      <c r="AW477">
        <v>0.7</v>
      </c>
      <c r="AX477">
        <v>4.5999999999999996</v>
      </c>
    </row>
    <row r="478" spans="1:50" x14ac:dyDescent="0.2">
      <c r="A478" s="1" t="s">
        <v>453</v>
      </c>
      <c r="B478" s="1" t="s">
        <v>43</v>
      </c>
      <c r="C478">
        <v>23</v>
      </c>
      <c r="D478" s="1" t="s">
        <v>70</v>
      </c>
      <c r="E478">
        <v>19</v>
      </c>
      <c r="F478">
        <v>2</v>
      </c>
      <c r="G478">
        <v>11.3</v>
      </c>
      <c r="H478">
        <v>1.6</v>
      </c>
      <c r="I478">
        <v>3.1</v>
      </c>
      <c r="J478">
        <v>0.50800000000000001</v>
      </c>
      <c r="K478">
        <v>0.2</v>
      </c>
      <c r="L478">
        <v>0.3</v>
      </c>
      <c r="M478">
        <v>0.6</v>
      </c>
      <c r="N478">
        <v>1.2</v>
      </c>
      <c r="O478">
        <v>1.5</v>
      </c>
      <c r="P478">
        <v>0.79300000000000004</v>
      </c>
      <c r="Q478">
        <v>1.7</v>
      </c>
      <c r="R478">
        <v>2.2000000000000002</v>
      </c>
      <c r="S478">
        <v>3.9</v>
      </c>
      <c r="T478">
        <v>0.5</v>
      </c>
      <c r="U478">
        <v>0.2</v>
      </c>
      <c r="V478">
        <v>0.5</v>
      </c>
      <c r="W478">
        <v>0.8</v>
      </c>
      <c r="X478">
        <v>1.2</v>
      </c>
      <c r="Y478">
        <v>4.5</v>
      </c>
      <c r="AP478">
        <v>1.6</v>
      </c>
      <c r="AQ478">
        <v>3.1</v>
      </c>
      <c r="AR478">
        <v>0.2</v>
      </c>
      <c r="AS478">
        <v>0.3</v>
      </c>
      <c r="AT478">
        <v>1.2</v>
      </c>
      <c r="AU478">
        <v>1.5</v>
      </c>
      <c r="AV478">
        <v>3.9</v>
      </c>
      <c r="AW478">
        <v>0.5</v>
      </c>
      <c r="AX478">
        <v>4.5</v>
      </c>
    </row>
    <row r="479" spans="1:50" x14ac:dyDescent="0.2">
      <c r="A479" s="1" t="s">
        <v>453</v>
      </c>
      <c r="B479" s="1" t="s">
        <v>43</v>
      </c>
      <c r="C479">
        <v>23</v>
      </c>
      <c r="D479" s="1" t="s">
        <v>98</v>
      </c>
      <c r="E479">
        <v>12</v>
      </c>
      <c r="F479">
        <v>2</v>
      </c>
      <c r="G479">
        <v>15.6</v>
      </c>
      <c r="H479">
        <v>2.1</v>
      </c>
      <c r="I479">
        <v>4.2</v>
      </c>
      <c r="J479">
        <v>0.5</v>
      </c>
      <c r="K479">
        <v>0.2</v>
      </c>
      <c r="L479">
        <v>0.2</v>
      </c>
      <c r="M479">
        <v>1</v>
      </c>
      <c r="N479">
        <v>1.8</v>
      </c>
      <c r="O479">
        <v>2.2000000000000002</v>
      </c>
      <c r="P479">
        <v>0.80800000000000005</v>
      </c>
      <c r="Q479">
        <v>2.5</v>
      </c>
      <c r="R479">
        <v>3</v>
      </c>
      <c r="S479">
        <v>5.5</v>
      </c>
      <c r="T479">
        <v>0.7</v>
      </c>
      <c r="U479">
        <v>0.3</v>
      </c>
      <c r="V479">
        <v>0.7</v>
      </c>
      <c r="W479">
        <v>1.3</v>
      </c>
      <c r="X479">
        <v>1.6</v>
      </c>
      <c r="Y479">
        <v>6.1</v>
      </c>
      <c r="AP479">
        <v>2.1</v>
      </c>
      <c r="AQ479">
        <v>4.2</v>
      </c>
      <c r="AR479">
        <v>0.2</v>
      </c>
      <c r="AS479">
        <v>0.2</v>
      </c>
      <c r="AT479">
        <v>1.8</v>
      </c>
      <c r="AU479">
        <v>2.2000000000000002</v>
      </c>
      <c r="AV479">
        <v>5.5</v>
      </c>
      <c r="AW479">
        <v>0.7</v>
      </c>
      <c r="AX479">
        <v>6.1</v>
      </c>
    </row>
    <row r="480" spans="1:50" x14ac:dyDescent="0.2">
      <c r="A480" s="1" t="s">
        <v>454</v>
      </c>
      <c r="B480" s="1" t="s">
        <v>26</v>
      </c>
      <c r="C480">
        <v>38</v>
      </c>
      <c r="D480" s="1" t="s">
        <v>32</v>
      </c>
      <c r="E480">
        <v>54</v>
      </c>
      <c r="F480">
        <v>15</v>
      </c>
      <c r="G480">
        <v>18.399999999999999</v>
      </c>
      <c r="H480">
        <v>1.3</v>
      </c>
      <c r="I480">
        <v>4</v>
      </c>
      <c r="J480">
        <v>0.33500000000000002</v>
      </c>
      <c r="K480">
        <v>1</v>
      </c>
      <c r="L480">
        <v>3.1</v>
      </c>
      <c r="M480">
        <v>0.33700000000000002</v>
      </c>
      <c r="N480">
        <v>0.8</v>
      </c>
      <c r="O480">
        <v>0.9</v>
      </c>
      <c r="P480">
        <v>0.9</v>
      </c>
      <c r="Q480">
        <v>0.3</v>
      </c>
      <c r="R480">
        <v>1.4</v>
      </c>
      <c r="S480">
        <v>1.7</v>
      </c>
      <c r="T480">
        <v>2.9</v>
      </c>
      <c r="U480">
        <v>0.6</v>
      </c>
      <c r="V480">
        <v>0.3</v>
      </c>
      <c r="W480">
        <v>0.6</v>
      </c>
      <c r="X480">
        <v>1.6</v>
      </c>
      <c r="Y480">
        <v>4.5</v>
      </c>
      <c r="AP480">
        <v>1.3</v>
      </c>
      <c r="AQ480">
        <v>4</v>
      </c>
      <c r="AR480">
        <v>1</v>
      </c>
      <c r="AS480">
        <v>3.1</v>
      </c>
      <c r="AT480">
        <v>0.8</v>
      </c>
      <c r="AU480">
        <v>0.9</v>
      </c>
      <c r="AV480">
        <v>1.7</v>
      </c>
      <c r="AW480">
        <v>2.9</v>
      </c>
      <c r="AX480">
        <v>4.5</v>
      </c>
    </row>
    <row r="481" spans="1:50" x14ac:dyDescent="0.2">
      <c r="A481" s="1" t="s">
        <v>455</v>
      </c>
      <c r="B481" s="1" t="s">
        <v>31</v>
      </c>
      <c r="C481">
        <v>27</v>
      </c>
      <c r="D481" s="1" t="s">
        <v>57</v>
      </c>
      <c r="E481">
        <v>77</v>
      </c>
      <c r="F481">
        <v>31</v>
      </c>
      <c r="G481">
        <v>17.3</v>
      </c>
      <c r="H481">
        <v>1.6</v>
      </c>
      <c r="I481">
        <v>3.7</v>
      </c>
      <c r="J481">
        <v>0.43099999999999999</v>
      </c>
      <c r="K481">
        <v>0.8</v>
      </c>
      <c r="L481">
        <v>2.1</v>
      </c>
      <c r="M481">
        <v>0.38600000000000001</v>
      </c>
      <c r="N481">
        <v>0.5</v>
      </c>
      <c r="O481">
        <v>0.9</v>
      </c>
      <c r="P481">
        <v>0.59399999999999997</v>
      </c>
      <c r="Q481">
        <v>1</v>
      </c>
      <c r="R481">
        <v>1.5</v>
      </c>
      <c r="S481">
        <v>2.5</v>
      </c>
      <c r="T481">
        <v>0.9</v>
      </c>
      <c r="U481">
        <v>0.8</v>
      </c>
      <c r="V481">
        <v>0.2</v>
      </c>
      <c r="W481">
        <v>0.5</v>
      </c>
      <c r="X481">
        <v>1.4</v>
      </c>
      <c r="Y481">
        <v>4.5</v>
      </c>
      <c r="AP481">
        <v>1.6</v>
      </c>
      <c r="AQ481">
        <v>3.7</v>
      </c>
      <c r="AR481">
        <v>0.8</v>
      </c>
      <c r="AS481">
        <v>2.1</v>
      </c>
      <c r="AT481">
        <v>0.5</v>
      </c>
      <c r="AU481">
        <v>0.9</v>
      </c>
      <c r="AV481">
        <v>2.5</v>
      </c>
      <c r="AW481">
        <v>0.9</v>
      </c>
      <c r="AX481">
        <v>4.5</v>
      </c>
    </row>
    <row r="482" spans="1:50" x14ac:dyDescent="0.2">
      <c r="A482" s="1" t="s">
        <v>456</v>
      </c>
      <c r="B482" s="1" t="s">
        <v>31</v>
      </c>
      <c r="C482">
        <v>23</v>
      </c>
      <c r="D482" s="1" t="s">
        <v>68</v>
      </c>
      <c r="E482">
        <v>37</v>
      </c>
      <c r="F482">
        <v>0</v>
      </c>
      <c r="G482">
        <v>12.9</v>
      </c>
      <c r="H482">
        <v>1.6</v>
      </c>
      <c r="I482">
        <v>4.0999999999999996</v>
      </c>
      <c r="J482">
        <v>0.38800000000000001</v>
      </c>
      <c r="K482">
        <v>1.1000000000000001</v>
      </c>
      <c r="L482">
        <v>3.3</v>
      </c>
      <c r="M482">
        <v>0.33100000000000002</v>
      </c>
      <c r="N482">
        <v>0.3</v>
      </c>
      <c r="O482">
        <v>0.4</v>
      </c>
      <c r="P482">
        <v>0.625</v>
      </c>
      <c r="Q482">
        <v>0.3</v>
      </c>
      <c r="R482">
        <v>1.3</v>
      </c>
      <c r="S482">
        <v>1.5</v>
      </c>
      <c r="T482">
        <v>1.1000000000000001</v>
      </c>
      <c r="U482">
        <v>0.7</v>
      </c>
      <c r="V482">
        <v>0.1</v>
      </c>
      <c r="W482">
        <v>0.7</v>
      </c>
      <c r="X482">
        <v>1</v>
      </c>
      <c r="Y482">
        <v>4.5</v>
      </c>
      <c r="AP482">
        <v>1.6</v>
      </c>
      <c r="AQ482">
        <v>4.0999999999999996</v>
      </c>
      <c r="AR482">
        <v>1.1000000000000001</v>
      </c>
      <c r="AS482">
        <v>3.3</v>
      </c>
      <c r="AT482">
        <v>0.3</v>
      </c>
      <c r="AU482">
        <v>0.4</v>
      </c>
      <c r="AV482">
        <v>1.5</v>
      </c>
      <c r="AW482">
        <v>1.1000000000000001</v>
      </c>
      <c r="AX482">
        <v>4.5</v>
      </c>
    </row>
    <row r="483" spans="1:50" x14ac:dyDescent="0.2">
      <c r="A483" s="1" t="s">
        <v>457</v>
      </c>
      <c r="B483" s="1" t="s">
        <v>26</v>
      </c>
      <c r="C483">
        <v>25</v>
      </c>
      <c r="D483" s="1" t="s">
        <v>41</v>
      </c>
      <c r="E483">
        <v>63</v>
      </c>
      <c r="F483">
        <v>2</v>
      </c>
      <c r="G483">
        <v>17.8</v>
      </c>
      <c r="H483">
        <v>1.8</v>
      </c>
      <c r="I483">
        <v>4</v>
      </c>
      <c r="J483">
        <v>0.44700000000000001</v>
      </c>
      <c r="K483">
        <v>0.5</v>
      </c>
      <c r="L483">
        <v>1.5</v>
      </c>
      <c r="M483">
        <v>0.34799999999999998</v>
      </c>
      <c r="N483">
        <v>0.4</v>
      </c>
      <c r="O483">
        <v>0.6</v>
      </c>
      <c r="P483">
        <v>0.6</v>
      </c>
      <c r="Q483">
        <v>1.3</v>
      </c>
      <c r="R483">
        <v>2.1</v>
      </c>
      <c r="S483">
        <v>3.4</v>
      </c>
      <c r="T483">
        <v>3.2</v>
      </c>
      <c r="U483">
        <v>0.9</v>
      </c>
      <c r="V483">
        <v>0.6</v>
      </c>
      <c r="W483">
        <v>0.9</v>
      </c>
      <c r="X483">
        <v>1.1000000000000001</v>
      </c>
      <c r="Y483">
        <v>4.5</v>
      </c>
      <c r="AP483">
        <v>1.8</v>
      </c>
      <c r="AQ483">
        <v>4</v>
      </c>
      <c r="AR483">
        <v>0.5</v>
      </c>
      <c r="AS483">
        <v>1.5</v>
      </c>
      <c r="AT483">
        <v>0.4</v>
      </c>
      <c r="AU483">
        <v>0.6</v>
      </c>
      <c r="AV483">
        <v>3.4</v>
      </c>
      <c r="AW483">
        <v>3.2</v>
      </c>
      <c r="AX483">
        <v>4.5</v>
      </c>
    </row>
    <row r="484" spans="1:50" x14ac:dyDescent="0.2">
      <c r="A484" s="1" t="s">
        <v>458</v>
      </c>
      <c r="B484" s="1" t="s">
        <v>31</v>
      </c>
      <c r="C484">
        <v>29</v>
      </c>
      <c r="D484" s="1" t="s">
        <v>70</v>
      </c>
      <c r="E484">
        <v>55</v>
      </c>
      <c r="F484">
        <v>8</v>
      </c>
      <c r="G484">
        <v>19.8</v>
      </c>
      <c r="H484">
        <v>1.7</v>
      </c>
      <c r="I484">
        <v>3.5</v>
      </c>
      <c r="J484">
        <v>0.47699999999999998</v>
      </c>
      <c r="K484">
        <v>0.5</v>
      </c>
      <c r="L484">
        <v>1.8</v>
      </c>
      <c r="M484">
        <v>0.28899999999999998</v>
      </c>
      <c r="N484">
        <v>0.6</v>
      </c>
      <c r="O484">
        <v>0.8</v>
      </c>
      <c r="P484">
        <v>0.72699999999999998</v>
      </c>
      <c r="Q484">
        <v>1.3</v>
      </c>
      <c r="R484">
        <v>2.9</v>
      </c>
      <c r="S484">
        <v>4.2</v>
      </c>
      <c r="T484">
        <v>2.1</v>
      </c>
      <c r="U484">
        <v>1.5</v>
      </c>
      <c r="V484">
        <v>0.7</v>
      </c>
      <c r="W484">
        <v>0.6</v>
      </c>
      <c r="X484">
        <v>1.4</v>
      </c>
      <c r="Y484">
        <v>4.4000000000000004</v>
      </c>
      <c r="AP484">
        <v>1.7</v>
      </c>
      <c r="AQ484">
        <v>3.5</v>
      </c>
      <c r="AR484">
        <v>0.5</v>
      </c>
      <c r="AS484">
        <v>1.8</v>
      </c>
      <c r="AT484">
        <v>0.6</v>
      </c>
      <c r="AU484">
        <v>0.8</v>
      </c>
      <c r="AV484">
        <v>4.2</v>
      </c>
      <c r="AW484">
        <v>2.1</v>
      </c>
      <c r="AX484">
        <v>4.4000000000000004</v>
      </c>
    </row>
    <row r="485" spans="1:50" x14ac:dyDescent="0.2">
      <c r="A485" s="1" t="s">
        <v>458</v>
      </c>
      <c r="B485" s="1" t="s">
        <v>31</v>
      </c>
      <c r="C485">
        <v>29</v>
      </c>
      <c r="D485" s="1" t="s">
        <v>104</v>
      </c>
      <c r="E485">
        <v>30</v>
      </c>
      <c r="F485">
        <v>1</v>
      </c>
      <c r="G485">
        <v>14.5</v>
      </c>
      <c r="H485">
        <v>1.2</v>
      </c>
      <c r="I485">
        <v>2.4</v>
      </c>
      <c r="J485">
        <v>0.52100000000000002</v>
      </c>
      <c r="K485">
        <v>0.4</v>
      </c>
      <c r="L485">
        <v>1.3</v>
      </c>
      <c r="M485">
        <v>0.33300000000000002</v>
      </c>
      <c r="N485">
        <v>0.3</v>
      </c>
      <c r="O485">
        <v>0.4</v>
      </c>
      <c r="P485">
        <v>0.61499999999999999</v>
      </c>
      <c r="Q485">
        <v>0.7</v>
      </c>
      <c r="R485">
        <v>2.4</v>
      </c>
      <c r="S485">
        <v>3.1</v>
      </c>
      <c r="T485">
        <v>1.3</v>
      </c>
      <c r="U485">
        <v>1</v>
      </c>
      <c r="V485">
        <v>0.4</v>
      </c>
      <c r="W485">
        <v>0.5</v>
      </c>
      <c r="X485">
        <v>1</v>
      </c>
      <c r="Y485">
        <v>3.2</v>
      </c>
      <c r="AP485">
        <v>1.2</v>
      </c>
      <c r="AQ485">
        <v>2.4</v>
      </c>
      <c r="AR485">
        <v>0.4</v>
      </c>
      <c r="AS485">
        <v>1.3</v>
      </c>
      <c r="AT485">
        <v>0.3</v>
      </c>
      <c r="AU485">
        <v>0.4</v>
      </c>
      <c r="AV485">
        <v>3.1</v>
      </c>
      <c r="AW485">
        <v>1.3</v>
      </c>
      <c r="AX485">
        <v>3.2</v>
      </c>
    </row>
    <row r="486" spans="1:50" x14ac:dyDescent="0.2">
      <c r="A486" s="1" t="s">
        <v>458</v>
      </c>
      <c r="B486" s="1" t="s">
        <v>31</v>
      </c>
      <c r="C486">
        <v>29</v>
      </c>
      <c r="D486" s="1" t="s">
        <v>49</v>
      </c>
      <c r="E486">
        <v>25</v>
      </c>
      <c r="F486">
        <v>7</v>
      </c>
      <c r="G486">
        <v>26.1</v>
      </c>
      <c r="H486">
        <v>2.2000000000000002</v>
      </c>
      <c r="I486">
        <v>4.9000000000000004</v>
      </c>
      <c r="J486">
        <v>0.45100000000000001</v>
      </c>
      <c r="K486">
        <v>0.6</v>
      </c>
      <c r="L486">
        <v>2.2999999999999998</v>
      </c>
      <c r="M486">
        <v>0.25900000000000001</v>
      </c>
      <c r="N486">
        <v>1</v>
      </c>
      <c r="O486">
        <v>1.2</v>
      </c>
      <c r="P486">
        <v>0.77400000000000002</v>
      </c>
      <c r="Q486">
        <v>2.1</v>
      </c>
      <c r="R486">
        <v>3.6</v>
      </c>
      <c r="S486">
        <v>5.6</v>
      </c>
      <c r="T486">
        <v>3</v>
      </c>
      <c r="U486">
        <v>2</v>
      </c>
      <c r="V486">
        <v>0.9</v>
      </c>
      <c r="W486">
        <v>0.8</v>
      </c>
      <c r="X486">
        <v>1.9</v>
      </c>
      <c r="Y486">
        <v>6</v>
      </c>
      <c r="AP486">
        <v>2.2000000000000002</v>
      </c>
      <c r="AQ486">
        <v>4.9000000000000004</v>
      </c>
      <c r="AR486">
        <v>0.6</v>
      </c>
      <c r="AS486">
        <v>2.2999999999999998</v>
      </c>
      <c r="AT486">
        <v>1</v>
      </c>
      <c r="AU486">
        <v>1.2</v>
      </c>
      <c r="AV486">
        <v>5.6</v>
      </c>
      <c r="AW486">
        <v>3</v>
      </c>
      <c r="AX486">
        <v>6</v>
      </c>
    </row>
    <row r="487" spans="1:50" x14ac:dyDescent="0.2">
      <c r="A487" s="1" t="s">
        <v>459</v>
      </c>
      <c r="B487" s="1" t="s">
        <v>26</v>
      </c>
      <c r="C487">
        <v>29</v>
      </c>
      <c r="D487" s="1" t="s">
        <v>70</v>
      </c>
      <c r="E487">
        <v>53</v>
      </c>
      <c r="F487">
        <v>7</v>
      </c>
      <c r="G487">
        <v>16.600000000000001</v>
      </c>
      <c r="H487">
        <v>1.4</v>
      </c>
      <c r="I487">
        <v>4.0999999999999996</v>
      </c>
      <c r="J487">
        <v>0.35199999999999998</v>
      </c>
      <c r="K487">
        <v>1.1000000000000001</v>
      </c>
      <c r="L487">
        <v>3.3</v>
      </c>
      <c r="M487">
        <v>0.34100000000000003</v>
      </c>
      <c r="N487">
        <v>0.4</v>
      </c>
      <c r="O487">
        <v>0.4</v>
      </c>
      <c r="P487">
        <v>0.87</v>
      </c>
      <c r="Q487">
        <v>0.3</v>
      </c>
      <c r="R487">
        <v>0.7</v>
      </c>
      <c r="S487">
        <v>1</v>
      </c>
      <c r="T487">
        <v>1.4</v>
      </c>
      <c r="U487">
        <v>0.5</v>
      </c>
      <c r="V487">
        <v>0.1</v>
      </c>
      <c r="W487">
        <v>0.5</v>
      </c>
      <c r="X487">
        <v>1.5</v>
      </c>
      <c r="Y487">
        <v>4.4000000000000004</v>
      </c>
      <c r="AP487">
        <v>1.4</v>
      </c>
      <c r="AQ487">
        <v>4.0999999999999996</v>
      </c>
      <c r="AR487">
        <v>1.1000000000000001</v>
      </c>
      <c r="AS487">
        <v>3.3</v>
      </c>
      <c r="AT487">
        <v>0.4</v>
      </c>
      <c r="AU487">
        <v>0.4</v>
      </c>
      <c r="AV487">
        <v>1</v>
      </c>
      <c r="AW487">
        <v>1.4</v>
      </c>
      <c r="AX487">
        <v>4.4000000000000004</v>
      </c>
    </row>
    <row r="488" spans="1:50" x14ac:dyDescent="0.2">
      <c r="A488" s="1" t="s">
        <v>459</v>
      </c>
      <c r="B488" s="1" t="s">
        <v>26</v>
      </c>
      <c r="C488">
        <v>29</v>
      </c>
      <c r="D488" s="1" t="s">
        <v>27</v>
      </c>
      <c r="E488">
        <v>29</v>
      </c>
      <c r="F488">
        <v>7</v>
      </c>
      <c r="G488">
        <v>19.3</v>
      </c>
      <c r="H488">
        <v>1.6</v>
      </c>
      <c r="I488">
        <v>4.5</v>
      </c>
      <c r="J488">
        <v>0.34599999999999997</v>
      </c>
      <c r="K488">
        <v>1.3</v>
      </c>
      <c r="L488">
        <v>3.6</v>
      </c>
      <c r="M488">
        <v>0.36899999999999999</v>
      </c>
      <c r="N488">
        <v>0.3</v>
      </c>
      <c r="O488">
        <v>0.4</v>
      </c>
      <c r="P488">
        <v>0.90900000000000003</v>
      </c>
      <c r="Q488">
        <v>0.2</v>
      </c>
      <c r="R488">
        <v>0.7</v>
      </c>
      <c r="S488">
        <v>0.9</v>
      </c>
      <c r="T488">
        <v>1.3</v>
      </c>
      <c r="U488">
        <v>0.5</v>
      </c>
      <c r="V488">
        <v>0</v>
      </c>
      <c r="W488">
        <v>0.4</v>
      </c>
      <c r="X488">
        <v>1.8</v>
      </c>
      <c r="Y488">
        <v>4.8</v>
      </c>
      <c r="AP488">
        <v>1.6</v>
      </c>
      <c r="AQ488">
        <v>4.5</v>
      </c>
      <c r="AR488">
        <v>1.3</v>
      </c>
      <c r="AS488">
        <v>3.6</v>
      </c>
      <c r="AT488">
        <v>0.3</v>
      </c>
      <c r="AU488">
        <v>0.4</v>
      </c>
      <c r="AV488">
        <v>0.9</v>
      </c>
      <c r="AW488">
        <v>1.3</v>
      </c>
      <c r="AX488">
        <v>4.8</v>
      </c>
    </row>
    <row r="489" spans="1:50" x14ac:dyDescent="0.2">
      <c r="A489" s="1" t="s">
        <v>459</v>
      </c>
      <c r="B489" s="1" t="s">
        <v>26</v>
      </c>
      <c r="C489">
        <v>29</v>
      </c>
      <c r="D489" s="1" t="s">
        <v>74</v>
      </c>
      <c r="E489">
        <v>24</v>
      </c>
      <c r="F489">
        <v>0</v>
      </c>
      <c r="G489">
        <v>13.3</v>
      </c>
      <c r="H489">
        <v>1.3</v>
      </c>
      <c r="I489">
        <v>3.6</v>
      </c>
      <c r="J489">
        <v>0.36</v>
      </c>
      <c r="K489">
        <v>0.9</v>
      </c>
      <c r="L489">
        <v>2.9</v>
      </c>
      <c r="M489">
        <v>0.3</v>
      </c>
      <c r="N489">
        <v>0.4</v>
      </c>
      <c r="O489">
        <v>0.5</v>
      </c>
      <c r="P489">
        <v>0.83299999999999996</v>
      </c>
      <c r="Q489">
        <v>0.4</v>
      </c>
      <c r="R489">
        <v>0.7</v>
      </c>
      <c r="S489">
        <v>1.1000000000000001</v>
      </c>
      <c r="T489">
        <v>1.6</v>
      </c>
      <c r="U489">
        <v>0.5</v>
      </c>
      <c r="V489">
        <v>0.1</v>
      </c>
      <c r="W489">
        <v>0.6</v>
      </c>
      <c r="X489">
        <v>1.1000000000000001</v>
      </c>
      <c r="Y489">
        <v>3.9</v>
      </c>
      <c r="AP489">
        <v>1.3</v>
      </c>
      <c r="AQ489">
        <v>3.6</v>
      </c>
      <c r="AR489">
        <v>0.9</v>
      </c>
      <c r="AS489">
        <v>2.9</v>
      </c>
      <c r="AT489">
        <v>0.4</v>
      </c>
      <c r="AU489">
        <v>0.5</v>
      </c>
      <c r="AV489">
        <v>1.1000000000000001</v>
      </c>
      <c r="AW489">
        <v>1.6</v>
      </c>
      <c r="AX489">
        <v>3.9</v>
      </c>
    </row>
    <row r="490" spans="1:50" x14ac:dyDescent="0.2">
      <c r="A490" s="1" t="s">
        <v>460</v>
      </c>
      <c r="B490" s="1" t="s">
        <v>23</v>
      </c>
      <c r="C490">
        <v>23</v>
      </c>
      <c r="D490" s="1" t="s">
        <v>74</v>
      </c>
      <c r="E490">
        <v>77</v>
      </c>
      <c r="F490">
        <v>8</v>
      </c>
      <c r="G490">
        <v>15.3</v>
      </c>
      <c r="H490">
        <v>1.7</v>
      </c>
      <c r="I490">
        <v>3.8</v>
      </c>
      <c r="J490">
        <v>0.45200000000000001</v>
      </c>
      <c r="K490">
        <v>0.5</v>
      </c>
      <c r="L490">
        <v>1.7</v>
      </c>
      <c r="M490">
        <v>0.308</v>
      </c>
      <c r="N490">
        <v>0.5</v>
      </c>
      <c r="O490">
        <v>0.8</v>
      </c>
      <c r="P490">
        <v>0.64500000000000002</v>
      </c>
      <c r="Q490">
        <v>1.2</v>
      </c>
      <c r="R490">
        <v>2.4</v>
      </c>
      <c r="S490">
        <v>3.6</v>
      </c>
      <c r="T490">
        <v>0.9</v>
      </c>
      <c r="U490">
        <v>0.8</v>
      </c>
      <c r="V490">
        <v>0.5</v>
      </c>
      <c r="W490">
        <v>0.4</v>
      </c>
      <c r="X490">
        <v>1.6</v>
      </c>
      <c r="Y490">
        <v>4.4000000000000004</v>
      </c>
      <c r="AP490">
        <v>1.7</v>
      </c>
      <c r="AQ490">
        <v>3.8</v>
      </c>
      <c r="AR490">
        <v>0.5</v>
      </c>
      <c r="AS490">
        <v>1.7</v>
      </c>
      <c r="AT490">
        <v>0.5</v>
      </c>
      <c r="AU490">
        <v>0.8</v>
      </c>
      <c r="AV490">
        <v>3.6</v>
      </c>
      <c r="AW490">
        <v>0.9</v>
      </c>
      <c r="AX490">
        <v>4.4000000000000004</v>
      </c>
    </row>
    <row r="491" spans="1:50" x14ac:dyDescent="0.2">
      <c r="A491" s="1" t="s">
        <v>461</v>
      </c>
      <c r="B491" s="1" t="s">
        <v>43</v>
      </c>
      <c r="C491">
        <v>37</v>
      </c>
      <c r="D491" s="1" t="s">
        <v>81</v>
      </c>
      <c r="E491">
        <v>12</v>
      </c>
      <c r="F491">
        <v>7</v>
      </c>
      <c r="G491">
        <v>16.600000000000001</v>
      </c>
      <c r="H491">
        <v>1.8</v>
      </c>
      <c r="I491">
        <v>2.7</v>
      </c>
      <c r="J491">
        <v>0.65600000000000003</v>
      </c>
      <c r="K491">
        <v>0</v>
      </c>
      <c r="L491">
        <v>0</v>
      </c>
      <c r="N491">
        <v>0.9</v>
      </c>
      <c r="O491">
        <v>1.4</v>
      </c>
      <c r="P491">
        <v>0.64700000000000002</v>
      </c>
      <c r="Q491">
        <v>2.2000000000000002</v>
      </c>
      <c r="R491">
        <v>4.2</v>
      </c>
      <c r="S491">
        <v>6.3</v>
      </c>
      <c r="T491">
        <v>0.9</v>
      </c>
      <c r="U491">
        <v>0.3</v>
      </c>
      <c r="V491">
        <v>0.8</v>
      </c>
      <c r="W491">
        <v>0.8</v>
      </c>
      <c r="X491">
        <v>1.3</v>
      </c>
      <c r="Y491">
        <v>4.4000000000000004</v>
      </c>
      <c r="AP491">
        <v>1.8</v>
      </c>
      <c r="AQ491">
        <v>2.7</v>
      </c>
      <c r="AR491">
        <v>0</v>
      </c>
      <c r="AS491">
        <v>0</v>
      </c>
      <c r="AT491">
        <v>0.9</v>
      </c>
      <c r="AU491">
        <v>1.4</v>
      </c>
      <c r="AV491">
        <v>6.3</v>
      </c>
      <c r="AW491">
        <v>0.9</v>
      </c>
      <c r="AX491">
        <v>4.4000000000000004</v>
      </c>
    </row>
    <row r="492" spans="1:50" x14ac:dyDescent="0.2">
      <c r="A492" s="1" t="s">
        <v>462</v>
      </c>
      <c r="B492" s="1" t="s">
        <v>26</v>
      </c>
      <c r="C492">
        <v>24</v>
      </c>
      <c r="D492" s="1" t="s">
        <v>55</v>
      </c>
      <c r="E492">
        <v>62</v>
      </c>
      <c r="F492">
        <v>1</v>
      </c>
      <c r="G492">
        <v>11.7</v>
      </c>
      <c r="H492">
        <v>1.7</v>
      </c>
      <c r="I492">
        <v>4</v>
      </c>
      <c r="J492">
        <v>0.435</v>
      </c>
      <c r="K492">
        <v>0.7</v>
      </c>
      <c r="L492">
        <v>1.8</v>
      </c>
      <c r="M492">
        <v>0.38600000000000001</v>
      </c>
      <c r="N492">
        <v>0.2</v>
      </c>
      <c r="O492">
        <v>0.3</v>
      </c>
      <c r="P492">
        <v>0.7</v>
      </c>
      <c r="Q492">
        <v>0.3</v>
      </c>
      <c r="R492">
        <v>1.3</v>
      </c>
      <c r="S492">
        <v>1.6</v>
      </c>
      <c r="T492">
        <v>2.7</v>
      </c>
      <c r="U492">
        <v>0.4</v>
      </c>
      <c r="V492">
        <v>0.1</v>
      </c>
      <c r="W492">
        <v>0.9</v>
      </c>
      <c r="X492">
        <v>1</v>
      </c>
      <c r="Y492">
        <v>4.4000000000000004</v>
      </c>
      <c r="AP492">
        <v>1.7</v>
      </c>
      <c r="AQ492">
        <v>4</v>
      </c>
      <c r="AR492">
        <v>0.7</v>
      </c>
      <c r="AS492">
        <v>1.8</v>
      </c>
      <c r="AT492">
        <v>0.2</v>
      </c>
      <c r="AU492">
        <v>0.3</v>
      </c>
      <c r="AV492">
        <v>1.6</v>
      </c>
      <c r="AW492">
        <v>2.7</v>
      </c>
      <c r="AX492">
        <v>4.4000000000000004</v>
      </c>
    </row>
    <row r="493" spans="1:50" x14ac:dyDescent="0.2">
      <c r="A493" s="1" t="s">
        <v>463</v>
      </c>
      <c r="B493" s="1" t="s">
        <v>34</v>
      </c>
      <c r="C493">
        <v>20</v>
      </c>
      <c r="D493" s="1" t="s">
        <v>98</v>
      </c>
      <c r="E493">
        <v>30</v>
      </c>
      <c r="F493">
        <v>0</v>
      </c>
      <c r="G493">
        <v>12.1</v>
      </c>
      <c r="H493">
        <v>1.3</v>
      </c>
      <c r="I493">
        <v>3.1</v>
      </c>
      <c r="J493">
        <v>0.40400000000000003</v>
      </c>
      <c r="K493">
        <v>0.8</v>
      </c>
      <c r="L493">
        <v>2</v>
      </c>
      <c r="M493">
        <v>0.4</v>
      </c>
      <c r="N493">
        <v>1.1000000000000001</v>
      </c>
      <c r="O493">
        <v>1.3</v>
      </c>
      <c r="P493">
        <v>0.82099999999999995</v>
      </c>
      <c r="Q493">
        <v>0.4</v>
      </c>
      <c r="R493">
        <v>2</v>
      </c>
      <c r="S493">
        <v>2.4</v>
      </c>
      <c r="T493">
        <v>0.8</v>
      </c>
      <c r="U493">
        <v>0.2</v>
      </c>
      <c r="V493">
        <v>0.1</v>
      </c>
      <c r="W493">
        <v>0.4</v>
      </c>
      <c r="X493">
        <v>1.2</v>
      </c>
      <c r="Y493">
        <v>4.4000000000000004</v>
      </c>
      <c r="AP493">
        <v>1.3</v>
      </c>
      <c r="AQ493">
        <v>3.1</v>
      </c>
      <c r="AR493">
        <v>0.8</v>
      </c>
      <c r="AS493">
        <v>2</v>
      </c>
      <c r="AT493">
        <v>1.1000000000000001</v>
      </c>
      <c r="AU493">
        <v>1.3</v>
      </c>
      <c r="AV493">
        <v>2.4</v>
      </c>
      <c r="AW493">
        <v>0.8</v>
      </c>
      <c r="AX493">
        <v>4.4000000000000004</v>
      </c>
    </row>
    <row r="494" spans="1:50" x14ac:dyDescent="0.2">
      <c r="A494" s="1" t="s">
        <v>464</v>
      </c>
      <c r="B494" s="1" t="s">
        <v>31</v>
      </c>
      <c r="C494">
        <v>20</v>
      </c>
      <c r="D494" s="1" t="s">
        <v>76</v>
      </c>
      <c r="E494">
        <v>54</v>
      </c>
      <c r="F494">
        <v>0</v>
      </c>
      <c r="G494">
        <v>10.9</v>
      </c>
      <c r="H494">
        <v>1.6</v>
      </c>
      <c r="I494">
        <v>3.5</v>
      </c>
      <c r="J494">
        <v>0.47299999999999998</v>
      </c>
      <c r="K494">
        <v>0.5</v>
      </c>
      <c r="L494">
        <v>1.5</v>
      </c>
      <c r="M494">
        <v>0.35399999999999998</v>
      </c>
      <c r="N494">
        <v>0.6</v>
      </c>
      <c r="O494">
        <v>0.9</v>
      </c>
      <c r="P494">
        <v>0.71699999999999997</v>
      </c>
      <c r="Q494">
        <v>0.4</v>
      </c>
      <c r="R494">
        <v>0.8</v>
      </c>
      <c r="S494">
        <v>1.2</v>
      </c>
      <c r="T494">
        <v>1.1000000000000001</v>
      </c>
      <c r="U494">
        <v>0.4</v>
      </c>
      <c r="V494">
        <v>0</v>
      </c>
      <c r="W494">
        <v>0.5</v>
      </c>
      <c r="X494">
        <v>1</v>
      </c>
      <c r="Y494">
        <v>4.4000000000000004</v>
      </c>
      <c r="AP494">
        <v>1.6</v>
      </c>
      <c r="AQ494">
        <v>3.5</v>
      </c>
      <c r="AR494">
        <v>0.5</v>
      </c>
      <c r="AS494">
        <v>1.5</v>
      </c>
      <c r="AT494">
        <v>0.6</v>
      </c>
      <c r="AU494">
        <v>0.9</v>
      </c>
      <c r="AV494">
        <v>1.2</v>
      </c>
      <c r="AW494">
        <v>1.1000000000000001</v>
      </c>
      <c r="AX494">
        <v>4.4000000000000004</v>
      </c>
    </row>
    <row r="495" spans="1:50" x14ac:dyDescent="0.2">
      <c r="A495" s="1" t="s">
        <v>465</v>
      </c>
      <c r="B495" s="1" t="s">
        <v>23</v>
      </c>
      <c r="C495">
        <v>26</v>
      </c>
      <c r="D495" s="1" t="s">
        <v>27</v>
      </c>
      <c r="E495">
        <v>64</v>
      </c>
      <c r="F495">
        <v>3</v>
      </c>
      <c r="G495">
        <v>17.399999999999999</v>
      </c>
      <c r="H495">
        <v>1.7</v>
      </c>
      <c r="I495">
        <v>3.7</v>
      </c>
      <c r="J495">
        <v>0.47199999999999998</v>
      </c>
      <c r="K495">
        <v>0.5</v>
      </c>
      <c r="L495">
        <v>1.5</v>
      </c>
      <c r="M495">
        <v>0.29899999999999999</v>
      </c>
      <c r="N495">
        <v>0.5</v>
      </c>
      <c r="O495">
        <v>0.9</v>
      </c>
      <c r="P495">
        <v>0.58899999999999997</v>
      </c>
      <c r="Q495">
        <v>1.3</v>
      </c>
      <c r="R495">
        <v>3.3</v>
      </c>
      <c r="S495">
        <v>4.5</v>
      </c>
      <c r="T495">
        <v>1.3</v>
      </c>
      <c r="U495">
        <v>0.8</v>
      </c>
      <c r="V495">
        <v>0.3</v>
      </c>
      <c r="W495">
        <v>0.9</v>
      </c>
      <c r="X495">
        <v>1.6</v>
      </c>
      <c r="Y495">
        <v>4.4000000000000004</v>
      </c>
      <c r="AP495">
        <v>1.7</v>
      </c>
      <c r="AQ495">
        <v>3.7</v>
      </c>
      <c r="AR495">
        <v>0.5</v>
      </c>
      <c r="AS495">
        <v>1.5</v>
      </c>
      <c r="AT495">
        <v>0.5</v>
      </c>
      <c r="AU495">
        <v>0.9</v>
      </c>
      <c r="AV495">
        <v>4.5</v>
      </c>
      <c r="AW495">
        <v>1.3</v>
      </c>
      <c r="AX495">
        <v>4.4000000000000004</v>
      </c>
    </row>
    <row r="496" spans="1:50" x14ac:dyDescent="0.2">
      <c r="A496" s="1" t="s">
        <v>466</v>
      </c>
      <c r="B496" s="1" t="s">
        <v>31</v>
      </c>
      <c r="C496">
        <v>25</v>
      </c>
      <c r="D496" s="1" t="s">
        <v>98</v>
      </c>
      <c r="E496">
        <v>57</v>
      </c>
      <c r="F496">
        <v>0</v>
      </c>
      <c r="G496">
        <v>15.8</v>
      </c>
      <c r="H496">
        <v>1.4</v>
      </c>
      <c r="I496">
        <v>3.1</v>
      </c>
      <c r="J496">
        <v>0.45800000000000002</v>
      </c>
      <c r="K496">
        <v>1</v>
      </c>
      <c r="L496">
        <v>2.4</v>
      </c>
      <c r="M496">
        <v>0.41899999999999998</v>
      </c>
      <c r="N496">
        <v>0.4</v>
      </c>
      <c r="O496">
        <v>0.5</v>
      </c>
      <c r="P496">
        <v>0.89300000000000002</v>
      </c>
      <c r="Q496">
        <v>0.8</v>
      </c>
      <c r="R496">
        <v>1</v>
      </c>
      <c r="S496">
        <v>1.8</v>
      </c>
      <c r="T496">
        <v>0.8</v>
      </c>
      <c r="U496">
        <v>0.6</v>
      </c>
      <c r="V496">
        <v>0.1</v>
      </c>
      <c r="W496">
        <v>0.6</v>
      </c>
      <c r="X496">
        <v>1.1000000000000001</v>
      </c>
      <c r="Y496">
        <v>4.3</v>
      </c>
      <c r="AP496">
        <v>1.4</v>
      </c>
      <c r="AQ496">
        <v>3.1</v>
      </c>
      <c r="AR496">
        <v>1</v>
      </c>
      <c r="AS496">
        <v>2.4</v>
      </c>
      <c r="AT496">
        <v>0.4</v>
      </c>
      <c r="AU496">
        <v>0.5</v>
      </c>
      <c r="AV496">
        <v>1.8</v>
      </c>
      <c r="AW496">
        <v>0.8</v>
      </c>
      <c r="AX496">
        <v>4.3</v>
      </c>
    </row>
    <row r="497" spans="1:50" x14ac:dyDescent="0.2">
      <c r="A497" s="1" t="s">
        <v>467</v>
      </c>
      <c r="B497" s="1" t="s">
        <v>31</v>
      </c>
      <c r="C497">
        <v>23</v>
      </c>
      <c r="D497" s="1" t="s">
        <v>68</v>
      </c>
      <c r="E497">
        <v>36</v>
      </c>
      <c r="F497">
        <v>7</v>
      </c>
      <c r="G497">
        <v>16.600000000000001</v>
      </c>
      <c r="H497">
        <v>1.8</v>
      </c>
      <c r="I497">
        <v>4.5</v>
      </c>
      <c r="J497">
        <v>0.40100000000000002</v>
      </c>
      <c r="K497">
        <v>0.6</v>
      </c>
      <c r="L497">
        <v>2</v>
      </c>
      <c r="M497">
        <v>0.28199999999999997</v>
      </c>
      <c r="N497">
        <v>0.1</v>
      </c>
      <c r="O497">
        <v>0.2</v>
      </c>
      <c r="P497">
        <v>0.5</v>
      </c>
      <c r="Q497">
        <v>0.4</v>
      </c>
      <c r="R497">
        <v>1.3</v>
      </c>
      <c r="S497">
        <v>1.6</v>
      </c>
      <c r="T497">
        <v>3.2</v>
      </c>
      <c r="U497">
        <v>0.5</v>
      </c>
      <c r="V497">
        <v>0</v>
      </c>
      <c r="W497">
        <v>1</v>
      </c>
      <c r="X497">
        <v>1.1000000000000001</v>
      </c>
      <c r="Y497">
        <v>4.3</v>
      </c>
      <c r="AP497">
        <v>1.8</v>
      </c>
      <c r="AQ497">
        <v>4.5</v>
      </c>
      <c r="AR497">
        <v>0.6</v>
      </c>
      <c r="AS497">
        <v>2</v>
      </c>
      <c r="AT497">
        <v>0.1</v>
      </c>
      <c r="AU497">
        <v>0.2</v>
      </c>
      <c r="AV497">
        <v>1.6</v>
      </c>
      <c r="AW497">
        <v>3.2</v>
      </c>
      <c r="AX497">
        <v>4.3</v>
      </c>
    </row>
    <row r="498" spans="1:50" x14ac:dyDescent="0.2">
      <c r="A498" s="1" t="s">
        <v>468</v>
      </c>
      <c r="B498" s="1" t="s">
        <v>43</v>
      </c>
      <c r="C498">
        <v>22</v>
      </c>
      <c r="D498" s="1" t="s">
        <v>39</v>
      </c>
      <c r="E498">
        <v>41</v>
      </c>
      <c r="F498">
        <v>0</v>
      </c>
      <c r="G498">
        <v>10.3</v>
      </c>
      <c r="H498">
        <v>1.6</v>
      </c>
      <c r="I498">
        <v>2.4</v>
      </c>
      <c r="J498">
        <v>0.64</v>
      </c>
      <c r="K498">
        <v>0</v>
      </c>
      <c r="L498">
        <v>0.1</v>
      </c>
      <c r="M498">
        <v>0.2</v>
      </c>
      <c r="N498">
        <v>1.1000000000000001</v>
      </c>
      <c r="O498">
        <v>1.5</v>
      </c>
      <c r="P498">
        <v>0.75800000000000001</v>
      </c>
      <c r="Q498">
        <v>0.9</v>
      </c>
      <c r="R498">
        <v>2</v>
      </c>
      <c r="S498">
        <v>2.9</v>
      </c>
      <c r="T498">
        <v>0.3</v>
      </c>
      <c r="U498">
        <v>0.1</v>
      </c>
      <c r="V498">
        <v>0.7</v>
      </c>
      <c r="W498">
        <v>0.6</v>
      </c>
      <c r="X498">
        <v>1.6</v>
      </c>
      <c r="Y498">
        <v>4.3</v>
      </c>
      <c r="AP498">
        <v>1.6</v>
      </c>
      <c r="AQ498">
        <v>2.4</v>
      </c>
      <c r="AR498">
        <v>0</v>
      </c>
      <c r="AS498">
        <v>0.1</v>
      </c>
      <c r="AT498">
        <v>1.1000000000000001</v>
      </c>
      <c r="AU498">
        <v>1.5</v>
      </c>
      <c r="AV498">
        <v>2.9</v>
      </c>
      <c r="AW498">
        <v>0.3</v>
      </c>
      <c r="AX498">
        <v>4.3</v>
      </c>
    </row>
    <row r="499" spans="1:50" x14ac:dyDescent="0.2">
      <c r="A499" s="1" t="s">
        <v>469</v>
      </c>
      <c r="B499" s="1" t="s">
        <v>23</v>
      </c>
      <c r="C499">
        <v>23</v>
      </c>
      <c r="D499" s="1" t="s">
        <v>37</v>
      </c>
      <c r="E499">
        <v>63</v>
      </c>
      <c r="F499">
        <v>6</v>
      </c>
      <c r="G499">
        <v>12</v>
      </c>
      <c r="H499">
        <v>1.5</v>
      </c>
      <c r="I499">
        <v>3.3</v>
      </c>
      <c r="J499">
        <v>0.45</v>
      </c>
      <c r="K499">
        <v>0.5</v>
      </c>
      <c r="L499">
        <v>1.5</v>
      </c>
      <c r="M499">
        <v>0.33</v>
      </c>
      <c r="N499">
        <v>0.8</v>
      </c>
      <c r="O499">
        <v>1</v>
      </c>
      <c r="P499">
        <v>0.75</v>
      </c>
      <c r="Q499">
        <v>1.1000000000000001</v>
      </c>
      <c r="R499">
        <v>1.9</v>
      </c>
      <c r="S499">
        <v>3</v>
      </c>
      <c r="T499">
        <v>0.5</v>
      </c>
      <c r="U499">
        <v>0.4</v>
      </c>
      <c r="V499">
        <v>0.2</v>
      </c>
      <c r="W499">
        <v>0.4</v>
      </c>
      <c r="X499">
        <v>1.6</v>
      </c>
      <c r="Y499">
        <v>4.3</v>
      </c>
      <c r="AP499">
        <v>1.5</v>
      </c>
      <c r="AQ499">
        <v>3.3</v>
      </c>
      <c r="AR499">
        <v>0.5</v>
      </c>
      <c r="AS499">
        <v>1.5</v>
      </c>
      <c r="AT499">
        <v>0.8</v>
      </c>
      <c r="AU499">
        <v>1</v>
      </c>
      <c r="AV499">
        <v>3</v>
      </c>
      <c r="AW499">
        <v>0.5</v>
      </c>
      <c r="AX499">
        <v>4.3</v>
      </c>
    </row>
    <row r="500" spans="1:50" x14ac:dyDescent="0.2">
      <c r="A500" s="1" t="s">
        <v>470</v>
      </c>
      <c r="B500" s="1" t="s">
        <v>23</v>
      </c>
      <c r="C500">
        <v>20</v>
      </c>
      <c r="D500" s="1" t="s">
        <v>60</v>
      </c>
      <c r="E500">
        <v>70</v>
      </c>
      <c r="F500">
        <v>0</v>
      </c>
      <c r="G500">
        <v>11.3</v>
      </c>
      <c r="H500">
        <v>1.5</v>
      </c>
      <c r="I500">
        <v>3.6</v>
      </c>
      <c r="J500">
        <v>0.40500000000000003</v>
      </c>
      <c r="K500">
        <v>0.7</v>
      </c>
      <c r="L500">
        <v>2.1</v>
      </c>
      <c r="M500">
        <v>0.34499999999999997</v>
      </c>
      <c r="N500">
        <v>0.4</v>
      </c>
      <c r="O500">
        <v>0.6</v>
      </c>
      <c r="P500">
        <v>0.73199999999999998</v>
      </c>
      <c r="Q500">
        <v>0.5</v>
      </c>
      <c r="R500">
        <v>2</v>
      </c>
      <c r="S500">
        <v>2.5</v>
      </c>
      <c r="T500">
        <v>0.6</v>
      </c>
      <c r="U500">
        <v>0.2</v>
      </c>
      <c r="V500">
        <v>0.3</v>
      </c>
      <c r="W500">
        <v>0.5</v>
      </c>
      <c r="X500">
        <v>1.3</v>
      </c>
      <c r="Y500">
        <v>4.0999999999999996</v>
      </c>
      <c r="AP500">
        <v>1.5</v>
      </c>
      <c r="AQ500">
        <v>3.6</v>
      </c>
      <c r="AR500">
        <v>0.7</v>
      </c>
      <c r="AS500">
        <v>2.1</v>
      </c>
      <c r="AT500">
        <v>0.4</v>
      </c>
      <c r="AU500">
        <v>0.6</v>
      </c>
      <c r="AV500">
        <v>2.5</v>
      </c>
      <c r="AW500">
        <v>0.6</v>
      </c>
      <c r="AX500">
        <v>4.0999999999999996</v>
      </c>
    </row>
    <row r="501" spans="1:50" x14ac:dyDescent="0.2">
      <c r="A501" s="1" t="s">
        <v>471</v>
      </c>
      <c r="B501" s="1" t="s">
        <v>43</v>
      </c>
      <c r="C501">
        <v>23</v>
      </c>
      <c r="D501" s="1" t="s">
        <v>85</v>
      </c>
      <c r="E501">
        <v>37</v>
      </c>
      <c r="F501">
        <v>1</v>
      </c>
      <c r="G501">
        <v>13.2</v>
      </c>
      <c r="H501">
        <v>1.6</v>
      </c>
      <c r="I501">
        <v>2.7</v>
      </c>
      <c r="J501">
        <v>0.6</v>
      </c>
      <c r="K501">
        <v>0</v>
      </c>
      <c r="L501">
        <v>0</v>
      </c>
      <c r="N501">
        <v>0.9</v>
      </c>
      <c r="O501">
        <v>2</v>
      </c>
      <c r="P501">
        <v>0.44</v>
      </c>
      <c r="Q501">
        <v>2.1</v>
      </c>
      <c r="R501">
        <v>3.2</v>
      </c>
      <c r="S501">
        <v>5.3</v>
      </c>
      <c r="T501">
        <v>0.2</v>
      </c>
      <c r="U501">
        <v>0.5</v>
      </c>
      <c r="V501">
        <v>1.2</v>
      </c>
      <c r="W501">
        <v>0.7</v>
      </c>
      <c r="X501">
        <v>1.9</v>
      </c>
      <c r="Y501">
        <v>4.0999999999999996</v>
      </c>
      <c r="AP501">
        <v>1.6</v>
      </c>
      <c r="AQ501">
        <v>2.7</v>
      </c>
      <c r="AR501">
        <v>0</v>
      </c>
      <c r="AS501">
        <v>0</v>
      </c>
      <c r="AT501">
        <v>0.9</v>
      </c>
      <c r="AU501">
        <v>2</v>
      </c>
      <c r="AV501">
        <v>5.3</v>
      </c>
      <c r="AW501">
        <v>0.2</v>
      </c>
      <c r="AX501">
        <v>4.0999999999999996</v>
      </c>
    </row>
    <row r="502" spans="1:50" x14ac:dyDescent="0.2">
      <c r="A502" s="1" t="s">
        <v>472</v>
      </c>
      <c r="B502" s="1" t="s">
        <v>23</v>
      </c>
      <c r="C502">
        <v>21</v>
      </c>
      <c r="D502" s="1" t="s">
        <v>53</v>
      </c>
      <c r="E502">
        <v>54</v>
      </c>
      <c r="F502">
        <v>0</v>
      </c>
      <c r="G502">
        <v>11.8</v>
      </c>
      <c r="H502">
        <v>1.5</v>
      </c>
      <c r="I502">
        <v>3.7</v>
      </c>
      <c r="J502">
        <v>0.40100000000000002</v>
      </c>
      <c r="K502">
        <v>0.8</v>
      </c>
      <c r="L502">
        <v>2.2999999999999998</v>
      </c>
      <c r="M502">
        <v>0.33300000000000002</v>
      </c>
      <c r="N502">
        <v>0.4</v>
      </c>
      <c r="O502">
        <v>0.6</v>
      </c>
      <c r="P502">
        <v>0.55900000000000005</v>
      </c>
      <c r="Q502">
        <v>1.1000000000000001</v>
      </c>
      <c r="R502">
        <v>1.1000000000000001</v>
      </c>
      <c r="S502">
        <v>2.2000000000000002</v>
      </c>
      <c r="T502">
        <v>0.3</v>
      </c>
      <c r="U502">
        <v>0.4</v>
      </c>
      <c r="V502">
        <v>0.4</v>
      </c>
      <c r="W502">
        <v>0.5</v>
      </c>
      <c r="X502">
        <v>1.1000000000000001</v>
      </c>
      <c r="Y502">
        <v>4.0999999999999996</v>
      </c>
      <c r="AP502">
        <v>1.5</v>
      </c>
      <c r="AQ502">
        <v>3.7</v>
      </c>
      <c r="AR502">
        <v>0.8</v>
      </c>
      <c r="AS502">
        <v>2.2999999999999998</v>
      </c>
      <c r="AT502">
        <v>0.4</v>
      </c>
      <c r="AU502">
        <v>0.6</v>
      </c>
      <c r="AV502">
        <v>2.2000000000000002</v>
      </c>
      <c r="AW502">
        <v>0.3</v>
      </c>
      <c r="AX502">
        <v>4.0999999999999996</v>
      </c>
    </row>
    <row r="503" spans="1:50" x14ac:dyDescent="0.2">
      <c r="A503" s="1" t="s">
        <v>473</v>
      </c>
      <c r="B503" s="1" t="s">
        <v>26</v>
      </c>
      <c r="C503">
        <v>24</v>
      </c>
      <c r="D503" s="1" t="s">
        <v>391</v>
      </c>
      <c r="E503">
        <v>16</v>
      </c>
      <c r="F503">
        <v>0</v>
      </c>
      <c r="G503">
        <v>11.3</v>
      </c>
      <c r="H503">
        <v>1.4</v>
      </c>
      <c r="I503">
        <v>4.5999999999999996</v>
      </c>
      <c r="J503">
        <v>0.30099999999999999</v>
      </c>
      <c r="K503">
        <v>0.8</v>
      </c>
      <c r="L503">
        <v>2.4</v>
      </c>
      <c r="M503">
        <v>0.308</v>
      </c>
      <c r="N503">
        <v>0.5</v>
      </c>
      <c r="O503">
        <v>0.6</v>
      </c>
      <c r="P503">
        <v>0.88900000000000001</v>
      </c>
      <c r="Q503">
        <v>0.5</v>
      </c>
      <c r="R503">
        <v>0.9</v>
      </c>
      <c r="S503">
        <v>1.4</v>
      </c>
      <c r="T503">
        <v>1.9</v>
      </c>
      <c r="U503">
        <v>0.3</v>
      </c>
      <c r="V503">
        <v>0.3</v>
      </c>
      <c r="W503">
        <v>0.9</v>
      </c>
      <c r="X503">
        <v>1.1000000000000001</v>
      </c>
      <c r="Y503">
        <v>4</v>
      </c>
      <c r="AP503">
        <v>1.4</v>
      </c>
      <c r="AQ503">
        <v>4.5999999999999996</v>
      </c>
      <c r="AR503">
        <v>0.8</v>
      </c>
      <c r="AS503">
        <v>2.4</v>
      </c>
      <c r="AT503">
        <v>0.5</v>
      </c>
      <c r="AU503">
        <v>0.6</v>
      </c>
      <c r="AV503">
        <v>1.4</v>
      </c>
      <c r="AW503">
        <v>1.9</v>
      </c>
      <c r="AX503">
        <v>4</v>
      </c>
    </row>
    <row r="504" spans="1:50" x14ac:dyDescent="0.2">
      <c r="A504" s="1" t="s">
        <v>473</v>
      </c>
      <c r="B504" s="1" t="s">
        <v>26</v>
      </c>
      <c r="C504">
        <v>24</v>
      </c>
      <c r="D504" s="1" t="s">
        <v>68</v>
      </c>
      <c r="E504">
        <v>13</v>
      </c>
      <c r="F504">
        <v>0</v>
      </c>
      <c r="G504">
        <v>12.9</v>
      </c>
      <c r="H504">
        <v>1.7</v>
      </c>
      <c r="I504">
        <v>5.5</v>
      </c>
      <c r="J504">
        <v>0.30599999999999999</v>
      </c>
      <c r="K504">
        <v>0.9</v>
      </c>
      <c r="L504">
        <v>2.9</v>
      </c>
      <c r="M504">
        <v>0.316</v>
      </c>
      <c r="N504">
        <v>0.6</v>
      </c>
      <c r="O504">
        <v>0.7</v>
      </c>
      <c r="P504">
        <v>0.88900000000000001</v>
      </c>
      <c r="Q504">
        <v>0.6</v>
      </c>
      <c r="R504">
        <v>1</v>
      </c>
      <c r="S504">
        <v>1.6</v>
      </c>
      <c r="T504">
        <v>2</v>
      </c>
      <c r="U504">
        <v>0.2</v>
      </c>
      <c r="V504">
        <v>0.3</v>
      </c>
      <c r="W504">
        <v>1.1000000000000001</v>
      </c>
      <c r="X504">
        <v>1.2</v>
      </c>
      <c r="Y504">
        <v>4.9000000000000004</v>
      </c>
      <c r="AP504">
        <v>1.7</v>
      </c>
      <c r="AQ504">
        <v>5.5</v>
      </c>
      <c r="AR504">
        <v>0.9</v>
      </c>
      <c r="AS504">
        <v>2.9</v>
      </c>
      <c r="AT504">
        <v>0.6</v>
      </c>
      <c r="AU504">
        <v>0.7</v>
      </c>
      <c r="AV504">
        <v>1.6</v>
      </c>
      <c r="AW504">
        <v>2</v>
      </c>
      <c r="AX504">
        <v>4.9000000000000004</v>
      </c>
    </row>
    <row r="505" spans="1:50" x14ac:dyDescent="0.2">
      <c r="A505" s="1" t="s">
        <v>474</v>
      </c>
      <c r="B505" s="1" t="s">
        <v>43</v>
      </c>
      <c r="C505">
        <v>28</v>
      </c>
      <c r="D505" s="1" t="s">
        <v>70</v>
      </c>
      <c r="E505">
        <v>40</v>
      </c>
      <c r="F505">
        <v>3</v>
      </c>
      <c r="G505">
        <v>10.7</v>
      </c>
      <c r="H505">
        <v>1.6</v>
      </c>
      <c r="I505">
        <v>2.8</v>
      </c>
      <c r="J505">
        <v>0.55900000000000005</v>
      </c>
      <c r="K505">
        <v>0.1</v>
      </c>
      <c r="L505">
        <v>0.1</v>
      </c>
      <c r="M505">
        <v>0.66700000000000004</v>
      </c>
      <c r="N505">
        <v>0.8</v>
      </c>
      <c r="O505">
        <v>1.1000000000000001</v>
      </c>
      <c r="P505">
        <v>0.74399999999999999</v>
      </c>
      <c r="Q505">
        <v>1.4</v>
      </c>
      <c r="R505">
        <v>1.4</v>
      </c>
      <c r="S505">
        <v>2.8</v>
      </c>
      <c r="T505">
        <v>0.5</v>
      </c>
      <c r="U505">
        <v>0.2</v>
      </c>
      <c r="V505">
        <v>0.2</v>
      </c>
      <c r="W505">
        <v>0.5</v>
      </c>
      <c r="X505">
        <v>1.6</v>
      </c>
      <c r="Y505">
        <v>4</v>
      </c>
      <c r="AP505">
        <v>1.6</v>
      </c>
      <c r="AQ505">
        <v>2.8</v>
      </c>
      <c r="AR505">
        <v>0.1</v>
      </c>
      <c r="AS505">
        <v>0.1</v>
      </c>
      <c r="AT505">
        <v>0.8</v>
      </c>
      <c r="AU505">
        <v>1.1000000000000001</v>
      </c>
      <c r="AV505">
        <v>2.8</v>
      </c>
      <c r="AW505">
        <v>0.5</v>
      </c>
      <c r="AX505">
        <v>4</v>
      </c>
    </row>
    <row r="506" spans="1:50" x14ac:dyDescent="0.2">
      <c r="A506" s="1" t="s">
        <v>474</v>
      </c>
      <c r="B506" s="1" t="s">
        <v>43</v>
      </c>
      <c r="C506">
        <v>28</v>
      </c>
      <c r="D506" s="1" t="s">
        <v>68</v>
      </c>
      <c r="E506">
        <v>38</v>
      </c>
      <c r="F506">
        <v>3</v>
      </c>
      <c r="G506">
        <v>10.9</v>
      </c>
      <c r="H506">
        <v>1.6</v>
      </c>
      <c r="I506">
        <v>2.8</v>
      </c>
      <c r="J506">
        <v>0.55700000000000005</v>
      </c>
      <c r="K506">
        <v>0</v>
      </c>
      <c r="L506">
        <v>0.1</v>
      </c>
      <c r="M506">
        <v>0.5</v>
      </c>
      <c r="N506">
        <v>0.8</v>
      </c>
      <c r="O506">
        <v>1.1000000000000001</v>
      </c>
      <c r="P506">
        <v>0.74399999999999999</v>
      </c>
      <c r="Q506">
        <v>1.5</v>
      </c>
      <c r="R506">
        <v>1.3</v>
      </c>
      <c r="S506">
        <v>2.8</v>
      </c>
      <c r="T506">
        <v>0.5</v>
      </c>
      <c r="U506">
        <v>0.2</v>
      </c>
      <c r="V506">
        <v>0.2</v>
      </c>
      <c r="W506">
        <v>0.4</v>
      </c>
      <c r="X506">
        <v>1.6</v>
      </c>
      <c r="Y506">
        <v>4</v>
      </c>
      <c r="AP506">
        <v>1.6</v>
      </c>
      <c r="AQ506">
        <v>2.8</v>
      </c>
      <c r="AR506">
        <v>0</v>
      </c>
      <c r="AS506">
        <v>0.1</v>
      </c>
      <c r="AT506">
        <v>0.8</v>
      </c>
      <c r="AU506">
        <v>1.1000000000000001</v>
      </c>
      <c r="AV506">
        <v>2.8</v>
      </c>
      <c r="AW506">
        <v>0.5</v>
      </c>
      <c r="AX506">
        <v>4</v>
      </c>
    </row>
    <row r="507" spans="1:50" x14ac:dyDescent="0.2">
      <c r="A507" s="1" t="s">
        <v>475</v>
      </c>
      <c r="B507" s="1" t="s">
        <v>31</v>
      </c>
      <c r="C507">
        <v>24</v>
      </c>
      <c r="D507" s="1" t="s">
        <v>32</v>
      </c>
      <c r="E507">
        <v>67</v>
      </c>
      <c r="F507">
        <v>0</v>
      </c>
      <c r="G507">
        <v>12.8</v>
      </c>
      <c r="H507">
        <v>1.4</v>
      </c>
      <c r="I507">
        <v>3.3</v>
      </c>
      <c r="J507">
        <v>0.438</v>
      </c>
      <c r="K507">
        <v>0.5</v>
      </c>
      <c r="L507">
        <v>1.4</v>
      </c>
      <c r="M507">
        <v>0.33</v>
      </c>
      <c r="N507">
        <v>0.7</v>
      </c>
      <c r="O507">
        <v>1</v>
      </c>
      <c r="P507">
        <v>0.65700000000000003</v>
      </c>
      <c r="Q507">
        <v>0.8</v>
      </c>
      <c r="R507">
        <v>1</v>
      </c>
      <c r="S507">
        <v>1.7</v>
      </c>
      <c r="T507">
        <v>0.6</v>
      </c>
      <c r="U507">
        <v>0.7</v>
      </c>
      <c r="V507">
        <v>0.1</v>
      </c>
      <c r="W507">
        <v>0.3</v>
      </c>
      <c r="X507">
        <v>1.3</v>
      </c>
      <c r="Y507">
        <v>4</v>
      </c>
      <c r="AP507">
        <v>1.4</v>
      </c>
      <c r="AQ507">
        <v>3.3</v>
      </c>
      <c r="AR507">
        <v>0.5</v>
      </c>
      <c r="AS507">
        <v>1.4</v>
      </c>
      <c r="AT507">
        <v>0.7</v>
      </c>
      <c r="AU507">
        <v>1</v>
      </c>
      <c r="AV507">
        <v>1.7</v>
      </c>
      <c r="AW507">
        <v>0.6</v>
      </c>
      <c r="AX507">
        <v>4</v>
      </c>
    </row>
    <row r="508" spans="1:50" x14ac:dyDescent="0.2">
      <c r="A508" s="1" t="s">
        <v>476</v>
      </c>
      <c r="B508" s="1" t="s">
        <v>34</v>
      </c>
      <c r="C508">
        <v>24</v>
      </c>
      <c r="D508" s="1" t="s">
        <v>79</v>
      </c>
      <c r="E508">
        <v>31</v>
      </c>
      <c r="F508">
        <v>0</v>
      </c>
      <c r="G508">
        <v>8.1999999999999993</v>
      </c>
      <c r="H508">
        <v>1.5</v>
      </c>
      <c r="I508">
        <v>3.1</v>
      </c>
      <c r="J508">
        <v>0.46899999999999997</v>
      </c>
      <c r="K508">
        <v>0.4</v>
      </c>
      <c r="L508">
        <v>1.4</v>
      </c>
      <c r="M508">
        <v>0.31</v>
      </c>
      <c r="N508">
        <v>0.7</v>
      </c>
      <c r="O508">
        <v>0.9</v>
      </c>
      <c r="P508">
        <v>0.72399999999999998</v>
      </c>
      <c r="Q508">
        <v>0.7</v>
      </c>
      <c r="R508">
        <v>1.2</v>
      </c>
      <c r="S508">
        <v>1.9</v>
      </c>
      <c r="T508">
        <v>0.2</v>
      </c>
      <c r="U508">
        <v>0.4</v>
      </c>
      <c r="V508">
        <v>0.3</v>
      </c>
      <c r="W508">
        <v>0.4</v>
      </c>
      <c r="X508">
        <v>0.8</v>
      </c>
      <c r="Y508">
        <v>4</v>
      </c>
      <c r="AP508">
        <v>1.5</v>
      </c>
      <c r="AQ508">
        <v>3.1</v>
      </c>
      <c r="AR508">
        <v>0.4</v>
      </c>
      <c r="AS508">
        <v>1.4</v>
      </c>
      <c r="AT508">
        <v>0.7</v>
      </c>
      <c r="AU508">
        <v>0.9</v>
      </c>
      <c r="AV508">
        <v>1.9</v>
      </c>
      <c r="AW508">
        <v>0.2</v>
      </c>
      <c r="AX508">
        <v>4</v>
      </c>
    </row>
    <row r="509" spans="1:50" x14ac:dyDescent="0.2">
      <c r="A509" s="1" t="s">
        <v>477</v>
      </c>
      <c r="B509" s="1" t="s">
        <v>34</v>
      </c>
      <c r="C509">
        <v>24</v>
      </c>
      <c r="D509" s="1" t="s">
        <v>27</v>
      </c>
      <c r="E509">
        <v>53</v>
      </c>
      <c r="F509">
        <v>1</v>
      </c>
      <c r="G509">
        <v>10.199999999999999</v>
      </c>
      <c r="H509">
        <v>1.5</v>
      </c>
      <c r="I509">
        <v>3.4</v>
      </c>
      <c r="J509">
        <v>0.44500000000000001</v>
      </c>
      <c r="K509">
        <v>0.6</v>
      </c>
      <c r="L509">
        <v>2</v>
      </c>
      <c r="M509">
        <v>0.314</v>
      </c>
      <c r="N509">
        <v>0.3</v>
      </c>
      <c r="O509">
        <v>0.4</v>
      </c>
      <c r="P509">
        <v>0.72699999999999998</v>
      </c>
      <c r="Q509">
        <v>0.3</v>
      </c>
      <c r="R509">
        <v>1.1000000000000001</v>
      </c>
      <c r="S509">
        <v>1.4</v>
      </c>
      <c r="T509">
        <v>0.3</v>
      </c>
      <c r="U509">
        <v>0.2</v>
      </c>
      <c r="V509">
        <v>0.2</v>
      </c>
      <c r="W509">
        <v>0.4</v>
      </c>
      <c r="X509">
        <v>0.8</v>
      </c>
      <c r="Y509">
        <v>4</v>
      </c>
      <c r="AP509">
        <v>1.5</v>
      </c>
      <c r="AQ509">
        <v>3.4</v>
      </c>
      <c r="AR509">
        <v>0.6</v>
      </c>
      <c r="AS509">
        <v>2</v>
      </c>
      <c r="AT509">
        <v>0.3</v>
      </c>
      <c r="AU509">
        <v>0.4</v>
      </c>
      <c r="AV509">
        <v>1.4</v>
      </c>
      <c r="AW509">
        <v>0.3</v>
      </c>
      <c r="AX509">
        <v>4</v>
      </c>
    </row>
    <row r="510" spans="1:50" x14ac:dyDescent="0.2">
      <c r="A510" s="1" t="s">
        <v>478</v>
      </c>
      <c r="B510" s="1" t="s">
        <v>31</v>
      </c>
      <c r="C510">
        <v>25</v>
      </c>
      <c r="D510" s="1" t="s">
        <v>83</v>
      </c>
      <c r="E510">
        <v>23</v>
      </c>
      <c r="F510">
        <v>0</v>
      </c>
      <c r="G510">
        <v>9.3000000000000007</v>
      </c>
      <c r="H510">
        <v>1.3</v>
      </c>
      <c r="I510">
        <v>3.1</v>
      </c>
      <c r="J510">
        <v>0.41699999999999998</v>
      </c>
      <c r="K510">
        <v>0.7</v>
      </c>
      <c r="L510">
        <v>1.8</v>
      </c>
      <c r="M510">
        <v>0.41499999999999998</v>
      </c>
      <c r="N510">
        <v>0.6</v>
      </c>
      <c r="O510">
        <v>0.8</v>
      </c>
      <c r="P510">
        <v>0.77800000000000002</v>
      </c>
      <c r="Q510">
        <v>0.4</v>
      </c>
      <c r="R510">
        <v>1.5</v>
      </c>
      <c r="S510">
        <v>1.9</v>
      </c>
      <c r="T510">
        <v>0.3</v>
      </c>
      <c r="U510">
        <v>0.5</v>
      </c>
      <c r="V510">
        <v>0.2</v>
      </c>
      <c r="W510">
        <v>0.3</v>
      </c>
      <c r="X510">
        <v>1.1000000000000001</v>
      </c>
      <c r="Y510">
        <v>4</v>
      </c>
      <c r="AP510">
        <v>1.3</v>
      </c>
      <c r="AQ510">
        <v>3.1</v>
      </c>
      <c r="AR510">
        <v>0.7</v>
      </c>
      <c r="AS510">
        <v>1.8</v>
      </c>
      <c r="AT510">
        <v>0.6</v>
      </c>
      <c r="AU510">
        <v>0.8</v>
      </c>
      <c r="AV510">
        <v>1.9</v>
      </c>
      <c r="AW510">
        <v>0.3</v>
      </c>
      <c r="AX510">
        <v>4</v>
      </c>
    </row>
    <row r="511" spans="1:50" x14ac:dyDescent="0.2">
      <c r="A511" s="1" t="s">
        <v>479</v>
      </c>
      <c r="B511" s="1" t="s">
        <v>31</v>
      </c>
      <c r="C511">
        <v>24</v>
      </c>
      <c r="D511" s="1" t="s">
        <v>81</v>
      </c>
      <c r="E511">
        <v>60</v>
      </c>
      <c r="F511">
        <v>3</v>
      </c>
      <c r="G511">
        <v>14.5</v>
      </c>
      <c r="H511">
        <v>1.7</v>
      </c>
      <c r="I511">
        <v>4.4000000000000004</v>
      </c>
      <c r="J511">
        <v>0.38</v>
      </c>
      <c r="K511">
        <v>0.4</v>
      </c>
      <c r="L511">
        <v>1.7</v>
      </c>
      <c r="M511">
        <v>0.25</v>
      </c>
      <c r="N511">
        <v>0.3</v>
      </c>
      <c r="O511">
        <v>0.4</v>
      </c>
      <c r="P511">
        <v>0.71399999999999997</v>
      </c>
      <c r="Q511">
        <v>0.7</v>
      </c>
      <c r="R511">
        <v>1.2</v>
      </c>
      <c r="S511">
        <v>1.9</v>
      </c>
      <c r="T511">
        <v>1</v>
      </c>
      <c r="U511">
        <v>0.7</v>
      </c>
      <c r="V511">
        <v>0.1</v>
      </c>
      <c r="W511">
        <v>0.3</v>
      </c>
      <c r="X511">
        <v>1.5</v>
      </c>
      <c r="Y511">
        <v>4</v>
      </c>
      <c r="AP511">
        <v>1.7</v>
      </c>
      <c r="AQ511">
        <v>4.4000000000000004</v>
      </c>
      <c r="AR511">
        <v>0.4</v>
      </c>
      <c r="AS511">
        <v>1.7</v>
      </c>
      <c r="AT511">
        <v>0.3</v>
      </c>
      <c r="AU511">
        <v>0.4</v>
      </c>
      <c r="AV511">
        <v>1.9</v>
      </c>
      <c r="AW511">
        <v>1</v>
      </c>
      <c r="AX511">
        <v>4</v>
      </c>
    </row>
    <row r="512" spans="1:50" x14ac:dyDescent="0.2">
      <c r="A512" s="1" t="s">
        <v>480</v>
      </c>
      <c r="B512" s="1" t="s">
        <v>23</v>
      </c>
      <c r="C512">
        <v>37</v>
      </c>
      <c r="D512" s="1" t="s">
        <v>39</v>
      </c>
      <c r="E512">
        <v>73</v>
      </c>
      <c r="F512">
        <v>6</v>
      </c>
      <c r="G512">
        <v>17.399999999999999</v>
      </c>
      <c r="H512">
        <v>1.3</v>
      </c>
      <c r="I512">
        <v>3.2</v>
      </c>
      <c r="J512">
        <v>0.39900000000000002</v>
      </c>
      <c r="K512">
        <v>1.2</v>
      </c>
      <c r="L512">
        <v>3.1</v>
      </c>
      <c r="M512">
        <v>0.39900000000000002</v>
      </c>
      <c r="N512">
        <v>0.1</v>
      </c>
      <c r="O512">
        <v>0.2</v>
      </c>
      <c r="P512">
        <v>0.81799999999999995</v>
      </c>
      <c r="Q512">
        <v>0.3</v>
      </c>
      <c r="R512">
        <v>2.2000000000000002</v>
      </c>
      <c r="S512">
        <v>2.5</v>
      </c>
      <c r="T512">
        <v>0.8</v>
      </c>
      <c r="U512">
        <v>0.6</v>
      </c>
      <c r="V512">
        <v>0.3</v>
      </c>
      <c r="W512">
        <v>0.5</v>
      </c>
      <c r="X512">
        <v>1.3</v>
      </c>
      <c r="Y512">
        <v>3.9</v>
      </c>
      <c r="AP512">
        <v>1.3</v>
      </c>
      <c r="AQ512">
        <v>3.2</v>
      </c>
      <c r="AR512">
        <v>1.2</v>
      </c>
      <c r="AS512">
        <v>3.1</v>
      </c>
      <c r="AT512">
        <v>0.1</v>
      </c>
      <c r="AU512">
        <v>0.2</v>
      </c>
      <c r="AV512">
        <v>2.5</v>
      </c>
      <c r="AW512">
        <v>0.8</v>
      </c>
      <c r="AX512">
        <v>3.9</v>
      </c>
    </row>
    <row r="513" spans="1:50" x14ac:dyDescent="0.2">
      <c r="A513" s="1" t="s">
        <v>481</v>
      </c>
      <c r="B513" s="1" t="s">
        <v>34</v>
      </c>
      <c r="C513">
        <v>19</v>
      </c>
      <c r="D513" s="1" t="s">
        <v>35</v>
      </c>
      <c r="E513">
        <v>74</v>
      </c>
      <c r="F513">
        <v>3</v>
      </c>
      <c r="G513">
        <v>14.6</v>
      </c>
      <c r="H513">
        <v>1.6</v>
      </c>
      <c r="I513">
        <v>3.3</v>
      </c>
      <c r="J513">
        <v>0.47599999999999998</v>
      </c>
      <c r="K513">
        <v>0.6</v>
      </c>
      <c r="L513">
        <v>1.6</v>
      </c>
      <c r="M513">
        <v>0.36199999999999999</v>
      </c>
      <c r="N513">
        <v>0.2</v>
      </c>
      <c r="O513">
        <v>0.4</v>
      </c>
      <c r="P513">
        <v>0.5</v>
      </c>
      <c r="Q513">
        <v>0.8</v>
      </c>
      <c r="R513">
        <v>2.5</v>
      </c>
      <c r="S513">
        <v>3.3</v>
      </c>
      <c r="T513">
        <v>0.5</v>
      </c>
      <c r="U513">
        <v>0.6</v>
      </c>
      <c r="V513">
        <v>0.3</v>
      </c>
      <c r="W513">
        <v>0.5</v>
      </c>
      <c r="X513">
        <v>1.7</v>
      </c>
      <c r="Y513">
        <v>3.9</v>
      </c>
      <c r="AP513">
        <v>1.6</v>
      </c>
      <c r="AQ513">
        <v>3.3</v>
      </c>
      <c r="AR513">
        <v>0.6</v>
      </c>
      <c r="AS513">
        <v>1.6</v>
      </c>
      <c r="AT513">
        <v>0.2</v>
      </c>
      <c r="AU513">
        <v>0.4</v>
      </c>
      <c r="AV513">
        <v>3.3</v>
      </c>
      <c r="AW513">
        <v>0.5</v>
      </c>
      <c r="AX513">
        <v>3.9</v>
      </c>
    </row>
    <row r="514" spans="1:50" x14ac:dyDescent="0.2">
      <c r="A514" s="1" t="s">
        <v>482</v>
      </c>
      <c r="B514" s="1" t="s">
        <v>23</v>
      </c>
      <c r="C514">
        <v>23</v>
      </c>
      <c r="D514" s="1" t="s">
        <v>44</v>
      </c>
      <c r="E514">
        <v>24</v>
      </c>
      <c r="F514">
        <v>6</v>
      </c>
      <c r="G514">
        <v>8.5</v>
      </c>
      <c r="H514">
        <v>1.3</v>
      </c>
      <c r="I514">
        <v>2.5</v>
      </c>
      <c r="J514">
        <v>0.51700000000000002</v>
      </c>
      <c r="K514">
        <v>0.8</v>
      </c>
      <c r="L514">
        <v>1.8</v>
      </c>
      <c r="M514">
        <v>0.45500000000000002</v>
      </c>
      <c r="N514">
        <v>0.5</v>
      </c>
      <c r="O514">
        <v>0.5</v>
      </c>
      <c r="P514">
        <v>0.84599999999999997</v>
      </c>
      <c r="Q514">
        <v>0.3</v>
      </c>
      <c r="R514">
        <v>1.1000000000000001</v>
      </c>
      <c r="S514">
        <v>1.4</v>
      </c>
      <c r="T514">
        <v>0.7</v>
      </c>
      <c r="U514">
        <v>0</v>
      </c>
      <c r="V514">
        <v>0.2</v>
      </c>
      <c r="W514">
        <v>0.5</v>
      </c>
      <c r="X514">
        <v>0.8</v>
      </c>
      <c r="Y514">
        <v>3.9</v>
      </c>
      <c r="AP514">
        <v>1.3</v>
      </c>
      <c r="AQ514">
        <v>2.5</v>
      </c>
      <c r="AR514">
        <v>0.8</v>
      </c>
      <c r="AS514">
        <v>1.8</v>
      </c>
      <c r="AT514">
        <v>0.5</v>
      </c>
      <c r="AU514">
        <v>0.5</v>
      </c>
      <c r="AV514">
        <v>1.4</v>
      </c>
      <c r="AW514">
        <v>0.7</v>
      </c>
      <c r="AX514">
        <v>3.9</v>
      </c>
    </row>
    <row r="515" spans="1:50" x14ac:dyDescent="0.2">
      <c r="A515" s="1" t="s">
        <v>483</v>
      </c>
      <c r="B515" s="1" t="s">
        <v>34</v>
      </c>
      <c r="C515">
        <v>30</v>
      </c>
      <c r="D515" s="1" t="s">
        <v>85</v>
      </c>
      <c r="E515">
        <v>58</v>
      </c>
      <c r="F515">
        <v>12</v>
      </c>
      <c r="G515">
        <v>14.8</v>
      </c>
      <c r="H515">
        <v>1.5</v>
      </c>
      <c r="I515">
        <v>3.3</v>
      </c>
      <c r="J515">
        <v>0.45</v>
      </c>
      <c r="K515">
        <v>0.3</v>
      </c>
      <c r="L515">
        <v>1</v>
      </c>
      <c r="M515">
        <v>0.35099999999999998</v>
      </c>
      <c r="N515">
        <v>0.6</v>
      </c>
      <c r="O515">
        <v>1.1000000000000001</v>
      </c>
      <c r="P515">
        <v>0.60699999999999998</v>
      </c>
      <c r="Q515">
        <v>0.5</v>
      </c>
      <c r="R515">
        <v>2</v>
      </c>
      <c r="S515">
        <v>2.5</v>
      </c>
      <c r="T515">
        <v>1.4</v>
      </c>
      <c r="U515">
        <v>0.7</v>
      </c>
      <c r="V515">
        <v>0.3</v>
      </c>
      <c r="W515">
        <v>0.7</v>
      </c>
      <c r="X515">
        <v>1.5</v>
      </c>
      <c r="Y515">
        <v>3.9</v>
      </c>
      <c r="AP515">
        <v>1.5</v>
      </c>
      <c r="AQ515">
        <v>3.3</v>
      </c>
      <c r="AR515">
        <v>0.3</v>
      </c>
      <c r="AS515">
        <v>1</v>
      </c>
      <c r="AT515">
        <v>0.6</v>
      </c>
      <c r="AU515">
        <v>1.1000000000000001</v>
      </c>
      <c r="AV515">
        <v>2.5</v>
      </c>
      <c r="AW515">
        <v>1.4</v>
      </c>
      <c r="AX515">
        <v>3.9</v>
      </c>
    </row>
    <row r="516" spans="1:50" x14ac:dyDescent="0.2">
      <c r="A516" s="1" t="s">
        <v>484</v>
      </c>
      <c r="B516" s="1" t="s">
        <v>34</v>
      </c>
      <c r="C516">
        <v>21</v>
      </c>
      <c r="D516" s="1" t="s">
        <v>76</v>
      </c>
      <c r="E516">
        <v>59</v>
      </c>
      <c r="F516">
        <v>2</v>
      </c>
      <c r="G516">
        <v>12.8</v>
      </c>
      <c r="H516">
        <v>1.4</v>
      </c>
      <c r="I516">
        <v>3.4</v>
      </c>
      <c r="J516">
        <v>0.40400000000000003</v>
      </c>
      <c r="K516">
        <v>0.5</v>
      </c>
      <c r="L516">
        <v>1.6</v>
      </c>
      <c r="M516">
        <v>0.32300000000000001</v>
      </c>
      <c r="N516">
        <v>0.6</v>
      </c>
      <c r="O516">
        <v>0.8</v>
      </c>
      <c r="P516">
        <v>0.68799999999999994</v>
      </c>
      <c r="Q516">
        <v>1.1000000000000001</v>
      </c>
      <c r="R516">
        <v>2</v>
      </c>
      <c r="S516">
        <v>3.2</v>
      </c>
      <c r="T516">
        <v>1.2</v>
      </c>
      <c r="U516">
        <v>0.5</v>
      </c>
      <c r="V516">
        <v>0.3</v>
      </c>
      <c r="W516">
        <v>0.7</v>
      </c>
      <c r="X516">
        <v>1.2</v>
      </c>
      <c r="Y516">
        <v>3.8</v>
      </c>
      <c r="AP516">
        <v>1.4</v>
      </c>
      <c r="AQ516">
        <v>3.4</v>
      </c>
      <c r="AR516">
        <v>0.5</v>
      </c>
      <c r="AS516">
        <v>1.6</v>
      </c>
      <c r="AT516">
        <v>0.6</v>
      </c>
      <c r="AU516">
        <v>0.8</v>
      </c>
      <c r="AV516">
        <v>3.2</v>
      </c>
      <c r="AW516">
        <v>1.2</v>
      </c>
      <c r="AX516">
        <v>3.8</v>
      </c>
    </row>
    <row r="517" spans="1:50" x14ac:dyDescent="0.2">
      <c r="A517" s="1" t="s">
        <v>485</v>
      </c>
      <c r="B517" s="1" t="s">
        <v>31</v>
      </c>
      <c r="C517">
        <v>23</v>
      </c>
      <c r="D517" s="1" t="s">
        <v>70</v>
      </c>
      <c r="E517">
        <v>47</v>
      </c>
      <c r="F517">
        <v>0</v>
      </c>
      <c r="G517">
        <v>11.6</v>
      </c>
      <c r="H517">
        <v>1.4</v>
      </c>
      <c r="I517">
        <v>3.3</v>
      </c>
      <c r="J517">
        <v>0.435</v>
      </c>
      <c r="K517">
        <v>0.5</v>
      </c>
      <c r="L517">
        <v>1.4</v>
      </c>
      <c r="M517">
        <v>0.36399999999999999</v>
      </c>
      <c r="N517">
        <v>0.3</v>
      </c>
      <c r="O517">
        <v>0.6</v>
      </c>
      <c r="P517">
        <v>0.55200000000000005</v>
      </c>
      <c r="Q517">
        <v>0.5</v>
      </c>
      <c r="R517">
        <v>1.3</v>
      </c>
      <c r="S517">
        <v>1.8</v>
      </c>
      <c r="T517">
        <v>1.4</v>
      </c>
      <c r="U517">
        <v>0.6</v>
      </c>
      <c r="V517">
        <v>0.3</v>
      </c>
      <c r="W517">
        <v>0.6</v>
      </c>
      <c r="X517">
        <v>1</v>
      </c>
      <c r="Y517">
        <v>3.7</v>
      </c>
      <c r="AP517">
        <v>1.4</v>
      </c>
      <c r="AQ517">
        <v>3.3</v>
      </c>
      <c r="AR517">
        <v>0.5</v>
      </c>
      <c r="AS517">
        <v>1.4</v>
      </c>
      <c r="AT517">
        <v>0.3</v>
      </c>
      <c r="AU517">
        <v>0.6</v>
      </c>
      <c r="AV517">
        <v>1.8</v>
      </c>
      <c r="AW517">
        <v>1.4</v>
      </c>
      <c r="AX517">
        <v>3.7</v>
      </c>
    </row>
    <row r="518" spans="1:50" x14ac:dyDescent="0.2">
      <c r="A518" s="1" t="s">
        <v>485</v>
      </c>
      <c r="B518" s="1" t="s">
        <v>31</v>
      </c>
      <c r="C518">
        <v>23</v>
      </c>
      <c r="D518" s="1" t="s">
        <v>128</v>
      </c>
      <c r="E518">
        <v>34</v>
      </c>
      <c r="F518">
        <v>0</v>
      </c>
      <c r="G518">
        <v>11.1</v>
      </c>
      <c r="H518">
        <v>1.3</v>
      </c>
      <c r="I518">
        <v>3</v>
      </c>
      <c r="J518">
        <v>0.441</v>
      </c>
      <c r="K518">
        <v>0.6</v>
      </c>
      <c r="L518">
        <v>1.4</v>
      </c>
      <c r="M518">
        <v>0.41299999999999998</v>
      </c>
      <c r="N518">
        <v>0.3</v>
      </c>
      <c r="O518">
        <v>0.5</v>
      </c>
      <c r="P518">
        <v>0.52900000000000003</v>
      </c>
      <c r="Q518">
        <v>0.6</v>
      </c>
      <c r="R518">
        <v>1.3</v>
      </c>
      <c r="S518">
        <v>1.9</v>
      </c>
      <c r="T518">
        <v>1.3</v>
      </c>
      <c r="U518">
        <v>0.6</v>
      </c>
      <c r="V518">
        <v>0.3</v>
      </c>
      <c r="W518">
        <v>0.6</v>
      </c>
      <c r="X518">
        <v>1</v>
      </c>
      <c r="Y518">
        <v>3.5</v>
      </c>
      <c r="AP518">
        <v>1.3</v>
      </c>
      <c r="AQ518">
        <v>3</v>
      </c>
      <c r="AR518">
        <v>0.6</v>
      </c>
      <c r="AS518">
        <v>1.4</v>
      </c>
      <c r="AT518">
        <v>0.3</v>
      </c>
      <c r="AU518">
        <v>0.5</v>
      </c>
      <c r="AV518">
        <v>1.9</v>
      </c>
      <c r="AW518">
        <v>1.3</v>
      </c>
      <c r="AX518">
        <v>3.5</v>
      </c>
    </row>
    <row r="519" spans="1:50" x14ac:dyDescent="0.2">
      <c r="A519" s="1" t="s">
        <v>485</v>
      </c>
      <c r="B519" s="1" t="s">
        <v>31</v>
      </c>
      <c r="C519">
        <v>23</v>
      </c>
      <c r="D519" s="1" t="s">
        <v>37</v>
      </c>
      <c r="E519">
        <v>13</v>
      </c>
      <c r="F519">
        <v>0</v>
      </c>
      <c r="G519">
        <v>13</v>
      </c>
      <c r="H519">
        <v>1.7</v>
      </c>
      <c r="I519">
        <v>4</v>
      </c>
      <c r="J519">
        <v>0.42299999999999999</v>
      </c>
      <c r="K519">
        <v>0.4</v>
      </c>
      <c r="L519">
        <v>1.5</v>
      </c>
      <c r="M519">
        <v>0.25</v>
      </c>
      <c r="N519">
        <v>0.5</v>
      </c>
      <c r="O519">
        <v>0.9</v>
      </c>
      <c r="P519">
        <v>0.58299999999999996</v>
      </c>
      <c r="Q519">
        <v>0.5</v>
      </c>
      <c r="R519">
        <v>1.1000000000000001</v>
      </c>
      <c r="S519">
        <v>1.5</v>
      </c>
      <c r="T519">
        <v>1.8</v>
      </c>
      <c r="U519">
        <v>0.5</v>
      </c>
      <c r="V519">
        <v>0.3</v>
      </c>
      <c r="W519">
        <v>0.4</v>
      </c>
      <c r="X519">
        <v>1.2</v>
      </c>
      <c r="Y519">
        <v>4.3</v>
      </c>
      <c r="AP519">
        <v>1.7</v>
      </c>
      <c r="AQ519">
        <v>4</v>
      </c>
      <c r="AR519">
        <v>0.4</v>
      </c>
      <c r="AS519">
        <v>1.5</v>
      </c>
      <c r="AT519">
        <v>0.5</v>
      </c>
      <c r="AU519">
        <v>0.9</v>
      </c>
      <c r="AV519">
        <v>1.5</v>
      </c>
      <c r="AW519">
        <v>1.8</v>
      </c>
      <c r="AX519">
        <v>4.3</v>
      </c>
    </row>
    <row r="520" spans="1:50" x14ac:dyDescent="0.2">
      <c r="A520" s="1" t="s">
        <v>486</v>
      </c>
      <c r="B520" s="1" t="s">
        <v>34</v>
      </c>
      <c r="C520">
        <v>24</v>
      </c>
      <c r="D520" s="1" t="s">
        <v>79</v>
      </c>
      <c r="E520">
        <v>44</v>
      </c>
      <c r="F520">
        <v>7</v>
      </c>
      <c r="G520">
        <v>9.1999999999999993</v>
      </c>
      <c r="H520">
        <v>1.3</v>
      </c>
      <c r="I520">
        <v>2.8</v>
      </c>
      <c r="J520">
        <v>0.47899999999999998</v>
      </c>
      <c r="K520">
        <v>0.6</v>
      </c>
      <c r="L520">
        <v>1.5</v>
      </c>
      <c r="M520">
        <v>0.40600000000000003</v>
      </c>
      <c r="N520">
        <v>0.4</v>
      </c>
      <c r="O520">
        <v>0.6</v>
      </c>
      <c r="P520">
        <v>0.73099999999999998</v>
      </c>
      <c r="Q520">
        <v>0.9</v>
      </c>
      <c r="R520">
        <v>1.9</v>
      </c>
      <c r="S520">
        <v>2.7</v>
      </c>
      <c r="T520">
        <v>0.9</v>
      </c>
      <c r="U520">
        <v>0.5</v>
      </c>
      <c r="V520">
        <v>0.2</v>
      </c>
      <c r="W520">
        <v>0.4</v>
      </c>
      <c r="X520">
        <v>1.8</v>
      </c>
      <c r="Y520">
        <v>3.7</v>
      </c>
      <c r="AP520">
        <v>1.3</v>
      </c>
      <c r="AQ520">
        <v>2.8</v>
      </c>
      <c r="AR520">
        <v>0.6</v>
      </c>
      <c r="AS520">
        <v>1.5</v>
      </c>
      <c r="AT520">
        <v>0.4</v>
      </c>
      <c r="AU520">
        <v>0.6</v>
      </c>
      <c r="AV520">
        <v>2.7</v>
      </c>
      <c r="AW520">
        <v>0.9</v>
      </c>
      <c r="AX520">
        <v>3.7</v>
      </c>
    </row>
    <row r="521" spans="1:50" x14ac:dyDescent="0.2">
      <c r="A521" s="1" t="s">
        <v>487</v>
      </c>
      <c r="B521" s="1" t="s">
        <v>23</v>
      </c>
      <c r="C521">
        <v>33</v>
      </c>
      <c r="D521" s="1" t="s">
        <v>41</v>
      </c>
      <c r="E521">
        <v>34</v>
      </c>
      <c r="F521">
        <v>2</v>
      </c>
      <c r="G521">
        <v>12.6</v>
      </c>
      <c r="H521">
        <v>1.4</v>
      </c>
      <c r="I521">
        <v>3.5</v>
      </c>
      <c r="J521">
        <v>0.40699999999999997</v>
      </c>
      <c r="K521">
        <v>0.6</v>
      </c>
      <c r="L521">
        <v>1.8</v>
      </c>
      <c r="M521">
        <v>0.33300000000000002</v>
      </c>
      <c r="N521">
        <v>0.1</v>
      </c>
      <c r="O521">
        <v>0.3</v>
      </c>
      <c r="P521">
        <v>0.45500000000000002</v>
      </c>
      <c r="Q521">
        <v>0.8</v>
      </c>
      <c r="R521">
        <v>1.7</v>
      </c>
      <c r="S521">
        <v>2.6</v>
      </c>
      <c r="T521">
        <v>0.9</v>
      </c>
      <c r="U521">
        <v>0.6</v>
      </c>
      <c r="V521">
        <v>0.1</v>
      </c>
      <c r="W521">
        <v>0.6</v>
      </c>
      <c r="X521">
        <v>1.6</v>
      </c>
      <c r="Y521">
        <v>3.6</v>
      </c>
      <c r="AP521">
        <v>1.4</v>
      </c>
      <c r="AQ521">
        <v>3.5</v>
      </c>
      <c r="AR521">
        <v>0.6</v>
      </c>
      <c r="AS521">
        <v>1.8</v>
      </c>
      <c r="AT521">
        <v>0.1</v>
      </c>
      <c r="AU521">
        <v>0.3</v>
      </c>
      <c r="AV521">
        <v>2.6</v>
      </c>
      <c r="AW521">
        <v>0.9</v>
      </c>
      <c r="AX521">
        <v>3.6</v>
      </c>
    </row>
    <row r="522" spans="1:50" x14ac:dyDescent="0.2">
      <c r="A522" s="1" t="s">
        <v>488</v>
      </c>
      <c r="B522" s="1" t="s">
        <v>23</v>
      </c>
      <c r="C522">
        <v>25</v>
      </c>
      <c r="D522" s="1" t="s">
        <v>44</v>
      </c>
      <c r="E522">
        <v>51</v>
      </c>
      <c r="F522">
        <v>3</v>
      </c>
      <c r="G522">
        <v>11.9</v>
      </c>
      <c r="H522">
        <v>1.3</v>
      </c>
      <c r="I522">
        <v>2.8</v>
      </c>
      <c r="J522">
        <v>0.46899999999999997</v>
      </c>
      <c r="K522">
        <v>0.3</v>
      </c>
      <c r="L522">
        <v>1</v>
      </c>
      <c r="M522">
        <v>0.26900000000000002</v>
      </c>
      <c r="N522">
        <v>0.7</v>
      </c>
      <c r="O522">
        <v>0.9</v>
      </c>
      <c r="P522">
        <v>0.77300000000000002</v>
      </c>
      <c r="Q522">
        <v>0.6</v>
      </c>
      <c r="R522">
        <v>2</v>
      </c>
      <c r="S522">
        <v>2.6</v>
      </c>
      <c r="T522">
        <v>0.5</v>
      </c>
      <c r="U522">
        <v>0.3</v>
      </c>
      <c r="V522">
        <v>0.5</v>
      </c>
      <c r="W522">
        <v>0.5</v>
      </c>
      <c r="X522">
        <v>1.3</v>
      </c>
      <c r="Y522">
        <v>3.6</v>
      </c>
      <c r="AP522">
        <v>1.3</v>
      </c>
      <c r="AQ522">
        <v>2.8</v>
      </c>
      <c r="AR522">
        <v>0.3</v>
      </c>
      <c r="AS522">
        <v>1</v>
      </c>
      <c r="AT522">
        <v>0.7</v>
      </c>
      <c r="AU522">
        <v>0.9</v>
      </c>
      <c r="AV522">
        <v>2.6</v>
      </c>
      <c r="AW522">
        <v>0.5</v>
      </c>
      <c r="AX522">
        <v>3.6</v>
      </c>
    </row>
    <row r="523" spans="1:50" x14ac:dyDescent="0.2">
      <c r="A523" s="1" t="s">
        <v>489</v>
      </c>
      <c r="B523" s="1" t="s">
        <v>23</v>
      </c>
      <c r="C523">
        <v>25</v>
      </c>
      <c r="D523" s="1" t="s">
        <v>64</v>
      </c>
      <c r="E523">
        <v>14</v>
      </c>
      <c r="F523">
        <v>0</v>
      </c>
      <c r="G523">
        <v>9.4</v>
      </c>
      <c r="H523">
        <v>1.2</v>
      </c>
      <c r="I523">
        <v>2.4</v>
      </c>
      <c r="J523">
        <v>0.5</v>
      </c>
      <c r="K523">
        <v>0</v>
      </c>
      <c r="L523">
        <v>0</v>
      </c>
      <c r="N523">
        <v>1.2</v>
      </c>
      <c r="O523">
        <v>1.9</v>
      </c>
      <c r="P523">
        <v>0.65400000000000003</v>
      </c>
      <c r="Q523">
        <v>1.4</v>
      </c>
      <c r="R523">
        <v>1.9</v>
      </c>
      <c r="S523">
        <v>3.3</v>
      </c>
      <c r="T523">
        <v>0.9</v>
      </c>
      <c r="U523">
        <v>0.1</v>
      </c>
      <c r="V523">
        <v>0.4</v>
      </c>
      <c r="W523">
        <v>0.5</v>
      </c>
      <c r="X523">
        <v>1.6</v>
      </c>
      <c r="Y523">
        <v>3.6</v>
      </c>
      <c r="AP523">
        <v>1.2</v>
      </c>
      <c r="AQ523">
        <v>2.4</v>
      </c>
      <c r="AR523">
        <v>0</v>
      </c>
      <c r="AS523">
        <v>0</v>
      </c>
      <c r="AT523">
        <v>1.2</v>
      </c>
      <c r="AU523">
        <v>1.9</v>
      </c>
      <c r="AV523">
        <v>3.3</v>
      </c>
      <c r="AW523">
        <v>0.9</v>
      </c>
      <c r="AX523">
        <v>3.6</v>
      </c>
    </row>
    <row r="524" spans="1:50" x14ac:dyDescent="0.2">
      <c r="A524" s="1" t="s">
        <v>490</v>
      </c>
      <c r="B524" s="1" t="s">
        <v>43</v>
      </c>
      <c r="C524">
        <v>31</v>
      </c>
      <c r="D524" s="1" t="s">
        <v>57</v>
      </c>
      <c r="E524">
        <v>74</v>
      </c>
      <c r="F524">
        <v>2</v>
      </c>
      <c r="G524">
        <v>12.2</v>
      </c>
      <c r="H524">
        <v>1.5</v>
      </c>
      <c r="I524">
        <v>2.9</v>
      </c>
      <c r="J524">
        <v>0.505</v>
      </c>
      <c r="K524">
        <v>0</v>
      </c>
      <c r="L524">
        <v>0</v>
      </c>
      <c r="N524">
        <v>0.6</v>
      </c>
      <c r="O524">
        <v>1</v>
      </c>
      <c r="P524">
        <v>0.57699999999999996</v>
      </c>
      <c r="Q524">
        <v>2.1</v>
      </c>
      <c r="R524">
        <v>2.4</v>
      </c>
      <c r="S524">
        <v>4.5</v>
      </c>
      <c r="T524">
        <v>0.7</v>
      </c>
      <c r="U524">
        <v>0.5</v>
      </c>
      <c r="V524">
        <v>0.8</v>
      </c>
      <c r="W524">
        <v>0.6</v>
      </c>
      <c r="X524">
        <v>1</v>
      </c>
      <c r="Y524">
        <v>3.5</v>
      </c>
      <c r="AP524">
        <v>1.5</v>
      </c>
      <c r="AQ524">
        <v>2.9</v>
      </c>
      <c r="AR524">
        <v>0</v>
      </c>
      <c r="AS524">
        <v>0</v>
      </c>
      <c r="AT524">
        <v>0.6</v>
      </c>
      <c r="AU524">
        <v>1</v>
      </c>
      <c r="AV524">
        <v>4.5</v>
      </c>
      <c r="AW524">
        <v>0.7</v>
      </c>
      <c r="AX524">
        <v>3.5</v>
      </c>
    </row>
    <row r="525" spans="1:50" x14ac:dyDescent="0.2">
      <c r="A525" s="1" t="s">
        <v>491</v>
      </c>
      <c r="B525" s="1" t="s">
        <v>34</v>
      </c>
      <c r="C525">
        <v>20</v>
      </c>
      <c r="D525" s="1" t="s">
        <v>55</v>
      </c>
      <c r="E525">
        <v>68</v>
      </c>
      <c r="F525">
        <v>6</v>
      </c>
      <c r="G525">
        <v>8.8000000000000007</v>
      </c>
      <c r="H525">
        <v>1.3</v>
      </c>
      <c r="I525">
        <v>3</v>
      </c>
      <c r="J525">
        <v>0.43099999999999999</v>
      </c>
      <c r="K525">
        <v>0.7</v>
      </c>
      <c r="L525">
        <v>1.8</v>
      </c>
      <c r="M525">
        <v>0.38400000000000001</v>
      </c>
      <c r="N525">
        <v>0.3</v>
      </c>
      <c r="O525">
        <v>0.3</v>
      </c>
      <c r="P525">
        <v>0.73899999999999999</v>
      </c>
      <c r="Q525">
        <v>0.2</v>
      </c>
      <c r="R525">
        <v>1.1000000000000001</v>
      </c>
      <c r="S525">
        <v>1.3</v>
      </c>
      <c r="T525">
        <v>0.7</v>
      </c>
      <c r="U525">
        <v>0.2</v>
      </c>
      <c r="V525">
        <v>0.1</v>
      </c>
      <c r="W525">
        <v>0.4</v>
      </c>
      <c r="X525">
        <v>0.7</v>
      </c>
      <c r="Y525">
        <v>3.5</v>
      </c>
      <c r="AP525">
        <v>1.3</v>
      </c>
      <c r="AQ525">
        <v>3</v>
      </c>
      <c r="AR525">
        <v>0.7</v>
      </c>
      <c r="AS525">
        <v>1.8</v>
      </c>
      <c r="AT525">
        <v>0.3</v>
      </c>
      <c r="AU525">
        <v>0.3</v>
      </c>
      <c r="AV525">
        <v>1.3</v>
      </c>
      <c r="AW525">
        <v>0.7</v>
      </c>
      <c r="AX525">
        <v>3.5</v>
      </c>
    </row>
    <row r="526" spans="1:50" x14ac:dyDescent="0.2">
      <c r="A526" s="1" t="s">
        <v>492</v>
      </c>
      <c r="B526" s="1" t="s">
        <v>43</v>
      </c>
      <c r="C526">
        <v>25</v>
      </c>
      <c r="D526" s="1" t="s">
        <v>70</v>
      </c>
      <c r="E526">
        <v>52</v>
      </c>
      <c r="F526">
        <v>1</v>
      </c>
      <c r="G526">
        <v>9.4</v>
      </c>
      <c r="H526">
        <v>1.3</v>
      </c>
      <c r="I526">
        <v>2.2999999999999998</v>
      </c>
      <c r="J526">
        <v>0.56999999999999995</v>
      </c>
      <c r="K526">
        <v>0</v>
      </c>
      <c r="L526">
        <v>0</v>
      </c>
      <c r="M526">
        <v>1</v>
      </c>
      <c r="N526">
        <v>0.7</v>
      </c>
      <c r="O526">
        <v>1.4</v>
      </c>
      <c r="P526">
        <v>0.51400000000000001</v>
      </c>
      <c r="Q526">
        <v>1.3</v>
      </c>
      <c r="R526">
        <v>1.5</v>
      </c>
      <c r="S526">
        <v>2.7</v>
      </c>
      <c r="T526">
        <v>0.8</v>
      </c>
      <c r="U526">
        <v>0.3</v>
      </c>
      <c r="V526">
        <v>0.4</v>
      </c>
      <c r="W526">
        <v>0.4</v>
      </c>
      <c r="X526">
        <v>0.8</v>
      </c>
      <c r="Y526">
        <v>3.4</v>
      </c>
      <c r="AP526">
        <v>1.3</v>
      </c>
      <c r="AQ526">
        <v>2.2999999999999998</v>
      </c>
      <c r="AR526">
        <v>0</v>
      </c>
      <c r="AS526">
        <v>0</v>
      </c>
      <c r="AT526">
        <v>0.7</v>
      </c>
      <c r="AU526">
        <v>1.4</v>
      </c>
      <c r="AV526">
        <v>2.7</v>
      </c>
      <c r="AW526">
        <v>0.8</v>
      </c>
      <c r="AX526">
        <v>3.4</v>
      </c>
    </row>
    <row r="527" spans="1:50" x14ac:dyDescent="0.2">
      <c r="A527" s="1" t="s">
        <v>492</v>
      </c>
      <c r="B527" s="1" t="s">
        <v>43</v>
      </c>
      <c r="C527">
        <v>25</v>
      </c>
      <c r="D527" s="1" t="s">
        <v>51</v>
      </c>
      <c r="E527">
        <v>36</v>
      </c>
      <c r="F527">
        <v>1</v>
      </c>
      <c r="G527">
        <v>11.4</v>
      </c>
      <c r="H527">
        <v>1.7</v>
      </c>
      <c r="I527">
        <v>2.8</v>
      </c>
      <c r="J527">
        <v>0.58799999999999997</v>
      </c>
      <c r="K527">
        <v>0</v>
      </c>
      <c r="L527">
        <v>0</v>
      </c>
      <c r="M527">
        <v>1</v>
      </c>
      <c r="N527">
        <v>0.8</v>
      </c>
      <c r="O527">
        <v>1.4</v>
      </c>
      <c r="P527">
        <v>0.55800000000000005</v>
      </c>
      <c r="Q527">
        <v>1.3</v>
      </c>
      <c r="R527">
        <v>1.8</v>
      </c>
      <c r="S527">
        <v>3.1</v>
      </c>
      <c r="T527">
        <v>0.9</v>
      </c>
      <c r="U527">
        <v>0.4</v>
      </c>
      <c r="V527">
        <v>0.5</v>
      </c>
      <c r="W527">
        <v>0.5</v>
      </c>
      <c r="X527">
        <v>1.1000000000000001</v>
      </c>
      <c r="Y527">
        <v>4.2</v>
      </c>
      <c r="AP527">
        <v>1.7</v>
      </c>
      <c r="AQ527">
        <v>2.8</v>
      </c>
      <c r="AR527">
        <v>0</v>
      </c>
      <c r="AS527">
        <v>0</v>
      </c>
      <c r="AT527">
        <v>0.8</v>
      </c>
      <c r="AU527">
        <v>1.4</v>
      </c>
      <c r="AV527">
        <v>3.1</v>
      </c>
      <c r="AW527">
        <v>0.9</v>
      </c>
      <c r="AX527">
        <v>4.2</v>
      </c>
    </row>
    <row r="528" spans="1:50" x14ac:dyDescent="0.2">
      <c r="A528" s="1" t="s">
        <v>492</v>
      </c>
      <c r="B528" s="1" t="s">
        <v>43</v>
      </c>
      <c r="C528">
        <v>25</v>
      </c>
      <c r="D528" s="1" t="s">
        <v>83</v>
      </c>
      <c r="E528">
        <v>16</v>
      </c>
      <c r="F528">
        <v>0</v>
      </c>
      <c r="G528">
        <v>5</v>
      </c>
      <c r="H528">
        <v>0.6</v>
      </c>
      <c r="I528">
        <v>1.2</v>
      </c>
      <c r="J528">
        <v>0.47399999999999998</v>
      </c>
      <c r="K528">
        <v>0</v>
      </c>
      <c r="L528">
        <v>0</v>
      </c>
      <c r="N528">
        <v>0.6</v>
      </c>
      <c r="O528">
        <v>1.4</v>
      </c>
      <c r="P528">
        <v>0.40899999999999997</v>
      </c>
      <c r="Q528">
        <v>1.1000000000000001</v>
      </c>
      <c r="R528">
        <v>0.7</v>
      </c>
      <c r="S528">
        <v>1.8</v>
      </c>
      <c r="T528">
        <v>0.4</v>
      </c>
      <c r="U528">
        <v>0.3</v>
      </c>
      <c r="V528">
        <v>0.3</v>
      </c>
      <c r="W528">
        <v>0.3</v>
      </c>
      <c r="X528">
        <v>0.3</v>
      </c>
      <c r="Y528">
        <v>1.7</v>
      </c>
      <c r="AP528">
        <v>0.6</v>
      </c>
      <c r="AQ528">
        <v>1.2</v>
      </c>
      <c r="AR528">
        <v>0</v>
      </c>
      <c r="AS528">
        <v>0</v>
      </c>
      <c r="AT528">
        <v>0.6</v>
      </c>
      <c r="AU528">
        <v>1.4</v>
      </c>
      <c r="AV528">
        <v>1.8</v>
      </c>
      <c r="AW528">
        <v>0.4</v>
      </c>
      <c r="AX528">
        <v>1.7</v>
      </c>
    </row>
    <row r="529" spans="1:50" x14ac:dyDescent="0.2">
      <c r="A529" s="1" t="s">
        <v>493</v>
      </c>
      <c r="B529" s="1" t="s">
        <v>23</v>
      </c>
      <c r="C529">
        <v>22</v>
      </c>
      <c r="D529" s="1" t="s">
        <v>70</v>
      </c>
      <c r="E529">
        <v>43</v>
      </c>
      <c r="F529">
        <v>0</v>
      </c>
      <c r="G529">
        <v>10.4</v>
      </c>
      <c r="H529">
        <v>1.4</v>
      </c>
      <c r="I529">
        <v>2.8</v>
      </c>
      <c r="J529">
        <v>0.5</v>
      </c>
      <c r="K529">
        <v>0.2</v>
      </c>
      <c r="L529">
        <v>0.9</v>
      </c>
      <c r="M529">
        <v>0.23100000000000001</v>
      </c>
      <c r="N529">
        <v>0.4</v>
      </c>
      <c r="O529">
        <v>0.6</v>
      </c>
      <c r="P529">
        <v>0.70799999999999996</v>
      </c>
      <c r="Q529">
        <v>0.8</v>
      </c>
      <c r="R529">
        <v>1.6</v>
      </c>
      <c r="S529">
        <v>2.2999999999999998</v>
      </c>
      <c r="T529">
        <v>0.8</v>
      </c>
      <c r="U529">
        <v>0.4</v>
      </c>
      <c r="V529">
        <v>0.2</v>
      </c>
      <c r="W529">
        <v>0.5</v>
      </c>
      <c r="X529">
        <v>1.3</v>
      </c>
      <c r="Y529">
        <v>3.4</v>
      </c>
      <c r="AP529">
        <v>1.4</v>
      </c>
      <c r="AQ529">
        <v>2.8</v>
      </c>
      <c r="AR529">
        <v>0.2</v>
      </c>
      <c r="AS529">
        <v>0.9</v>
      </c>
      <c r="AT529">
        <v>0.4</v>
      </c>
      <c r="AU529">
        <v>0.6</v>
      </c>
      <c r="AV529">
        <v>2.2999999999999998</v>
      </c>
      <c r="AW529">
        <v>0.8</v>
      </c>
      <c r="AX529">
        <v>3.4</v>
      </c>
    </row>
    <row r="530" spans="1:50" x14ac:dyDescent="0.2">
      <c r="A530" s="1" t="s">
        <v>493</v>
      </c>
      <c r="B530" s="1" t="s">
        <v>23</v>
      </c>
      <c r="C530">
        <v>22</v>
      </c>
      <c r="D530" s="1" t="s">
        <v>60</v>
      </c>
      <c r="E530">
        <v>28</v>
      </c>
      <c r="F530">
        <v>0</v>
      </c>
      <c r="G530">
        <v>12.8</v>
      </c>
      <c r="H530">
        <v>1.7</v>
      </c>
      <c r="I530">
        <v>3.5</v>
      </c>
      <c r="J530">
        <v>0.47499999999999998</v>
      </c>
      <c r="K530">
        <v>0.3</v>
      </c>
      <c r="L530">
        <v>1.3</v>
      </c>
      <c r="M530">
        <v>0.25700000000000001</v>
      </c>
      <c r="N530">
        <v>0.4</v>
      </c>
      <c r="O530">
        <v>0.6</v>
      </c>
      <c r="P530">
        <v>0.68799999999999994</v>
      </c>
      <c r="Q530">
        <v>0.9</v>
      </c>
      <c r="R530">
        <v>1.7</v>
      </c>
      <c r="S530">
        <v>2.6</v>
      </c>
      <c r="T530">
        <v>1</v>
      </c>
      <c r="U530">
        <v>0.4</v>
      </c>
      <c r="V530">
        <v>0.2</v>
      </c>
      <c r="W530">
        <v>0.6</v>
      </c>
      <c r="X530">
        <v>1.8</v>
      </c>
      <c r="Y530">
        <v>4.0999999999999996</v>
      </c>
      <c r="AP530">
        <v>1.7</v>
      </c>
      <c r="AQ530">
        <v>3.5</v>
      </c>
      <c r="AR530">
        <v>0.3</v>
      </c>
      <c r="AS530">
        <v>1.3</v>
      </c>
      <c r="AT530">
        <v>0.4</v>
      </c>
      <c r="AU530">
        <v>0.6</v>
      </c>
      <c r="AV530">
        <v>2.6</v>
      </c>
      <c r="AW530">
        <v>1</v>
      </c>
      <c r="AX530">
        <v>4.0999999999999996</v>
      </c>
    </row>
    <row r="531" spans="1:50" x14ac:dyDescent="0.2">
      <c r="A531" s="1" t="s">
        <v>493</v>
      </c>
      <c r="B531" s="1" t="s">
        <v>23</v>
      </c>
      <c r="C531">
        <v>22</v>
      </c>
      <c r="D531" s="1" t="s">
        <v>55</v>
      </c>
      <c r="E531">
        <v>15</v>
      </c>
      <c r="F531">
        <v>0</v>
      </c>
      <c r="G531">
        <v>6.1</v>
      </c>
      <c r="H531">
        <v>0.9</v>
      </c>
      <c r="I531">
        <v>1.4</v>
      </c>
      <c r="J531">
        <v>0.61899999999999999</v>
      </c>
      <c r="K531">
        <v>0</v>
      </c>
      <c r="L531">
        <v>0.3</v>
      </c>
      <c r="M531">
        <v>0</v>
      </c>
      <c r="N531">
        <v>0.4</v>
      </c>
      <c r="O531">
        <v>0.5</v>
      </c>
      <c r="P531">
        <v>0.75</v>
      </c>
      <c r="Q531">
        <v>0.5</v>
      </c>
      <c r="R531">
        <v>1.3</v>
      </c>
      <c r="S531">
        <v>1.9</v>
      </c>
      <c r="T531">
        <v>0.5</v>
      </c>
      <c r="U531">
        <v>0.5</v>
      </c>
      <c r="V531">
        <v>0.1</v>
      </c>
      <c r="W531">
        <v>0.2</v>
      </c>
      <c r="X531">
        <v>0.5</v>
      </c>
      <c r="Y531">
        <v>2.1</v>
      </c>
      <c r="AP531">
        <v>0.9</v>
      </c>
      <c r="AQ531">
        <v>1.4</v>
      </c>
      <c r="AR531">
        <v>0</v>
      </c>
      <c r="AS531">
        <v>0.3</v>
      </c>
      <c r="AT531">
        <v>0.4</v>
      </c>
      <c r="AU531">
        <v>0.5</v>
      </c>
      <c r="AV531">
        <v>1.9</v>
      </c>
      <c r="AW531">
        <v>0.5</v>
      </c>
      <c r="AX531">
        <v>2.1</v>
      </c>
    </row>
    <row r="532" spans="1:50" x14ac:dyDescent="0.2">
      <c r="A532" s="1" t="s">
        <v>494</v>
      </c>
      <c r="B532" s="1" t="s">
        <v>23</v>
      </c>
      <c r="C532">
        <v>19</v>
      </c>
      <c r="D532" s="1" t="s">
        <v>32</v>
      </c>
      <c r="E532">
        <v>39</v>
      </c>
      <c r="F532">
        <v>2</v>
      </c>
      <c r="G532">
        <v>7.3</v>
      </c>
      <c r="H532">
        <v>1.4</v>
      </c>
      <c r="I532">
        <v>2.2000000000000002</v>
      </c>
      <c r="J532">
        <v>0.65100000000000002</v>
      </c>
      <c r="K532">
        <v>0</v>
      </c>
      <c r="L532">
        <v>0</v>
      </c>
      <c r="N532">
        <v>0.5</v>
      </c>
      <c r="O532">
        <v>0.7</v>
      </c>
      <c r="P532">
        <v>0.71399999999999997</v>
      </c>
      <c r="Q532">
        <v>1</v>
      </c>
      <c r="R532">
        <v>1</v>
      </c>
      <c r="S532">
        <v>2</v>
      </c>
      <c r="T532">
        <v>0.3</v>
      </c>
      <c r="U532">
        <v>0.2</v>
      </c>
      <c r="V532">
        <v>0.5</v>
      </c>
      <c r="W532">
        <v>0.3</v>
      </c>
      <c r="X532">
        <v>1.1000000000000001</v>
      </c>
      <c r="Y532">
        <v>3.4</v>
      </c>
      <c r="AP532">
        <v>1.4</v>
      </c>
      <c r="AQ532">
        <v>2.2000000000000002</v>
      </c>
      <c r="AR532">
        <v>0</v>
      </c>
      <c r="AS532">
        <v>0</v>
      </c>
      <c r="AT532">
        <v>0.5</v>
      </c>
      <c r="AU532">
        <v>0.7</v>
      </c>
      <c r="AV532">
        <v>2</v>
      </c>
      <c r="AW532">
        <v>0.3</v>
      </c>
      <c r="AX532">
        <v>3.4</v>
      </c>
    </row>
    <row r="533" spans="1:50" x14ac:dyDescent="0.2">
      <c r="A533" s="1" t="s">
        <v>495</v>
      </c>
      <c r="B533" s="1" t="s">
        <v>34</v>
      </c>
      <c r="C533">
        <v>25</v>
      </c>
      <c r="D533" s="1" t="s">
        <v>35</v>
      </c>
      <c r="E533">
        <v>28</v>
      </c>
      <c r="F533">
        <v>2</v>
      </c>
      <c r="G533">
        <v>10</v>
      </c>
      <c r="H533">
        <v>1.3</v>
      </c>
      <c r="I533">
        <v>3.2</v>
      </c>
      <c r="J533">
        <v>0.4</v>
      </c>
      <c r="K533">
        <v>0.8</v>
      </c>
      <c r="L533">
        <v>2.4</v>
      </c>
      <c r="M533">
        <v>0.33800000000000002</v>
      </c>
      <c r="N533">
        <v>0</v>
      </c>
      <c r="O533">
        <v>0.1</v>
      </c>
      <c r="P533">
        <v>0.5</v>
      </c>
      <c r="Q533">
        <v>0.5</v>
      </c>
      <c r="R533">
        <v>1</v>
      </c>
      <c r="S533">
        <v>1.5</v>
      </c>
      <c r="T533">
        <v>0.6</v>
      </c>
      <c r="U533">
        <v>0.3</v>
      </c>
      <c r="V533">
        <v>0.3</v>
      </c>
      <c r="W533">
        <v>0.2</v>
      </c>
      <c r="X533">
        <v>0.7</v>
      </c>
      <c r="Y533">
        <v>3.4</v>
      </c>
      <c r="AP533">
        <v>1.3</v>
      </c>
      <c r="AQ533">
        <v>3.2</v>
      </c>
      <c r="AR533">
        <v>0.8</v>
      </c>
      <c r="AS533">
        <v>2.4</v>
      </c>
      <c r="AT533">
        <v>0</v>
      </c>
      <c r="AU533">
        <v>0.1</v>
      </c>
      <c r="AV533">
        <v>1.5</v>
      </c>
      <c r="AW533">
        <v>0.6</v>
      </c>
      <c r="AX533">
        <v>3.4</v>
      </c>
    </row>
    <row r="534" spans="1:50" x14ac:dyDescent="0.2">
      <c r="A534" s="1" t="s">
        <v>496</v>
      </c>
      <c r="B534" s="1" t="s">
        <v>23</v>
      </c>
      <c r="C534">
        <v>25</v>
      </c>
      <c r="D534" s="1" t="s">
        <v>27</v>
      </c>
      <c r="E534">
        <v>26</v>
      </c>
      <c r="F534">
        <v>1</v>
      </c>
      <c r="G534">
        <v>8.8000000000000007</v>
      </c>
      <c r="H534">
        <v>1.4</v>
      </c>
      <c r="I534">
        <v>2.5</v>
      </c>
      <c r="J534">
        <v>0.56899999999999995</v>
      </c>
      <c r="K534">
        <v>0.4</v>
      </c>
      <c r="L534">
        <v>0.9</v>
      </c>
      <c r="M534">
        <v>0.41699999999999998</v>
      </c>
      <c r="N534">
        <v>0.2</v>
      </c>
      <c r="O534">
        <v>0.3</v>
      </c>
      <c r="P534">
        <v>0.55600000000000005</v>
      </c>
      <c r="Q534">
        <v>0.4</v>
      </c>
      <c r="R534">
        <v>0.9</v>
      </c>
      <c r="S534">
        <v>1.3</v>
      </c>
      <c r="T534">
        <v>0.8</v>
      </c>
      <c r="U534">
        <v>0.2</v>
      </c>
      <c r="V534">
        <v>0</v>
      </c>
      <c r="W534">
        <v>0.5</v>
      </c>
      <c r="X534">
        <v>0.7</v>
      </c>
      <c r="Y534">
        <v>3.4</v>
      </c>
      <c r="AP534">
        <v>1.4</v>
      </c>
      <c r="AQ534">
        <v>2.5</v>
      </c>
      <c r="AR534">
        <v>0.4</v>
      </c>
      <c r="AS534">
        <v>0.9</v>
      </c>
      <c r="AT534">
        <v>0.2</v>
      </c>
      <c r="AU534">
        <v>0.3</v>
      </c>
      <c r="AV534">
        <v>1.3</v>
      </c>
      <c r="AW534">
        <v>0.8</v>
      </c>
      <c r="AX534">
        <v>3.4</v>
      </c>
    </row>
    <row r="535" spans="1:50" x14ac:dyDescent="0.2">
      <c r="A535" s="1" t="s">
        <v>497</v>
      </c>
      <c r="B535" s="1" t="s">
        <v>26</v>
      </c>
      <c r="C535">
        <v>26</v>
      </c>
      <c r="D535" s="1" t="s">
        <v>74</v>
      </c>
      <c r="E535">
        <v>52</v>
      </c>
      <c r="F535">
        <v>2</v>
      </c>
      <c r="G535">
        <v>9.6999999999999993</v>
      </c>
      <c r="H535">
        <v>1.3</v>
      </c>
      <c r="I535">
        <v>3</v>
      </c>
      <c r="J535">
        <v>0.41799999999999998</v>
      </c>
      <c r="K535">
        <v>0.7</v>
      </c>
      <c r="L535">
        <v>1.8</v>
      </c>
      <c r="M535">
        <v>0.39400000000000002</v>
      </c>
      <c r="N535">
        <v>0.2</v>
      </c>
      <c r="O535">
        <v>0.3</v>
      </c>
      <c r="P535">
        <v>0.64300000000000002</v>
      </c>
      <c r="Q535">
        <v>0.1</v>
      </c>
      <c r="R535">
        <v>0.9</v>
      </c>
      <c r="S535">
        <v>1</v>
      </c>
      <c r="T535">
        <v>1.7</v>
      </c>
      <c r="U535">
        <v>0.5</v>
      </c>
      <c r="V535">
        <v>0.1</v>
      </c>
      <c r="W535">
        <v>0.5</v>
      </c>
      <c r="X535">
        <v>0.9</v>
      </c>
      <c r="Y535">
        <v>3.4</v>
      </c>
      <c r="AP535">
        <v>1.3</v>
      </c>
      <c r="AQ535">
        <v>3</v>
      </c>
      <c r="AR535">
        <v>0.7</v>
      </c>
      <c r="AS535">
        <v>1.8</v>
      </c>
      <c r="AT535">
        <v>0.2</v>
      </c>
      <c r="AU535">
        <v>0.3</v>
      </c>
      <c r="AV535">
        <v>1</v>
      </c>
      <c r="AW535">
        <v>1.7</v>
      </c>
      <c r="AX535">
        <v>3.4</v>
      </c>
    </row>
    <row r="536" spans="1:50" x14ac:dyDescent="0.2">
      <c r="A536" s="1" t="s">
        <v>498</v>
      </c>
      <c r="B536" s="1" t="s">
        <v>43</v>
      </c>
      <c r="C536">
        <v>34</v>
      </c>
      <c r="D536" s="1" t="s">
        <v>85</v>
      </c>
      <c r="E536">
        <v>62</v>
      </c>
      <c r="F536">
        <v>11</v>
      </c>
      <c r="G536">
        <v>14.2</v>
      </c>
      <c r="H536">
        <v>1</v>
      </c>
      <c r="I536">
        <v>1.6</v>
      </c>
      <c r="J536">
        <v>0.63900000000000001</v>
      </c>
      <c r="K536">
        <v>0</v>
      </c>
      <c r="L536">
        <v>0.1</v>
      </c>
      <c r="M536">
        <v>0.2</v>
      </c>
      <c r="N536">
        <v>1.3</v>
      </c>
      <c r="O536">
        <v>1.8</v>
      </c>
      <c r="P536">
        <v>0.69599999999999995</v>
      </c>
      <c r="Q536">
        <v>1.5</v>
      </c>
      <c r="R536">
        <v>2.4</v>
      </c>
      <c r="S536">
        <v>4</v>
      </c>
      <c r="T536">
        <v>1.1000000000000001</v>
      </c>
      <c r="U536">
        <v>0.5</v>
      </c>
      <c r="V536">
        <v>0.3</v>
      </c>
      <c r="W536">
        <v>0.7</v>
      </c>
      <c r="X536">
        <v>2.1</v>
      </c>
      <c r="Y536">
        <v>3.3</v>
      </c>
      <c r="AP536">
        <v>1</v>
      </c>
      <c r="AQ536">
        <v>1.6</v>
      </c>
      <c r="AR536">
        <v>0</v>
      </c>
      <c r="AS536">
        <v>0.1</v>
      </c>
      <c r="AT536">
        <v>1.3</v>
      </c>
      <c r="AU536">
        <v>1.8</v>
      </c>
      <c r="AV536">
        <v>4</v>
      </c>
      <c r="AW536">
        <v>1.1000000000000001</v>
      </c>
      <c r="AX536">
        <v>3.3</v>
      </c>
    </row>
    <row r="537" spans="1:50" x14ac:dyDescent="0.2">
      <c r="A537" s="1" t="s">
        <v>499</v>
      </c>
      <c r="B537" s="1" t="s">
        <v>23</v>
      </c>
      <c r="C537">
        <v>21</v>
      </c>
      <c r="D537" s="1" t="s">
        <v>85</v>
      </c>
      <c r="E537">
        <v>11</v>
      </c>
      <c r="F537">
        <v>0</v>
      </c>
      <c r="G537">
        <v>11.7</v>
      </c>
      <c r="H537">
        <v>1.3</v>
      </c>
      <c r="I537">
        <v>3.5</v>
      </c>
      <c r="J537">
        <v>0.36799999999999999</v>
      </c>
      <c r="K537">
        <v>0.5</v>
      </c>
      <c r="L537">
        <v>2.4</v>
      </c>
      <c r="M537">
        <v>0.23100000000000001</v>
      </c>
      <c r="N537">
        <v>0.2</v>
      </c>
      <c r="O537">
        <v>0.4</v>
      </c>
      <c r="P537">
        <v>0.5</v>
      </c>
      <c r="Q537">
        <v>1</v>
      </c>
      <c r="R537">
        <v>1.4</v>
      </c>
      <c r="S537">
        <v>2.4</v>
      </c>
      <c r="T537">
        <v>0.5</v>
      </c>
      <c r="U537">
        <v>0.4</v>
      </c>
      <c r="V537">
        <v>0</v>
      </c>
      <c r="W537">
        <v>0.3</v>
      </c>
      <c r="X537">
        <v>0.7</v>
      </c>
      <c r="Y537">
        <v>3.3</v>
      </c>
      <c r="AP537">
        <v>1.3</v>
      </c>
      <c r="AQ537">
        <v>3.5</v>
      </c>
      <c r="AR537">
        <v>0.5</v>
      </c>
      <c r="AS537">
        <v>2.4</v>
      </c>
      <c r="AT537">
        <v>0.2</v>
      </c>
      <c r="AU537">
        <v>0.4</v>
      </c>
      <c r="AV537">
        <v>2.4</v>
      </c>
      <c r="AW537">
        <v>0.5</v>
      </c>
      <c r="AX537">
        <v>3.3</v>
      </c>
    </row>
    <row r="538" spans="1:50" x14ac:dyDescent="0.2">
      <c r="A538" s="1" t="s">
        <v>500</v>
      </c>
      <c r="B538" s="1" t="s">
        <v>34</v>
      </c>
      <c r="C538">
        <v>24</v>
      </c>
      <c r="D538" s="1" t="s">
        <v>83</v>
      </c>
      <c r="E538">
        <v>60</v>
      </c>
      <c r="F538">
        <v>2</v>
      </c>
      <c r="G538">
        <v>8.5</v>
      </c>
      <c r="H538">
        <v>1.2</v>
      </c>
      <c r="I538">
        <v>2.4</v>
      </c>
      <c r="J538">
        <v>0.51</v>
      </c>
      <c r="K538">
        <v>0.6</v>
      </c>
      <c r="L538">
        <v>1.4</v>
      </c>
      <c r="M538">
        <v>0.41699999999999998</v>
      </c>
      <c r="N538">
        <v>0.2</v>
      </c>
      <c r="O538">
        <v>0.2</v>
      </c>
      <c r="P538">
        <v>0.64300000000000002</v>
      </c>
      <c r="Q538">
        <v>0.3</v>
      </c>
      <c r="R538">
        <v>1.2</v>
      </c>
      <c r="S538">
        <v>1.5</v>
      </c>
      <c r="T538">
        <v>0.4</v>
      </c>
      <c r="U538">
        <v>0.1</v>
      </c>
      <c r="V538">
        <v>0.1</v>
      </c>
      <c r="W538">
        <v>0.3</v>
      </c>
      <c r="X538">
        <v>0.7</v>
      </c>
      <c r="Y538">
        <v>3.2</v>
      </c>
      <c r="AP538">
        <v>1.2</v>
      </c>
      <c r="AQ538">
        <v>2.4</v>
      </c>
      <c r="AR538">
        <v>0.6</v>
      </c>
      <c r="AS538">
        <v>1.4</v>
      </c>
      <c r="AT538">
        <v>0.2</v>
      </c>
      <c r="AU538">
        <v>0.2</v>
      </c>
      <c r="AV538">
        <v>1.5</v>
      </c>
      <c r="AW538">
        <v>0.4</v>
      </c>
      <c r="AX538">
        <v>3.2</v>
      </c>
    </row>
    <row r="539" spans="1:50" x14ac:dyDescent="0.2">
      <c r="A539" s="1" t="s">
        <v>501</v>
      </c>
      <c r="B539" s="1" t="s">
        <v>23</v>
      </c>
      <c r="C539">
        <v>32</v>
      </c>
      <c r="D539" s="1" t="s">
        <v>57</v>
      </c>
      <c r="E539">
        <v>36</v>
      </c>
      <c r="F539">
        <v>1</v>
      </c>
      <c r="G539">
        <v>16.600000000000001</v>
      </c>
      <c r="H539">
        <v>1.1000000000000001</v>
      </c>
      <c r="I539">
        <v>3.4</v>
      </c>
      <c r="J539">
        <v>0.33100000000000002</v>
      </c>
      <c r="K539">
        <v>0.7</v>
      </c>
      <c r="L539">
        <v>2.6</v>
      </c>
      <c r="M539">
        <v>0.27400000000000002</v>
      </c>
      <c r="N539">
        <v>0.2</v>
      </c>
      <c r="O539">
        <v>0.2</v>
      </c>
      <c r="P539">
        <v>0.85699999999999998</v>
      </c>
      <c r="Q539">
        <v>0.9</v>
      </c>
      <c r="R539">
        <v>1.6</v>
      </c>
      <c r="S539">
        <v>2.5</v>
      </c>
      <c r="T539">
        <v>1</v>
      </c>
      <c r="U539">
        <v>0.4</v>
      </c>
      <c r="V539">
        <v>0.2</v>
      </c>
      <c r="W539">
        <v>0.6</v>
      </c>
      <c r="X539">
        <v>1.7</v>
      </c>
      <c r="Y539">
        <v>3.2</v>
      </c>
      <c r="AP539">
        <v>1.1000000000000001</v>
      </c>
      <c r="AQ539">
        <v>3.4</v>
      </c>
      <c r="AR539">
        <v>0.7</v>
      </c>
      <c r="AS539">
        <v>2.6</v>
      </c>
      <c r="AT539">
        <v>0.2</v>
      </c>
      <c r="AU539">
        <v>0.2</v>
      </c>
      <c r="AV539">
        <v>2.5</v>
      </c>
      <c r="AW539">
        <v>1</v>
      </c>
      <c r="AX539">
        <v>3.2</v>
      </c>
    </row>
    <row r="540" spans="1:50" x14ac:dyDescent="0.2">
      <c r="A540" s="1" t="s">
        <v>502</v>
      </c>
      <c r="B540" s="1" t="s">
        <v>43</v>
      </c>
      <c r="C540">
        <v>34</v>
      </c>
      <c r="D540" s="1" t="s">
        <v>60</v>
      </c>
      <c r="E540">
        <v>42</v>
      </c>
      <c r="F540">
        <v>0</v>
      </c>
      <c r="G540">
        <v>8.6</v>
      </c>
      <c r="H540">
        <v>1.1000000000000001</v>
      </c>
      <c r="I540">
        <v>2.2999999999999998</v>
      </c>
      <c r="J540">
        <v>0.49</v>
      </c>
      <c r="K540">
        <v>0.3</v>
      </c>
      <c r="L540">
        <v>1.1000000000000001</v>
      </c>
      <c r="M540">
        <v>0.255</v>
      </c>
      <c r="N540">
        <v>0.6</v>
      </c>
      <c r="O540">
        <v>0.9</v>
      </c>
      <c r="P540">
        <v>0.71099999999999997</v>
      </c>
      <c r="Q540">
        <v>0.6</v>
      </c>
      <c r="R540">
        <v>1.2</v>
      </c>
      <c r="S540">
        <v>1.8</v>
      </c>
      <c r="T540">
        <v>1.2</v>
      </c>
      <c r="U540">
        <v>0.4</v>
      </c>
      <c r="V540">
        <v>0.1</v>
      </c>
      <c r="W540">
        <v>0.6</v>
      </c>
      <c r="X540">
        <v>0.9</v>
      </c>
      <c r="Y540">
        <v>3.2</v>
      </c>
      <c r="AP540">
        <v>1.1000000000000001</v>
      </c>
      <c r="AQ540">
        <v>2.2999999999999998</v>
      </c>
      <c r="AR540">
        <v>0.3</v>
      </c>
      <c r="AS540">
        <v>1.1000000000000001</v>
      </c>
      <c r="AT540">
        <v>0.6</v>
      </c>
      <c r="AU540">
        <v>0.9</v>
      </c>
      <c r="AV540">
        <v>1.8</v>
      </c>
      <c r="AW540">
        <v>1.2</v>
      </c>
      <c r="AX540">
        <v>3.2</v>
      </c>
    </row>
    <row r="541" spans="1:50" x14ac:dyDescent="0.2">
      <c r="A541" s="1" t="s">
        <v>503</v>
      </c>
      <c r="B541" s="1" t="s">
        <v>26</v>
      </c>
      <c r="C541">
        <v>23</v>
      </c>
      <c r="D541" s="1" t="s">
        <v>85</v>
      </c>
      <c r="E541">
        <v>14</v>
      </c>
      <c r="F541">
        <v>0</v>
      </c>
      <c r="G541">
        <v>9.6</v>
      </c>
      <c r="H541">
        <v>1.1000000000000001</v>
      </c>
      <c r="I541">
        <v>3.1</v>
      </c>
      <c r="J541">
        <v>0.36399999999999999</v>
      </c>
      <c r="K541">
        <v>0.7</v>
      </c>
      <c r="L541">
        <v>2.4</v>
      </c>
      <c r="M541">
        <v>0.30299999999999999</v>
      </c>
      <c r="N541">
        <v>0.1</v>
      </c>
      <c r="O541">
        <v>0.1</v>
      </c>
      <c r="P541">
        <v>1</v>
      </c>
      <c r="Q541">
        <v>0.4</v>
      </c>
      <c r="R541">
        <v>1.4</v>
      </c>
      <c r="S541">
        <v>1.7</v>
      </c>
      <c r="T541">
        <v>0.9</v>
      </c>
      <c r="U541">
        <v>0.3</v>
      </c>
      <c r="V541">
        <v>0.1</v>
      </c>
      <c r="W541">
        <v>0.4</v>
      </c>
      <c r="X541">
        <v>0.9</v>
      </c>
      <c r="Y541">
        <v>3.1</v>
      </c>
      <c r="AP541">
        <v>1.1000000000000001</v>
      </c>
      <c r="AQ541">
        <v>3.1</v>
      </c>
      <c r="AR541">
        <v>0.7</v>
      </c>
      <c r="AS541">
        <v>2.4</v>
      </c>
      <c r="AT541">
        <v>0.1</v>
      </c>
      <c r="AU541">
        <v>0.1</v>
      </c>
      <c r="AV541">
        <v>1.7</v>
      </c>
      <c r="AW541">
        <v>0.9</v>
      </c>
      <c r="AX541">
        <v>3.1</v>
      </c>
    </row>
    <row r="542" spans="1:50" x14ac:dyDescent="0.2">
      <c r="A542" s="1" t="s">
        <v>504</v>
      </c>
      <c r="B542" s="1" t="s">
        <v>34</v>
      </c>
      <c r="C542">
        <v>26</v>
      </c>
      <c r="D542" s="1" t="s">
        <v>51</v>
      </c>
      <c r="E542">
        <v>24</v>
      </c>
      <c r="F542">
        <v>2</v>
      </c>
      <c r="G542">
        <v>10.8</v>
      </c>
      <c r="H542">
        <v>1.2</v>
      </c>
      <c r="I542">
        <v>2.8</v>
      </c>
      <c r="J542">
        <v>0.42599999999999999</v>
      </c>
      <c r="K542">
        <v>0.2</v>
      </c>
      <c r="L542">
        <v>0.7</v>
      </c>
      <c r="M542">
        <v>0.25</v>
      </c>
      <c r="N542">
        <v>0.5</v>
      </c>
      <c r="O542">
        <v>0.7</v>
      </c>
      <c r="P542">
        <v>0.76500000000000001</v>
      </c>
      <c r="Q542">
        <v>1.2</v>
      </c>
      <c r="R542">
        <v>0.9</v>
      </c>
      <c r="S542">
        <v>2.1</v>
      </c>
      <c r="T542">
        <v>0.9</v>
      </c>
      <c r="U542">
        <v>0.6</v>
      </c>
      <c r="V542">
        <v>0.4</v>
      </c>
      <c r="W542">
        <v>0.5</v>
      </c>
      <c r="X542">
        <v>1.2</v>
      </c>
      <c r="Y542">
        <v>3.1</v>
      </c>
      <c r="AP542">
        <v>1.2</v>
      </c>
      <c r="AQ542">
        <v>2.8</v>
      </c>
      <c r="AR542">
        <v>0.2</v>
      </c>
      <c r="AS542">
        <v>0.7</v>
      </c>
      <c r="AT542">
        <v>0.5</v>
      </c>
      <c r="AU542">
        <v>0.7</v>
      </c>
      <c r="AV542">
        <v>2.1</v>
      </c>
      <c r="AW542">
        <v>0.9</v>
      </c>
      <c r="AX542">
        <v>3.1</v>
      </c>
    </row>
    <row r="543" spans="1:50" x14ac:dyDescent="0.2">
      <c r="A543" s="1" t="s">
        <v>505</v>
      </c>
      <c r="B543" s="1" t="s">
        <v>31</v>
      </c>
      <c r="C543">
        <v>21</v>
      </c>
      <c r="D543" s="1" t="s">
        <v>70</v>
      </c>
      <c r="E543">
        <v>47</v>
      </c>
      <c r="F543">
        <v>0</v>
      </c>
      <c r="G543">
        <v>9.1</v>
      </c>
      <c r="H543">
        <v>1.1000000000000001</v>
      </c>
      <c r="I543">
        <v>3.5</v>
      </c>
      <c r="J543">
        <v>0.311</v>
      </c>
      <c r="K543">
        <v>0.3</v>
      </c>
      <c r="L543">
        <v>1.1000000000000001</v>
      </c>
      <c r="M543">
        <v>0.222</v>
      </c>
      <c r="N543">
        <v>0.6</v>
      </c>
      <c r="O543">
        <v>0.7</v>
      </c>
      <c r="P543">
        <v>0.83899999999999997</v>
      </c>
      <c r="Q543">
        <v>0.3</v>
      </c>
      <c r="R543">
        <v>0.9</v>
      </c>
      <c r="S543">
        <v>1.1000000000000001</v>
      </c>
      <c r="T543">
        <v>1</v>
      </c>
      <c r="U543">
        <v>0.2</v>
      </c>
      <c r="V543">
        <v>0.1</v>
      </c>
      <c r="W543">
        <v>0.5</v>
      </c>
      <c r="X543">
        <v>0.5</v>
      </c>
      <c r="Y543">
        <v>3</v>
      </c>
      <c r="AP543">
        <v>1.1000000000000001</v>
      </c>
      <c r="AQ543">
        <v>3.5</v>
      </c>
      <c r="AR543">
        <v>0.3</v>
      </c>
      <c r="AS543">
        <v>1.1000000000000001</v>
      </c>
      <c r="AT543">
        <v>0.6</v>
      </c>
      <c r="AU543">
        <v>0.7</v>
      </c>
      <c r="AV543">
        <v>1.1000000000000001</v>
      </c>
      <c r="AW543">
        <v>1</v>
      </c>
      <c r="AX543">
        <v>3</v>
      </c>
    </row>
    <row r="544" spans="1:50" x14ac:dyDescent="0.2">
      <c r="A544" s="1" t="s">
        <v>505</v>
      </c>
      <c r="B544" s="1" t="s">
        <v>31</v>
      </c>
      <c r="C544">
        <v>21</v>
      </c>
      <c r="D544" s="1" t="s">
        <v>113</v>
      </c>
      <c r="E544">
        <v>25</v>
      </c>
      <c r="F544">
        <v>0</v>
      </c>
      <c r="G544">
        <v>8.6</v>
      </c>
      <c r="H544">
        <v>1.1000000000000001</v>
      </c>
      <c r="I544">
        <v>3.3</v>
      </c>
      <c r="J544">
        <v>0.32500000000000001</v>
      </c>
      <c r="K544">
        <v>0.3</v>
      </c>
      <c r="L544">
        <v>1</v>
      </c>
      <c r="M544">
        <v>0.28000000000000003</v>
      </c>
      <c r="N544">
        <v>0.4</v>
      </c>
      <c r="O544">
        <v>0.5</v>
      </c>
      <c r="P544">
        <v>0.75</v>
      </c>
      <c r="Q544">
        <v>0.3</v>
      </c>
      <c r="R544">
        <v>0.9</v>
      </c>
      <c r="S544">
        <v>1.2</v>
      </c>
      <c r="T544">
        <v>0.9</v>
      </c>
      <c r="U544">
        <v>0.3</v>
      </c>
      <c r="V544">
        <v>0</v>
      </c>
      <c r="W544">
        <v>0.7</v>
      </c>
      <c r="X544">
        <v>0.6</v>
      </c>
      <c r="Y544">
        <v>2.8</v>
      </c>
      <c r="AP544">
        <v>1.1000000000000001</v>
      </c>
      <c r="AQ544">
        <v>3.3</v>
      </c>
      <c r="AR544">
        <v>0.3</v>
      </c>
      <c r="AS544">
        <v>1</v>
      </c>
      <c r="AT544">
        <v>0.4</v>
      </c>
      <c r="AU544">
        <v>0.5</v>
      </c>
      <c r="AV544">
        <v>1.2</v>
      </c>
      <c r="AW544">
        <v>0.9</v>
      </c>
      <c r="AX544">
        <v>2.8</v>
      </c>
    </row>
    <row r="545" spans="1:50" x14ac:dyDescent="0.2">
      <c r="A545" s="1" t="s">
        <v>505</v>
      </c>
      <c r="B545" s="1" t="s">
        <v>31</v>
      </c>
      <c r="C545">
        <v>21</v>
      </c>
      <c r="D545" s="1" t="s">
        <v>85</v>
      </c>
      <c r="E545">
        <v>22</v>
      </c>
      <c r="F545">
        <v>0</v>
      </c>
      <c r="G545">
        <v>9.6999999999999993</v>
      </c>
      <c r="H545">
        <v>1.1000000000000001</v>
      </c>
      <c r="I545">
        <v>3.7</v>
      </c>
      <c r="J545">
        <v>0.29599999999999999</v>
      </c>
      <c r="K545">
        <v>0.2</v>
      </c>
      <c r="L545">
        <v>1.3</v>
      </c>
      <c r="M545">
        <v>0.17199999999999999</v>
      </c>
      <c r="N545">
        <v>0.8</v>
      </c>
      <c r="O545">
        <v>0.9</v>
      </c>
      <c r="P545">
        <v>0.89500000000000002</v>
      </c>
      <c r="Q545">
        <v>0.3</v>
      </c>
      <c r="R545">
        <v>0.8</v>
      </c>
      <c r="S545">
        <v>1</v>
      </c>
      <c r="T545">
        <v>1.1000000000000001</v>
      </c>
      <c r="U545">
        <v>0.2</v>
      </c>
      <c r="V545">
        <v>0.1</v>
      </c>
      <c r="W545">
        <v>0.3</v>
      </c>
      <c r="X545">
        <v>0.5</v>
      </c>
      <c r="Y545">
        <v>3.2</v>
      </c>
      <c r="AP545">
        <v>1.1000000000000001</v>
      </c>
      <c r="AQ545">
        <v>3.7</v>
      </c>
      <c r="AR545">
        <v>0.2</v>
      </c>
      <c r="AS545">
        <v>1.3</v>
      </c>
      <c r="AT545">
        <v>0.8</v>
      </c>
      <c r="AU545">
        <v>0.9</v>
      </c>
      <c r="AV545">
        <v>1</v>
      </c>
      <c r="AW545">
        <v>1.1000000000000001</v>
      </c>
      <c r="AX545">
        <v>3.2</v>
      </c>
    </row>
    <row r="546" spans="1:50" x14ac:dyDescent="0.2">
      <c r="A546" s="1" t="s">
        <v>506</v>
      </c>
      <c r="B546" s="1" t="s">
        <v>31</v>
      </c>
      <c r="C546">
        <v>28</v>
      </c>
      <c r="D546" s="1" t="s">
        <v>70</v>
      </c>
      <c r="E546">
        <v>45</v>
      </c>
      <c r="F546">
        <v>2</v>
      </c>
      <c r="G546">
        <v>10.3</v>
      </c>
      <c r="H546">
        <v>1.1000000000000001</v>
      </c>
      <c r="I546">
        <v>2.2000000000000002</v>
      </c>
      <c r="J546">
        <v>0.48499999999999999</v>
      </c>
      <c r="K546">
        <v>0.3</v>
      </c>
      <c r="L546">
        <v>1</v>
      </c>
      <c r="M546">
        <v>0.32600000000000001</v>
      </c>
      <c r="N546">
        <v>0.5</v>
      </c>
      <c r="O546">
        <v>0.6</v>
      </c>
      <c r="P546">
        <v>0.78600000000000003</v>
      </c>
      <c r="Q546">
        <v>0.4</v>
      </c>
      <c r="R546">
        <v>0.8</v>
      </c>
      <c r="S546">
        <v>1.2</v>
      </c>
      <c r="T546">
        <v>0.5</v>
      </c>
      <c r="U546">
        <v>0.2</v>
      </c>
      <c r="V546">
        <v>0.1</v>
      </c>
      <c r="W546">
        <v>0.2</v>
      </c>
      <c r="X546">
        <v>0.7</v>
      </c>
      <c r="Y546">
        <v>2.9</v>
      </c>
      <c r="AP546">
        <v>1.1000000000000001</v>
      </c>
      <c r="AQ546">
        <v>2.2000000000000002</v>
      </c>
      <c r="AR546">
        <v>0.3</v>
      </c>
      <c r="AS546">
        <v>1</v>
      </c>
      <c r="AT546">
        <v>0.5</v>
      </c>
      <c r="AU546">
        <v>0.6</v>
      </c>
      <c r="AV546">
        <v>1.2</v>
      </c>
      <c r="AW546">
        <v>0.5</v>
      </c>
      <c r="AX546">
        <v>2.9</v>
      </c>
    </row>
    <row r="547" spans="1:50" x14ac:dyDescent="0.2">
      <c r="A547" s="1" t="s">
        <v>506</v>
      </c>
      <c r="B547" s="1" t="s">
        <v>31</v>
      </c>
      <c r="C547">
        <v>28</v>
      </c>
      <c r="D547" s="1" t="s">
        <v>46</v>
      </c>
      <c r="E547">
        <v>30</v>
      </c>
      <c r="F547">
        <v>2</v>
      </c>
      <c r="G547">
        <v>8.8000000000000007</v>
      </c>
      <c r="H547">
        <v>0.9</v>
      </c>
      <c r="I547">
        <v>1.8</v>
      </c>
      <c r="J547">
        <v>0.47299999999999998</v>
      </c>
      <c r="K547">
        <v>0.2</v>
      </c>
      <c r="L547">
        <v>0.8</v>
      </c>
      <c r="M547">
        <v>0.28000000000000003</v>
      </c>
      <c r="N547">
        <v>0.4</v>
      </c>
      <c r="O547">
        <v>0.5</v>
      </c>
      <c r="P547">
        <v>0.86699999999999999</v>
      </c>
      <c r="Q547">
        <v>0.2</v>
      </c>
      <c r="R547">
        <v>0.7</v>
      </c>
      <c r="S547">
        <v>0.9</v>
      </c>
      <c r="T547">
        <v>0.4</v>
      </c>
      <c r="U547">
        <v>0.1</v>
      </c>
      <c r="V547">
        <v>0.1</v>
      </c>
      <c r="W547">
        <v>0.1</v>
      </c>
      <c r="X547">
        <v>0.5</v>
      </c>
      <c r="Y547">
        <v>2.4</v>
      </c>
      <c r="AP547">
        <v>0.9</v>
      </c>
      <c r="AQ547">
        <v>1.8</v>
      </c>
      <c r="AR547">
        <v>0.2</v>
      </c>
      <c r="AS547">
        <v>0.8</v>
      </c>
      <c r="AT547">
        <v>0.4</v>
      </c>
      <c r="AU547">
        <v>0.5</v>
      </c>
      <c r="AV547">
        <v>0.9</v>
      </c>
      <c r="AW547">
        <v>0.4</v>
      </c>
      <c r="AX547">
        <v>2.4</v>
      </c>
    </row>
    <row r="548" spans="1:50" x14ac:dyDescent="0.2">
      <c r="A548" s="1" t="s">
        <v>506</v>
      </c>
      <c r="B548" s="1" t="s">
        <v>31</v>
      </c>
      <c r="C548">
        <v>28</v>
      </c>
      <c r="D548" s="1" t="s">
        <v>53</v>
      </c>
      <c r="E548">
        <v>15</v>
      </c>
      <c r="F548">
        <v>0</v>
      </c>
      <c r="G548">
        <v>13.3</v>
      </c>
      <c r="H548">
        <v>1.5</v>
      </c>
      <c r="I548">
        <v>2.9</v>
      </c>
      <c r="J548">
        <v>0.5</v>
      </c>
      <c r="K548">
        <v>0.5</v>
      </c>
      <c r="L548">
        <v>1.2</v>
      </c>
      <c r="M548">
        <v>0.38900000000000001</v>
      </c>
      <c r="N548">
        <v>0.6</v>
      </c>
      <c r="O548">
        <v>0.9</v>
      </c>
      <c r="P548">
        <v>0.69199999999999995</v>
      </c>
      <c r="Q548">
        <v>0.8</v>
      </c>
      <c r="R548">
        <v>1.1000000000000001</v>
      </c>
      <c r="S548">
        <v>1.9</v>
      </c>
      <c r="T548">
        <v>0.9</v>
      </c>
      <c r="U548">
        <v>0.4</v>
      </c>
      <c r="V548">
        <v>0.1</v>
      </c>
      <c r="W548">
        <v>0.3</v>
      </c>
      <c r="X548">
        <v>1.1000000000000001</v>
      </c>
      <c r="Y548">
        <v>4</v>
      </c>
      <c r="AP548">
        <v>1.5</v>
      </c>
      <c r="AQ548">
        <v>2.9</v>
      </c>
      <c r="AR548">
        <v>0.5</v>
      </c>
      <c r="AS548">
        <v>1.2</v>
      </c>
      <c r="AT548">
        <v>0.6</v>
      </c>
      <c r="AU548">
        <v>0.9</v>
      </c>
      <c r="AV548">
        <v>1.9</v>
      </c>
      <c r="AW548">
        <v>0.9</v>
      </c>
      <c r="AX548">
        <v>4</v>
      </c>
    </row>
    <row r="549" spans="1:50" x14ac:dyDescent="0.2">
      <c r="A549" s="1" t="s">
        <v>507</v>
      </c>
      <c r="B549" s="1" t="s">
        <v>26</v>
      </c>
      <c r="C549">
        <v>29</v>
      </c>
      <c r="D549" s="1" t="s">
        <v>391</v>
      </c>
      <c r="E549">
        <v>66</v>
      </c>
      <c r="F549">
        <v>11</v>
      </c>
      <c r="G549">
        <v>14.5</v>
      </c>
      <c r="H549">
        <v>1.1000000000000001</v>
      </c>
      <c r="I549">
        <v>3.2</v>
      </c>
      <c r="J549">
        <v>0.35099999999999998</v>
      </c>
      <c r="K549">
        <v>0.6</v>
      </c>
      <c r="L549">
        <v>2</v>
      </c>
      <c r="M549">
        <v>0.29299999999999998</v>
      </c>
      <c r="N549">
        <v>0.1</v>
      </c>
      <c r="O549">
        <v>0.1</v>
      </c>
      <c r="P549">
        <v>0.77800000000000002</v>
      </c>
      <c r="Q549">
        <v>0.2</v>
      </c>
      <c r="R549">
        <v>0.9</v>
      </c>
      <c r="S549">
        <v>1.1000000000000001</v>
      </c>
      <c r="T549">
        <v>2.2999999999999998</v>
      </c>
      <c r="U549">
        <v>0.6</v>
      </c>
      <c r="V549">
        <v>0</v>
      </c>
      <c r="W549">
        <v>0.4</v>
      </c>
      <c r="X549">
        <v>0.5</v>
      </c>
      <c r="Y549">
        <v>2.9</v>
      </c>
      <c r="AP549">
        <v>1.1000000000000001</v>
      </c>
      <c r="AQ549">
        <v>3.2</v>
      </c>
      <c r="AR549">
        <v>0.6</v>
      </c>
      <c r="AS549">
        <v>2</v>
      </c>
      <c r="AT549">
        <v>0.1</v>
      </c>
      <c r="AU549">
        <v>0.1</v>
      </c>
      <c r="AV549">
        <v>1.1000000000000001</v>
      </c>
      <c r="AW549">
        <v>2.2999999999999998</v>
      </c>
      <c r="AX549">
        <v>2.9</v>
      </c>
    </row>
    <row r="550" spans="1:50" x14ac:dyDescent="0.2">
      <c r="A550" s="1" t="s">
        <v>507</v>
      </c>
      <c r="B550" s="1" t="s">
        <v>26</v>
      </c>
      <c r="C550">
        <v>29</v>
      </c>
      <c r="D550" s="1" t="s">
        <v>76</v>
      </c>
      <c r="E550">
        <v>48</v>
      </c>
      <c r="F550">
        <v>8</v>
      </c>
      <c r="G550">
        <v>15.7</v>
      </c>
      <c r="H550">
        <v>1.1000000000000001</v>
      </c>
      <c r="I550">
        <v>3.3</v>
      </c>
      <c r="J550">
        <v>0.34200000000000003</v>
      </c>
      <c r="K550">
        <v>0.6</v>
      </c>
      <c r="L550">
        <v>2.1</v>
      </c>
      <c r="M550">
        <v>0.29399999999999998</v>
      </c>
      <c r="N550">
        <v>0.1</v>
      </c>
      <c r="O550">
        <v>0.1</v>
      </c>
      <c r="P550">
        <v>1</v>
      </c>
      <c r="Q550">
        <v>0.2</v>
      </c>
      <c r="R550">
        <v>0.9</v>
      </c>
      <c r="S550">
        <v>1.1000000000000001</v>
      </c>
      <c r="T550">
        <v>2.4</v>
      </c>
      <c r="U550">
        <v>0.7</v>
      </c>
      <c r="V550">
        <v>0.1</v>
      </c>
      <c r="W550">
        <v>0.3</v>
      </c>
      <c r="X550">
        <v>0.5</v>
      </c>
      <c r="Y550">
        <v>3</v>
      </c>
      <c r="AP550">
        <v>1.1000000000000001</v>
      </c>
      <c r="AQ550">
        <v>3.3</v>
      </c>
      <c r="AR550">
        <v>0.6</v>
      </c>
      <c r="AS550">
        <v>2.1</v>
      </c>
      <c r="AT550">
        <v>0.1</v>
      </c>
      <c r="AU550">
        <v>0.1</v>
      </c>
      <c r="AV550">
        <v>1.1000000000000001</v>
      </c>
      <c r="AW550">
        <v>2.4</v>
      </c>
      <c r="AX550">
        <v>3</v>
      </c>
    </row>
    <row r="551" spans="1:50" x14ac:dyDescent="0.2">
      <c r="A551" s="1" t="s">
        <v>507</v>
      </c>
      <c r="B551" s="1" t="s">
        <v>26</v>
      </c>
      <c r="C551">
        <v>29</v>
      </c>
      <c r="D551" s="1" t="s">
        <v>44</v>
      </c>
      <c r="E551">
        <v>10</v>
      </c>
      <c r="F551">
        <v>1</v>
      </c>
      <c r="G551">
        <v>7.1</v>
      </c>
      <c r="H551">
        <v>0.7</v>
      </c>
      <c r="I551">
        <v>1.9</v>
      </c>
      <c r="J551">
        <v>0.36799999999999999</v>
      </c>
      <c r="K551">
        <v>0.5</v>
      </c>
      <c r="L551">
        <v>1.2</v>
      </c>
      <c r="M551">
        <v>0.41699999999999998</v>
      </c>
      <c r="N551">
        <v>0</v>
      </c>
      <c r="O551">
        <v>0.1</v>
      </c>
      <c r="P551">
        <v>0</v>
      </c>
      <c r="Q551">
        <v>0</v>
      </c>
      <c r="R551">
        <v>0.9</v>
      </c>
      <c r="S551">
        <v>0.9</v>
      </c>
      <c r="T551">
        <v>0.9</v>
      </c>
      <c r="U551">
        <v>0.1</v>
      </c>
      <c r="V551">
        <v>0</v>
      </c>
      <c r="W551">
        <v>0.5</v>
      </c>
      <c r="X551">
        <v>0.1</v>
      </c>
      <c r="Y551">
        <v>1.9</v>
      </c>
      <c r="AP551">
        <v>0.7</v>
      </c>
      <c r="AQ551">
        <v>1.9</v>
      </c>
      <c r="AR551">
        <v>0.5</v>
      </c>
      <c r="AS551">
        <v>1.2</v>
      </c>
      <c r="AT551">
        <v>0</v>
      </c>
      <c r="AU551">
        <v>0.1</v>
      </c>
      <c r="AV551">
        <v>0.9</v>
      </c>
      <c r="AW551">
        <v>0.9</v>
      </c>
      <c r="AX551">
        <v>1.9</v>
      </c>
    </row>
    <row r="552" spans="1:50" x14ac:dyDescent="0.2">
      <c r="A552" s="1" t="s">
        <v>508</v>
      </c>
      <c r="B552" s="1" t="s">
        <v>31</v>
      </c>
      <c r="C552">
        <v>22</v>
      </c>
      <c r="D552" s="1" t="s">
        <v>27</v>
      </c>
      <c r="E552">
        <v>16</v>
      </c>
      <c r="F552">
        <v>1</v>
      </c>
      <c r="G552">
        <v>7.4</v>
      </c>
      <c r="H552">
        <v>0.9</v>
      </c>
      <c r="I552">
        <v>3.1</v>
      </c>
      <c r="J552">
        <v>0.3</v>
      </c>
      <c r="K552">
        <v>0.3</v>
      </c>
      <c r="L552">
        <v>1.6</v>
      </c>
      <c r="M552">
        <v>0.192</v>
      </c>
      <c r="N552">
        <v>0.7</v>
      </c>
      <c r="O552">
        <v>0.8</v>
      </c>
      <c r="P552">
        <v>0.91700000000000004</v>
      </c>
      <c r="Q552">
        <v>0.1</v>
      </c>
      <c r="R552">
        <v>0.8</v>
      </c>
      <c r="S552">
        <v>0.8</v>
      </c>
      <c r="T552">
        <v>0.6</v>
      </c>
      <c r="U552">
        <v>0.1</v>
      </c>
      <c r="V552">
        <v>0.2</v>
      </c>
      <c r="W552">
        <v>0.3</v>
      </c>
      <c r="X552">
        <v>0.6</v>
      </c>
      <c r="Y552">
        <v>2.9</v>
      </c>
      <c r="AP552">
        <v>0.9</v>
      </c>
      <c r="AQ552">
        <v>3.1</v>
      </c>
      <c r="AR552">
        <v>0.3</v>
      </c>
      <c r="AS552">
        <v>1.6</v>
      </c>
      <c r="AT552">
        <v>0.7</v>
      </c>
      <c r="AU552">
        <v>0.8</v>
      </c>
      <c r="AV552">
        <v>0.8</v>
      </c>
      <c r="AW552">
        <v>0.6</v>
      </c>
      <c r="AX552">
        <v>2.9</v>
      </c>
    </row>
    <row r="553" spans="1:50" x14ac:dyDescent="0.2">
      <c r="A553" s="1" t="s">
        <v>509</v>
      </c>
      <c r="B553" s="1" t="s">
        <v>34</v>
      </c>
      <c r="C553">
        <v>24</v>
      </c>
      <c r="D553" s="1" t="s">
        <v>60</v>
      </c>
      <c r="E553">
        <v>11</v>
      </c>
      <c r="F553">
        <v>0</v>
      </c>
      <c r="G553">
        <v>6.2</v>
      </c>
      <c r="H553">
        <v>1.2</v>
      </c>
      <c r="I553">
        <v>2.2999999999999998</v>
      </c>
      <c r="J553">
        <v>0.52</v>
      </c>
      <c r="K553">
        <v>0.3</v>
      </c>
      <c r="L553">
        <v>0.5</v>
      </c>
      <c r="M553">
        <v>0.6</v>
      </c>
      <c r="N553">
        <v>0.3</v>
      </c>
      <c r="O553">
        <v>0.5</v>
      </c>
      <c r="P553">
        <v>0.5</v>
      </c>
      <c r="Q553">
        <v>0.4</v>
      </c>
      <c r="R553">
        <v>0.8</v>
      </c>
      <c r="S553">
        <v>1.2</v>
      </c>
      <c r="T553">
        <v>1.6</v>
      </c>
      <c r="U553">
        <v>0.5</v>
      </c>
      <c r="V553">
        <v>0.1</v>
      </c>
      <c r="W553">
        <v>0.5</v>
      </c>
      <c r="X553">
        <v>0.5</v>
      </c>
      <c r="Y553">
        <v>2.9</v>
      </c>
      <c r="AP553">
        <v>1.2</v>
      </c>
      <c r="AQ553">
        <v>2.2999999999999998</v>
      </c>
      <c r="AR553">
        <v>0.3</v>
      </c>
      <c r="AS553">
        <v>0.5</v>
      </c>
      <c r="AT553">
        <v>0.3</v>
      </c>
      <c r="AU553">
        <v>0.5</v>
      </c>
      <c r="AV553">
        <v>1.2</v>
      </c>
      <c r="AW553">
        <v>1.6</v>
      </c>
      <c r="AX553">
        <v>2.9</v>
      </c>
    </row>
    <row r="554" spans="1:50" x14ac:dyDescent="0.2">
      <c r="A554" s="1" t="s">
        <v>510</v>
      </c>
      <c r="B554" s="1" t="s">
        <v>26</v>
      </c>
      <c r="C554">
        <v>40</v>
      </c>
      <c r="D554" s="1" t="s">
        <v>39</v>
      </c>
      <c r="E554">
        <v>16</v>
      </c>
      <c r="F554">
        <v>0</v>
      </c>
      <c r="G554">
        <v>14.3</v>
      </c>
      <c r="H554">
        <v>1.1000000000000001</v>
      </c>
      <c r="I554">
        <v>3.5</v>
      </c>
      <c r="J554">
        <v>0.32100000000000001</v>
      </c>
      <c r="K554">
        <v>0.6</v>
      </c>
      <c r="L554">
        <v>1.9</v>
      </c>
      <c r="M554">
        <v>0.33300000000000002</v>
      </c>
      <c r="N554">
        <v>0.1</v>
      </c>
      <c r="O554">
        <v>0.1</v>
      </c>
      <c r="P554">
        <v>0.5</v>
      </c>
      <c r="Q554">
        <v>0.4</v>
      </c>
      <c r="R554">
        <v>1.4</v>
      </c>
      <c r="S554">
        <v>1.8</v>
      </c>
      <c r="T554">
        <v>3.3</v>
      </c>
      <c r="U554">
        <v>0.7</v>
      </c>
      <c r="V554">
        <v>0</v>
      </c>
      <c r="W554">
        <v>1</v>
      </c>
      <c r="X554">
        <v>1.4</v>
      </c>
      <c r="Y554">
        <v>2.9</v>
      </c>
      <c r="AP554">
        <v>1.1000000000000001</v>
      </c>
      <c r="AQ554">
        <v>3.5</v>
      </c>
      <c r="AR554">
        <v>0.6</v>
      </c>
      <c r="AS554">
        <v>1.9</v>
      </c>
      <c r="AT554">
        <v>0.1</v>
      </c>
      <c r="AU554">
        <v>0.1</v>
      </c>
      <c r="AV554">
        <v>1.8</v>
      </c>
      <c r="AW554">
        <v>3.3</v>
      </c>
      <c r="AX554">
        <v>2.9</v>
      </c>
    </row>
    <row r="555" spans="1:50" x14ac:dyDescent="0.2">
      <c r="A555" s="1" t="s">
        <v>511</v>
      </c>
      <c r="B555" s="1" t="s">
        <v>43</v>
      </c>
      <c r="C555">
        <v>29</v>
      </c>
      <c r="D555" s="1" t="s">
        <v>62</v>
      </c>
      <c r="E555">
        <v>32</v>
      </c>
      <c r="F555">
        <v>0</v>
      </c>
      <c r="G555">
        <v>8.1</v>
      </c>
      <c r="H555">
        <v>1</v>
      </c>
      <c r="I555">
        <v>2.2999999999999998</v>
      </c>
      <c r="J555">
        <v>0.44600000000000001</v>
      </c>
      <c r="K555">
        <v>0.7</v>
      </c>
      <c r="L555">
        <v>1.7</v>
      </c>
      <c r="M555">
        <v>0.41799999999999998</v>
      </c>
      <c r="N555">
        <v>0.2</v>
      </c>
      <c r="O555">
        <v>0.2</v>
      </c>
      <c r="P555">
        <v>0.83299999999999996</v>
      </c>
      <c r="Q555">
        <v>0.3</v>
      </c>
      <c r="R555">
        <v>0.9</v>
      </c>
      <c r="S555">
        <v>1.2</v>
      </c>
      <c r="T555">
        <v>0.3</v>
      </c>
      <c r="U555">
        <v>0.2</v>
      </c>
      <c r="V555">
        <v>0.3</v>
      </c>
      <c r="W555">
        <v>0.2</v>
      </c>
      <c r="X555">
        <v>0.9</v>
      </c>
      <c r="Y555">
        <v>2.9</v>
      </c>
      <c r="AP555">
        <v>1</v>
      </c>
      <c r="AQ555">
        <v>2.2999999999999998</v>
      </c>
      <c r="AR555">
        <v>0.7</v>
      </c>
      <c r="AS555">
        <v>1.7</v>
      </c>
      <c r="AT555">
        <v>0.2</v>
      </c>
      <c r="AU555">
        <v>0.2</v>
      </c>
      <c r="AV555">
        <v>1.2</v>
      </c>
      <c r="AW555">
        <v>0.3</v>
      </c>
      <c r="AX555">
        <v>2.9</v>
      </c>
    </row>
    <row r="556" spans="1:50" x14ac:dyDescent="0.2">
      <c r="A556" s="1" t="s">
        <v>512</v>
      </c>
      <c r="B556" s="1" t="s">
        <v>31</v>
      </c>
      <c r="C556">
        <v>20</v>
      </c>
      <c r="D556" s="1" t="s">
        <v>39</v>
      </c>
      <c r="E556">
        <v>55</v>
      </c>
      <c r="F556">
        <v>0</v>
      </c>
      <c r="G556">
        <v>8.6999999999999993</v>
      </c>
      <c r="H556">
        <v>1</v>
      </c>
      <c r="I556">
        <v>2.5</v>
      </c>
      <c r="J556">
        <v>0.38100000000000001</v>
      </c>
      <c r="K556">
        <v>0.2</v>
      </c>
      <c r="L556">
        <v>0.9</v>
      </c>
      <c r="M556">
        <v>0.245</v>
      </c>
      <c r="N556">
        <v>0.7</v>
      </c>
      <c r="O556">
        <v>0.9</v>
      </c>
      <c r="P556">
        <v>0.76</v>
      </c>
      <c r="Q556">
        <v>0.3</v>
      </c>
      <c r="R556">
        <v>1.1000000000000001</v>
      </c>
      <c r="S556">
        <v>1.4</v>
      </c>
      <c r="T556">
        <v>0.6</v>
      </c>
      <c r="U556">
        <v>0.3</v>
      </c>
      <c r="V556">
        <v>0.1</v>
      </c>
      <c r="W556">
        <v>0.4</v>
      </c>
      <c r="X556">
        <v>0.3</v>
      </c>
      <c r="Y556">
        <v>2.8</v>
      </c>
      <c r="AP556">
        <v>1</v>
      </c>
      <c r="AQ556">
        <v>2.5</v>
      </c>
      <c r="AR556">
        <v>0.2</v>
      </c>
      <c r="AS556">
        <v>0.9</v>
      </c>
      <c r="AT556">
        <v>0.7</v>
      </c>
      <c r="AU556">
        <v>0.9</v>
      </c>
      <c r="AV556">
        <v>1.4</v>
      </c>
      <c r="AW556">
        <v>0.6</v>
      </c>
      <c r="AX556">
        <v>2.8</v>
      </c>
    </row>
    <row r="557" spans="1:50" x14ac:dyDescent="0.2">
      <c r="A557" s="1" t="s">
        <v>513</v>
      </c>
      <c r="B557" s="1" t="s">
        <v>26</v>
      </c>
      <c r="C557">
        <v>24</v>
      </c>
      <c r="D557" s="1" t="s">
        <v>128</v>
      </c>
      <c r="E557">
        <v>17</v>
      </c>
      <c r="F557">
        <v>0</v>
      </c>
      <c r="G557">
        <v>11.4</v>
      </c>
      <c r="H557">
        <v>0.7</v>
      </c>
      <c r="I557">
        <v>2.4</v>
      </c>
      <c r="J557">
        <v>0.3</v>
      </c>
      <c r="K557">
        <v>0.5</v>
      </c>
      <c r="L557">
        <v>1.6</v>
      </c>
      <c r="M557">
        <v>0.28599999999999998</v>
      </c>
      <c r="N557">
        <v>0.9</v>
      </c>
      <c r="O557">
        <v>1.1000000000000001</v>
      </c>
      <c r="P557">
        <v>0.88900000000000001</v>
      </c>
      <c r="Q557">
        <v>0.4</v>
      </c>
      <c r="R557">
        <v>1.4</v>
      </c>
      <c r="S557">
        <v>1.8</v>
      </c>
      <c r="T557">
        <v>2.7</v>
      </c>
      <c r="U557">
        <v>0.5</v>
      </c>
      <c r="V557">
        <v>0</v>
      </c>
      <c r="W557">
        <v>0.8</v>
      </c>
      <c r="X557">
        <v>0.8</v>
      </c>
      <c r="Y557">
        <v>2.8</v>
      </c>
      <c r="AP557">
        <v>0.7</v>
      </c>
      <c r="AQ557">
        <v>2.4</v>
      </c>
      <c r="AR557">
        <v>0.5</v>
      </c>
      <c r="AS557">
        <v>1.6</v>
      </c>
      <c r="AT557">
        <v>0.9</v>
      </c>
      <c r="AU557">
        <v>1.1000000000000001</v>
      </c>
      <c r="AV557">
        <v>1.8</v>
      </c>
      <c r="AW557">
        <v>2.7</v>
      </c>
      <c r="AX557">
        <v>2.8</v>
      </c>
    </row>
    <row r="558" spans="1:50" x14ac:dyDescent="0.2">
      <c r="A558" s="1" t="s">
        <v>514</v>
      </c>
      <c r="B558" s="1" t="s">
        <v>43</v>
      </c>
      <c r="C558">
        <v>29</v>
      </c>
      <c r="D558" s="1" t="s">
        <v>81</v>
      </c>
      <c r="E558">
        <v>21</v>
      </c>
      <c r="F558">
        <v>8</v>
      </c>
      <c r="G558">
        <v>14.7</v>
      </c>
      <c r="H558">
        <v>1.2</v>
      </c>
      <c r="I558">
        <v>2.9</v>
      </c>
      <c r="J558">
        <v>0.41699999999999998</v>
      </c>
      <c r="K558">
        <v>0.1</v>
      </c>
      <c r="L558">
        <v>0.6</v>
      </c>
      <c r="M558">
        <v>0.154</v>
      </c>
      <c r="N558">
        <v>0.3</v>
      </c>
      <c r="O558">
        <v>0.5</v>
      </c>
      <c r="P558">
        <v>0.7</v>
      </c>
      <c r="Q558">
        <v>2.2999999999999998</v>
      </c>
      <c r="R558">
        <v>3.3</v>
      </c>
      <c r="S558">
        <v>5.6</v>
      </c>
      <c r="T558">
        <v>1.6</v>
      </c>
      <c r="U558">
        <v>0.4</v>
      </c>
      <c r="V558">
        <v>0.5</v>
      </c>
      <c r="W558">
        <v>0.4</v>
      </c>
      <c r="X558">
        <v>1.6</v>
      </c>
      <c r="Y558">
        <v>2.8</v>
      </c>
      <c r="AP558">
        <v>1.2</v>
      </c>
      <c r="AQ558">
        <v>2.9</v>
      </c>
      <c r="AR558">
        <v>0.1</v>
      </c>
      <c r="AS558">
        <v>0.6</v>
      </c>
      <c r="AT558">
        <v>0.3</v>
      </c>
      <c r="AU558">
        <v>0.5</v>
      </c>
      <c r="AV558">
        <v>5.6</v>
      </c>
      <c r="AW558">
        <v>1.6</v>
      </c>
      <c r="AX558">
        <v>2.8</v>
      </c>
    </row>
    <row r="559" spans="1:50" x14ac:dyDescent="0.2">
      <c r="A559" s="1" t="s">
        <v>515</v>
      </c>
      <c r="B559" s="1" t="s">
        <v>43</v>
      </c>
      <c r="C559">
        <v>25</v>
      </c>
      <c r="D559" s="1" t="s">
        <v>391</v>
      </c>
      <c r="E559">
        <v>26</v>
      </c>
      <c r="F559">
        <v>4</v>
      </c>
      <c r="G559">
        <v>12.9</v>
      </c>
      <c r="H559">
        <v>1.2</v>
      </c>
      <c r="I559">
        <v>2.7</v>
      </c>
      <c r="J559">
        <v>0.435</v>
      </c>
      <c r="K559">
        <v>0</v>
      </c>
      <c r="L559">
        <v>0.3</v>
      </c>
      <c r="M559">
        <v>0.14299999999999999</v>
      </c>
      <c r="N559">
        <v>0.3</v>
      </c>
      <c r="O559">
        <v>0.4</v>
      </c>
      <c r="P559">
        <v>0.72699999999999998</v>
      </c>
      <c r="Q559">
        <v>1.1000000000000001</v>
      </c>
      <c r="R559">
        <v>1.7</v>
      </c>
      <c r="S559">
        <v>2.8</v>
      </c>
      <c r="T559">
        <v>0.7</v>
      </c>
      <c r="U559">
        <v>0.5</v>
      </c>
      <c r="V559">
        <v>0.8</v>
      </c>
      <c r="W559">
        <v>0.5</v>
      </c>
      <c r="X559">
        <v>1.7</v>
      </c>
      <c r="Y559">
        <v>2.7</v>
      </c>
      <c r="AP559">
        <v>1.2</v>
      </c>
      <c r="AQ559">
        <v>2.7</v>
      </c>
      <c r="AR559">
        <v>0</v>
      </c>
      <c r="AS559">
        <v>0.3</v>
      </c>
      <c r="AT559">
        <v>0.3</v>
      </c>
      <c r="AU559">
        <v>0.4</v>
      </c>
      <c r="AV559">
        <v>2.8</v>
      </c>
      <c r="AW559">
        <v>0.7</v>
      </c>
      <c r="AX559">
        <v>2.7</v>
      </c>
    </row>
    <row r="560" spans="1:50" x14ac:dyDescent="0.2">
      <c r="A560" s="1" t="s">
        <v>515</v>
      </c>
      <c r="B560" s="1" t="s">
        <v>43</v>
      </c>
      <c r="C560">
        <v>25</v>
      </c>
      <c r="D560" s="1" t="s">
        <v>104</v>
      </c>
      <c r="E560">
        <v>11</v>
      </c>
      <c r="F560">
        <v>2</v>
      </c>
      <c r="G560">
        <v>17.7</v>
      </c>
      <c r="H560">
        <v>1.3</v>
      </c>
      <c r="I560">
        <v>3.2</v>
      </c>
      <c r="J560">
        <v>0.4</v>
      </c>
      <c r="K560">
        <v>0</v>
      </c>
      <c r="L560">
        <v>0.1</v>
      </c>
      <c r="M560">
        <v>0</v>
      </c>
      <c r="N560">
        <v>0.1</v>
      </c>
      <c r="O560">
        <v>0.4</v>
      </c>
      <c r="P560">
        <v>0.25</v>
      </c>
      <c r="Q560">
        <v>1.7</v>
      </c>
      <c r="R560">
        <v>2.2999999999999998</v>
      </c>
      <c r="S560">
        <v>4</v>
      </c>
      <c r="T560">
        <v>0.9</v>
      </c>
      <c r="U560">
        <v>0.9</v>
      </c>
      <c r="V560">
        <v>1.2</v>
      </c>
      <c r="W560">
        <v>0.6</v>
      </c>
      <c r="X560">
        <v>1.8</v>
      </c>
      <c r="Y560">
        <v>2.6</v>
      </c>
      <c r="AP560">
        <v>1.3</v>
      </c>
      <c r="AQ560">
        <v>3.2</v>
      </c>
      <c r="AR560">
        <v>0</v>
      </c>
      <c r="AS560">
        <v>0.1</v>
      </c>
      <c r="AT560">
        <v>0.1</v>
      </c>
      <c r="AU560">
        <v>0.4</v>
      </c>
      <c r="AV560">
        <v>4</v>
      </c>
      <c r="AW560">
        <v>0.9</v>
      </c>
      <c r="AX560">
        <v>2.6</v>
      </c>
    </row>
    <row r="561" spans="1:50" x14ac:dyDescent="0.2">
      <c r="A561" s="1" t="s">
        <v>515</v>
      </c>
      <c r="B561" s="1" t="s">
        <v>43</v>
      </c>
      <c r="C561">
        <v>25</v>
      </c>
      <c r="D561" s="1" t="s">
        <v>74</v>
      </c>
      <c r="E561">
        <v>13</v>
      </c>
      <c r="F561">
        <v>2</v>
      </c>
      <c r="G561">
        <v>10.4</v>
      </c>
      <c r="H561">
        <v>1.2</v>
      </c>
      <c r="I561">
        <v>2.6</v>
      </c>
      <c r="J561">
        <v>0.47099999999999997</v>
      </c>
      <c r="K561">
        <v>0.1</v>
      </c>
      <c r="L561">
        <v>0.5</v>
      </c>
      <c r="M561">
        <v>0.16700000000000001</v>
      </c>
      <c r="N561">
        <v>0.5</v>
      </c>
      <c r="O561">
        <v>0.5</v>
      </c>
      <c r="P561">
        <v>1</v>
      </c>
      <c r="Q561">
        <v>0.7</v>
      </c>
      <c r="R561">
        <v>1.5</v>
      </c>
      <c r="S561">
        <v>2.2000000000000002</v>
      </c>
      <c r="T561">
        <v>0.5</v>
      </c>
      <c r="U561">
        <v>0.3</v>
      </c>
      <c r="V561">
        <v>0.7</v>
      </c>
      <c r="W561">
        <v>0.5</v>
      </c>
      <c r="X561">
        <v>1.8</v>
      </c>
      <c r="Y561">
        <v>3.1</v>
      </c>
      <c r="AP561">
        <v>1.2</v>
      </c>
      <c r="AQ561">
        <v>2.6</v>
      </c>
      <c r="AR561">
        <v>0.1</v>
      </c>
      <c r="AS561">
        <v>0.5</v>
      </c>
      <c r="AT561">
        <v>0.5</v>
      </c>
      <c r="AU561">
        <v>0.5</v>
      </c>
      <c r="AV561">
        <v>2.2000000000000002</v>
      </c>
      <c r="AW561">
        <v>0.5</v>
      </c>
      <c r="AX561">
        <v>3.1</v>
      </c>
    </row>
    <row r="562" spans="1:50" x14ac:dyDescent="0.2">
      <c r="A562" s="1" t="s">
        <v>516</v>
      </c>
      <c r="B562" s="1" t="s">
        <v>31</v>
      </c>
      <c r="C562">
        <v>31</v>
      </c>
      <c r="D562" s="1" t="s">
        <v>46</v>
      </c>
      <c r="E562">
        <v>48</v>
      </c>
      <c r="F562">
        <v>2</v>
      </c>
      <c r="G562">
        <v>13.8</v>
      </c>
      <c r="H562">
        <v>1</v>
      </c>
      <c r="I562">
        <v>2.2000000000000002</v>
      </c>
      <c r="J562">
        <v>0.442</v>
      </c>
      <c r="K562">
        <v>0.6</v>
      </c>
      <c r="L562">
        <v>1.4</v>
      </c>
      <c r="M562">
        <v>0.41199999999999998</v>
      </c>
      <c r="N562">
        <v>0.2</v>
      </c>
      <c r="O562">
        <v>0.2</v>
      </c>
      <c r="P562">
        <v>0.88900000000000001</v>
      </c>
      <c r="Q562">
        <v>0.3</v>
      </c>
      <c r="R562">
        <v>0.9</v>
      </c>
      <c r="S562">
        <v>1.3</v>
      </c>
      <c r="T562">
        <v>1.1000000000000001</v>
      </c>
      <c r="U562">
        <v>0.6</v>
      </c>
      <c r="V562">
        <v>0.2</v>
      </c>
      <c r="W562">
        <v>0.4</v>
      </c>
      <c r="X562">
        <v>1.1000000000000001</v>
      </c>
      <c r="Y562">
        <v>2.7</v>
      </c>
      <c r="AP562">
        <v>1</v>
      </c>
      <c r="AQ562">
        <v>2.2000000000000002</v>
      </c>
      <c r="AR562">
        <v>0.6</v>
      </c>
      <c r="AS562">
        <v>1.4</v>
      </c>
      <c r="AT562">
        <v>0.2</v>
      </c>
      <c r="AU562">
        <v>0.2</v>
      </c>
      <c r="AV562">
        <v>1.3</v>
      </c>
      <c r="AW562">
        <v>1.1000000000000001</v>
      </c>
      <c r="AX562">
        <v>2.7</v>
      </c>
    </row>
    <row r="563" spans="1:50" x14ac:dyDescent="0.2">
      <c r="A563" s="1" t="s">
        <v>517</v>
      </c>
      <c r="B563" s="1" t="s">
        <v>31</v>
      </c>
      <c r="C563">
        <v>21</v>
      </c>
      <c r="D563" s="1" t="s">
        <v>27</v>
      </c>
      <c r="E563">
        <v>41</v>
      </c>
      <c r="F563">
        <v>1</v>
      </c>
      <c r="G563">
        <v>8.6999999999999993</v>
      </c>
      <c r="H563">
        <v>1</v>
      </c>
      <c r="I563">
        <v>2.6</v>
      </c>
      <c r="J563">
        <v>0.39800000000000002</v>
      </c>
      <c r="K563">
        <v>0.5</v>
      </c>
      <c r="L563">
        <v>1.3</v>
      </c>
      <c r="M563">
        <v>0.35799999999999998</v>
      </c>
      <c r="N563">
        <v>0.1</v>
      </c>
      <c r="O563">
        <v>0.2</v>
      </c>
      <c r="P563">
        <v>0.85699999999999998</v>
      </c>
      <c r="Q563">
        <v>0.1</v>
      </c>
      <c r="R563">
        <v>0.4</v>
      </c>
      <c r="S563">
        <v>0.5</v>
      </c>
      <c r="T563">
        <v>1.1000000000000001</v>
      </c>
      <c r="U563">
        <v>0.4</v>
      </c>
      <c r="V563">
        <v>0.1</v>
      </c>
      <c r="W563">
        <v>0.6</v>
      </c>
      <c r="X563">
        <v>0.7</v>
      </c>
      <c r="Y563">
        <v>2.7</v>
      </c>
      <c r="AP563">
        <v>1</v>
      </c>
      <c r="AQ563">
        <v>2.6</v>
      </c>
      <c r="AR563">
        <v>0.5</v>
      </c>
      <c r="AS563">
        <v>1.3</v>
      </c>
      <c r="AT563">
        <v>0.1</v>
      </c>
      <c r="AU563">
        <v>0.2</v>
      </c>
      <c r="AV563">
        <v>0.5</v>
      </c>
      <c r="AW563">
        <v>1.1000000000000001</v>
      </c>
      <c r="AX563">
        <v>2.7</v>
      </c>
    </row>
    <row r="564" spans="1:50" x14ac:dyDescent="0.2">
      <c r="A564" s="1" t="s">
        <v>518</v>
      </c>
      <c r="B564" s="1" t="s">
        <v>43</v>
      </c>
      <c r="C564">
        <v>19</v>
      </c>
      <c r="D564" s="1" t="s">
        <v>53</v>
      </c>
      <c r="E564">
        <v>45</v>
      </c>
      <c r="F564">
        <v>1</v>
      </c>
      <c r="G564">
        <v>8.5</v>
      </c>
      <c r="H564">
        <v>1.1000000000000001</v>
      </c>
      <c r="I564">
        <v>2</v>
      </c>
      <c r="J564">
        <v>0.53300000000000003</v>
      </c>
      <c r="K564">
        <v>0.1</v>
      </c>
      <c r="L564">
        <v>0.4</v>
      </c>
      <c r="M564">
        <v>0.188</v>
      </c>
      <c r="N564">
        <v>0.5</v>
      </c>
      <c r="O564">
        <v>0.7</v>
      </c>
      <c r="P564">
        <v>0.71</v>
      </c>
      <c r="Q564">
        <v>0.9</v>
      </c>
      <c r="R564">
        <v>1.7</v>
      </c>
      <c r="S564">
        <v>2.6</v>
      </c>
      <c r="T564">
        <v>0.1</v>
      </c>
      <c r="U564">
        <v>0.1</v>
      </c>
      <c r="V564">
        <v>0.7</v>
      </c>
      <c r="W564">
        <v>0.5</v>
      </c>
      <c r="X564">
        <v>0.9</v>
      </c>
      <c r="Y564">
        <v>2.7</v>
      </c>
      <c r="AP564">
        <v>1.1000000000000001</v>
      </c>
      <c r="AQ564">
        <v>2</v>
      </c>
      <c r="AR564">
        <v>0.1</v>
      </c>
      <c r="AS564">
        <v>0.4</v>
      </c>
      <c r="AT564">
        <v>0.5</v>
      </c>
      <c r="AU564">
        <v>0.7</v>
      </c>
      <c r="AV564">
        <v>2.6</v>
      </c>
      <c r="AW564">
        <v>0.1</v>
      </c>
      <c r="AX564">
        <v>2.7</v>
      </c>
    </row>
    <row r="565" spans="1:50" x14ac:dyDescent="0.2">
      <c r="A565" s="1" t="s">
        <v>519</v>
      </c>
      <c r="B565" s="1" t="s">
        <v>31</v>
      </c>
      <c r="C565">
        <v>25</v>
      </c>
      <c r="D565" s="1" t="s">
        <v>98</v>
      </c>
      <c r="E565">
        <v>10</v>
      </c>
      <c r="F565">
        <v>0</v>
      </c>
      <c r="G565">
        <v>6.8</v>
      </c>
      <c r="H565">
        <v>1</v>
      </c>
      <c r="I565">
        <v>2</v>
      </c>
      <c r="J565">
        <v>0.5</v>
      </c>
      <c r="K565">
        <v>0.7</v>
      </c>
      <c r="L565">
        <v>1.3</v>
      </c>
      <c r="M565">
        <v>0.53800000000000003</v>
      </c>
      <c r="N565">
        <v>0</v>
      </c>
      <c r="O565">
        <v>0</v>
      </c>
      <c r="Q565">
        <v>0.2</v>
      </c>
      <c r="R565">
        <v>0.6</v>
      </c>
      <c r="S565">
        <v>0.8</v>
      </c>
      <c r="T565">
        <v>0.3</v>
      </c>
      <c r="U565">
        <v>0.1</v>
      </c>
      <c r="V565">
        <v>0</v>
      </c>
      <c r="W565">
        <v>0.1</v>
      </c>
      <c r="X565">
        <v>0.3</v>
      </c>
      <c r="Y565">
        <v>2.7</v>
      </c>
      <c r="AP565">
        <v>1</v>
      </c>
      <c r="AQ565">
        <v>2</v>
      </c>
      <c r="AR565">
        <v>0.7</v>
      </c>
      <c r="AS565">
        <v>1.3</v>
      </c>
      <c r="AT565">
        <v>0</v>
      </c>
      <c r="AU565">
        <v>0</v>
      </c>
      <c r="AV565">
        <v>0.8</v>
      </c>
      <c r="AW565">
        <v>0.3</v>
      </c>
      <c r="AX565">
        <v>2.7</v>
      </c>
    </row>
    <row r="566" spans="1:50" x14ac:dyDescent="0.2">
      <c r="A566" s="1" t="s">
        <v>520</v>
      </c>
      <c r="B566" s="1" t="s">
        <v>34</v>
      </c>
      <c r="C566">
        <v>22</v>
      </c>
      <c r="D566" s="1" t="s">
        <v>70</v>
      </c>
      <c r="E566">
        <v>47</v>
      </c>
      <c r="F566">
        <v>2</v>
      </c>
      <c r="G566">
        <v>8.5</v>
      </c>
      <c r="H566">
        <v>1</v>
      </c>
      <c r="I566">
        <v>2.2999999999999998</v>
      </c>
      <c r="J566">
        <v>0.41299999999999998</v>
      </c>
      <c r="K566">
        <v>0.4</v>
      </c>
      <c r="L566">
        <v>1.3</v>
      </c>
      <c r="M566">
        <v>0.317</v>
      </c>
      <c r="N566">
        <v>0.3</v>
      </c>
      <c r="O566">
        <v>0.4</v>
      </c>
      <c r="P566">
        <v>0.88200000000000001</v>
      </c>
      <c r="Q566">
        <v>0.5</v>
      </c>
      <c r="R566">
        <v>0.6</v>
      </c>
      <c r="S566">
        <v>1</v>
      </c>
      <c r="T566">
        <v>0.2</v>
      </c>
      <c r="U566">
        <v>0.4</v>
      </c>
      <c r="V566">
        <v>0.1</v>
      </c>
      <c r="W566">
        <v>0.2</v>
      </c>
      <c r="X566">
        <v>0.8</v>
      </c>
      <c r="Y566">
        <v>2.6</v>
      </c>
      <c r="AP566">
        <v>1</v>
      </c>
      <c r="AQ566">
        <v>2.2999999999999998</v>
      </c>
      <c r="AR566">
        <v>0.4</v>
      </c>
      <c r="AS566">
        <v>1.3</v>
      </c>
      <c r="AT566">
        <v>0.3</v>
      </c>
      <c r="AU566">
        <v>0.4</v>
      </c>
      <c r="AV566">
        <v>1</v>
      </c>
      <c r="AW566">
        <v>0.2</v>
      </c>
      <c r="AX566">
        <v>2.6</v>
      </c>
    </row>
    <row r="567" spans="1:50" x14ac:dyDescent="0.2">
      <c r="A567" s="1" t="s">
        <v>520</v>
      </c>
      <c r="B567" s="1" t="s">
        <v>34</v>
      </c>
      <c r="C567">
        <v>22</v>
      </c>
      <c r="D567" s="1" t="s">
        <v>128</v>
      </c>
      <c r="E567">
        <v>35</v>
      </c>
      <c r="F567">
        <v>2</v>
      </c>
      <c r="G567">
        <v>9.5</v>
      </c>
      <c r="H567">
        <v>1.1000000000000001</v>
      </c>
      <c r="I567">
        <v>2.5</v>
      </c>
      <c r="J567">
        <v>0.42</v>
      </c>
      <c r="K567">
        <v>0.5</v>
      </c>
      <c r="L567">
        <v>1.4</v>
      </c>
      <c r="M567">
        <v>0.32700000000000001</v>
      </c>
      <c r="N567">
        <v>0.3</v>
      </c>
      <c r="O567">
        <v>0.3</v>
      </c>
      <c r="P567">
        <v>0.81799999999999995</v>
      </c>
      <c r="Q567">
        <v>0.6</v>
      </c>
      <c r="R567">
        <v>0.6</v>
      </c>
      <c r="S567">
        <v>1.3</v>
      </c>
      <c r="T567">
        <v>0.2</v>
      </c>
      <c r="U567">
        <v>0.5</v>
      </c>
      <c r="V567">
        <v>0.2</v>
      </c>
      <c r="W567">
        <v>0.2</v>
      </c>
      <c r="X567">
        <v>0.9</v>
      </c>
      <c r="Y567">
        <v>2.8</v>
      </c>
      <c r="AP567">
        <v>1.1000000000000001</v>
      </c>
      <c r="AQ567">
        <v>2.5</v>
      </c>
      <c r="AR567">
        <v>0.5</v>
      </c>
      <c r="AS567">
        <v>1.4</v>
      </c>
      <c r="AT567">
        <v>0.3</v>
      </c>
      <c r="AU567">
        <v>0.3</v>
      </c>
      <c r="AV567">
        <v>1.3</v>
      </c>
      <c r="AW567">
        <v>0.2</v>
      </c>
      <c r="AX567">
        <v>2.8</v>
      </c>
    </row>
    <row r="568" spans="1:50" x14ac:dyDescent="0.2">
      <c r="A568" s="1" t="s">
        <v>520</v>
      </c>
      <c r="B568" s="1" t="s">
        <v>34</v>
      </c>
      <c r="C568">
        <v>22</v>
      </c>
      <c r="D568" s="1" t="s">
        <v>32</v>
      </c>
      <c r="E568">
        <v>12</v>
      </c>
      <c r="F568">
        <v>0</v>
      </c>
      <c r="G568">
        <v>5.6</v>
      </c>
      <c r="H568">
        <v>0.7</v>
      </c>
      <c r="I568">
        <v>1.8</v>
      </c>
      <c r="J568">
        <v>0.38100000000000001</v>
      </c>
      <c r="K568">
        <v>0.3</v>
      </c>
      <c r="L568">
        <v>0.9</v>
      </c>
      <c r="M568">
        <v>0.27300000000000002</v>
      </c>
      <c r="N568">
        <v>0.5</v>
      </c>
      <c r="O568">
        <v>0.5</v>
      </c>
      <c r="P568">
        <v>1</v>
      </c>
      <c r="Q568">
        <v>0</v>
      </c>
      <c r="R568">
        <v>0.3</v>
      </c>
      <c r="S568">
        <v>0.3</v>
      </c>
      <c r="T568">
        <v>0.2</v>
      </c>
      <c r="U568">
        <v>0.3</v>
      </c>
      <c r="V568">
        <v>0.1</v>
      </c>
      <c r="W568">
        <v>0.3</v>
      </c>
      <c r="X568">
        <v>0.4</v>
      </c>
      <c r="Y568">
        <v>2.1</v>
      </c>
      <c r="AP568">
        <v>0.7</v>
      </c>
      <c r="AQ568">
        <v>1.8</v>
      </c>
      <c r="AR568">
        <v>0.3</v>
      </c>
      <c r="AS568">
        <v>0.9</v>
      </c>
      <c r="AT568">
        <v>0.5</v>
      </c>
      <c r="AU568">
        <v>0.5</v>
      </c>
      <c r="AV568">
        <v>0.3</v>
      </c>
      <c r="AW568">
        <v>0.2</v>
      </c>
      <c r="AX568">
        <v>2.1</v>
      </c>
    </row>
    <row r="569" spans="1:50" x14ac:dyDescent="0.2">
      <c r="A569" s="1" t="s">
        <v>521</v>
      </c>
      <c r="B569" s="1" t="s">
        <v>31</v>
      </c>
      <c r="C569">
        <v>33</v>
      </c>
      <c r="D569" s="1" t="s">
        <v>98</v>
      </c>
      <c r="E569">
        <v>42</v>
      </c>
      <c r="F569">
        <v>0</v>
      </c>
      <c r="G569">
        <v>7.1</v>
      </c>
      <c r="H569">
        <v>0.9</v>
      </c>
      <c r="I569">
        <v>2</v>
      </c>
      <c r="J569">
        <v>0.44700000000000001</v>
      </c>
      <c r="K569">
        <v>0.5</v>
      </c>
      <c r="L569">
        <v>1.2</v>
      </c>
      <c r="M569">
        <v>0.40400000000000003</v>
      </c>
      <c r="N569">
        <v>0.3</v>
      </c>
      <c r="O569">
        <v>0.5</v>
      </c>
      <c r="P569">
        <v>0.65</v>
      </c>
      <c r="Q569">
        <v>0.4</v>
      </c>
      <c r="R569">
        <v>1.1000000000000001</v>
      </c>
      <c r="S569">
        <v>1.5</v>
      </c>
      <c r="T569">
        <v>0.4</v>
      </c>
      <c r="U569">
        <v>0.3</v>
      </c>
      <c r="V569">
        <v>0</v>
      </c>
      <c r="W569">
        <v>0.3</v>
      </c>
      <c r="X569">
        <v>0.2</v>
      </c>
      <c r="Y569">
        <v>2.6</v>
      </c>
      <c r="AP569">
        <v>0.9</v>
      </c>
      <c r="AQ569">
        <v>2</v>
      </c>
      <c r="AR569">
        <v>0.5</v>
      </c>
      <c r="AS569">
        <v>1.2</v>
      </c>
      <c r="AT569">
        <v>0.3</v>
      </c>
      <c r="AU569">
        <v>0.5</v>
      </c>
      <c r="AV569">
        <v>1.5</v>
      </c>
      <c r="AW569">
        <v>0.4</v>
      </c>
      <c r="AX569">
        <v>2.6</v>
      </c>
    </row>
    <row r="570" spans="1:50" x14ac:dyDescent="0.2">
      <c r="A570" s="1" t="s">
        <v>522</v>
      </c>
      <c r="B570" s="1" t="s">
        <v>23</v>
      </c>
      <c r="C570">
        <v>28</v>
      </c>
      <c r="D570" s="1" t="s">
        <v>76</v>
      </c>
      <c r="E570">
        <v>52</v>
      </c>
      <c r="F570">
        <v>0</v>
      </c>
      <c r="G570">
        <v>10</v>
      </c>
      <c r="H570">
        <v>0.9</v>
      </c>
      <c r="I570">
        <v>2.1</v>
      </c>
      <c r="J570">
        <v>0.42199999999999999</v>
      </c>
      <c r="K570">
        <v>0.1</v>
      </c>
      <c r="L570">
        <v>0.7</v>
      </c>
      <c r="M570">
        <v>0.184</v>
      </c>
      <c r="N570">
        <v>0.7</v>
      </c>
      <c r="O570">
        <v>1.1000000000000001</v>
      </c>
      <c r="P570">
        <v>0.60299999999999998</v>
      </c>
      <c r="Q570">
        <v>0.8</v>
      </c>
      <c r="R570">
        <v>1.7</v>
      </c>
      <c r="S570">
        <v>2.5</v>
      </c>
      <c r="T570">
        <v>0.4</v>
      </c>
      <c r="U570">
        <v>0.4</v>
      </c>
      <c r="V570">
        <v>0.6</v>
      </c>
      <c r="W570">
        <v>0.3</v>
      </c>
      <c r="X570">
        <v>0.8</v>
      </c>
      <c r="Y570">
        <v>2.6</v>
      </c>
      <c r="AP570">
        <v>0.9</v>
      </c>
      <c r="AQ570">
        <v>2.1</v>
      </c>
      <c r="AR570">
        <v>0.1</v>
      </c>
      <c r="AS570">
        <v>0.7</v>
      </c>
      <c r="AT570">
        <v>0.7</v>
      </c>
      <c r="AU570">
        <v>1.1000000000000001</v>
      </c>
      <c r="AV570">
        <v>2.5</v>
      </c>
      <c r="AW570">
        <v>0.4</v>
      </c>
      <c r="AX570">
        <v>2.6</v>
      </c>
    </row>
    <row r="571" spans="1:50" x14ac:dyDescent="0.2">
      <c r="A571" s="1" t="s">
        <v>523</v>
      </c>
      <c r="B571" s="1" t="s">
        <v>34</v>
      </c>
      <c r="C571">
        <v>30</v>
      </c>
      <c r="D571" s="1" t="s">
        <v>57</v>
      </c>
      <c r="E571">
        <v>45</v>
      </c>
      <c r="F571">
        <v>0</v>
      </c>
      <c r="G571">
        <v>8.4</v>
      </c>
      <c r="H571">
        <v>1.1000000000000001</v>
      </c>
      <c r="I571">
        <v>2.2000000000000002</v>
      </c>
      <c r="J571">
        <v>0.5</v>
      </c>
      <c r="K571">
        <v>0.2</v>
      </c>
      <c r="L571">
        <v>0.7</v>
      </c>
      <c r="M571">
        <v>0.3</v>
      </c>
      <c r="N571">
        <v>0.2</v>
      </c>
      <c r="O571">
        <v>0.2</v>
      </c>
      <c r="P571">
        <v>0.7</v>
      </c>
      <c r="Q571">
        <v>0.7</v>
      </c>
      <c r="R571">
        <v>0.8</v>
      </c>
      <c r="S571">
        <v>1.5</v>
      </c>
      <c r="T571">
        <v>0.5</v>
      </c>
      <c r="U571">
        <v>0.2</v>
      </c>
      <c r="V571">
        <v>0.1</v>
      </c>
      <c r="W571">
        <v>0.3</v>
      </c>
      <c r="X571">
        <v>1</v>
      </c>
      <c r="Y571">
        <v>2.6</v>
      </c>
      <c r="AP571">
        <v>1.1000000000000001</v>
      </c>
      <c r="AQ571">
        <v>2.2000000000000002</v>
      </c>
      <c r="AR571">
        <v>0.2</v>
      </c>
      <c r="AS571">
        <v>0.7</v>
      </c>
      <c r="AT571">
        <v>0.2</v>
      </c>
      <c r="AU571">
        <v>0.2</v>
      </c>
      <c r="AV571">
        <v>1.5</v>
      </c>
      <c r="AW571">
        <v>0.5</v>
      </c>
      <c r="AX571">
        <v>2.6</v>
      </c>
    </row>
    <row r="572" spans="1:50" x14ac:dyDescent="0.2">
      <c r="A572" s="1" t="s">
        <v>524</v>
      </c>
      <c r="B572" s="1" t="s">
        <v>31</v>
      </c>
      <c r="C572">
        <v>24</v>
      </c>
      <c r="D572" s="1" t="s">
        <v>64</v>
      </c>
      <c r="E572">
        <v>33</v>
      </c>
      <c r="F572">
        <v>0</v>
      </c>
      <c r="G572">
        <v>7.8</v>
      </c>
      <c r="H572">
        <v>0.8</v>
      </c>
      <c r="I572">
        <v>2.7</v>
      </c>
      <c r="J572">
        <v>0.307</v>
      </c>
      <c r="K572">
        <v>0.6</v>
      </c>
      <c r="L572">
        <v>2</v>
      </c>
      <c r="M572">
        <v>0.28399999999999997</v>
      </c>
      <c r="N572">
        <v>0.2</v>
      </c>
      <c r="O572">
        <v>0.2</v>
      </c>
      <c r="P572">
        <v>0.83299999999999996</v>
      </c>
      <c r="Q572">
        <v>0.2</v>
      </c>
      <c r="R572">
        <v>0.5</v>
      </c>
      <c r="S572">
        <v>0.7</v>
      </c>
      <c r="T572">
        <v>0.5</v>
      </c>
      <c r="U572">
        <v>0.2</v>
      </c>
      <c r="V572">
        <v>0</v>
      </c>
      <c r="W572">
        <v>0.1</v>
      </c>
      <c r="X572">
        <v>0.4</v>
      </c>
      <c r="Y572">
        <v>2.4</v>
      </c>
      <c r="AP572">
        <v>0.8</v>
      </c>
      <c r="AQ572">
        <v>2.7</v>
      </c>
      <c r="AR572">
        <v>0.6</v>
      </c>
      <c r="AS572">
        <v>2</v>
      </c>
      <c r="AT572">
        <v>0.2</v>
      </c>
      <c r="AU572">
        <v>0.2</v>
      </c>
      <c r="AV572">
        <v>0.7</v>
      </c>
      <c r="AW572">
        <v>0.5</v>
      </c>
      <c r="AX572">
        <v>2.4</v>
      </c>
    </row>
    <row r="573" spans="1:50" x14ac:dyDescent="0.2">
      <c r="A573" s="1" t="s">
        <v>525</v>
      </c>
      <c r="B573" s="1" t="s">
        <v>31</v>
      </c>
      <c r="C573">
        <v>28</v>
      </c>
      <c r="D573" s="1" t="s">
        <v>60</v>
      </c>
      <c r="E573">
        <v>40</v>
      </c>
      <c r="F573">
        <v>0</v>
      </c>
      <c r="G573">
        <v>7.1</v>
      </c>
      <c r="H573">
        <v>0.8</v>
      </c>
      <c r="I573">
        <v>2.2000000000000002</v>
      </c>
      <c r="J573">
        <v>0.375</v>
      </c>
      <c r="K573">
        <v>0.7</v>
      </c>
      <c r="L573">
        <v>2</v>
      </c>
      <c r="M573">
        <v>0.34200000000000003</v>
      </c>
      <c r="N573">
        <v>0.1</v>
      </c>
      <c r="O573">
        <v>0.1</v>
      </c>
      <c r="P573">
        <v>0.66700000000000004</v>
      </c>
      <c r="Q573">
        <v>0.1</v>
      </c>
      <c r="R573">
        <v>0.7</v>
      </c>
      <c r="S573">
        <v>0.7</v>
      </c>
      <c r="T573">
        <v>0.5</v>
      </c>
      <c r="U573">
        <v>0.2</v>
      </c>
      <c r="V573">
        <v>0</v>
      </c>
      <c r="W573">
        <v>0.2</v>
      </c>
      <c r="X573">
        <v>0.6</v>
      </c>
      <c r="Y573">
        <v>2.4</v>
      </c>
      <c r="AP573">
        <v>0.8</v>
      </c>
      <c r="AQ573">
        <v>2.2000000000000002</v>
      </c>
      <c r="AR573">
        <v>0.7</v>
      </c>
      <c r="AS573">
        <v>2</v>
      </c>
      <c r="AT573">
        <v>0.1</v>
      </c>
      <c r="AU573">
        <v>0.1</v>
      </c>
      <c r="AV573">
        <v>0.7</v>
      </c>
      <c r="AW573">
        <v>0.5</v>
      </c>
      <c r="AX573">
        <v>2.4</v>
      </c>
    </row>
    <row r="574" spans="1:50" x14ac:dyDescent="0.2">
      <c r="A574" s="1" t="s">
        <v>526</v>
      </c>
      <c r="B574" s="1" t="s">
        <v>31</v>
      </c>
      <c r="C574">
        <v>23</v>
      </c>
      <c r="D574" s="1" t="s">
        <v>53</v>
      </c>
      <c r="E574">
        <v>11</v>
      </c>
      <c r="F574">
        <v>0</v>
      </c>
      <c r="G574">
        <v>5</v>
      </c>
      <c r="H574">
        <v>0.7</v>
      </c>
      <c r="I574">
        <v>2.2999999999999998</v>
      </c>
      <c r="J574">
        <v>0.32</v>
      </c>
      <c r="K574">
        <v>0.6</v>
      </c>
      <c r="L574">
        <v>1.9</v>
      </c>
      <c r="M574">
        <v>0.33300000000000002</v>
      </c>
      <c r="N574">
        <v>0.2</v>
      </c>
      <c r="O574">
        <v>0.2</v>
      </c>
      <c r="P574">
        <v>1</v>
      </c>
      <c r="Q574">
        <v>0</v>
      </c>
      <c r="R574">
        <v>0.3</v>
      </c>
      <c r="S574">
        <v>0.3</v>
      </c>
      <c r="T574">
        <v>0.6</v>
      </c>
      <c r="U574">
        <v>0.1</v>
      </c>
      <c r="V574">
        <v>0</v>
      </c>
      <c r="W574">
        <v>0.3</v>
      </c>
      <c r="X574">
        <v>0.5</v>
      </c>
      <c r="Y574">
        <v>2.2999999999999998</v>
      </c>
      <c r="AP574">
        <v>0.7</v>
      </c>
      <c r="AQ574">
        <v>2.2999999999999998</v>
      </c>
      <c r="AR574">
        <v>0.6</v>
      </c>
      <c r="AS574">
        <v>1.9</v>
      </c>
      <c r="AT574">
        <v>0.2</v>
      </c>
      <c r="AU574">
        <v>0.2</v>
      </c>
      <c r="AV574">
        <v>0.3</v>
      </c>
      <c r="AW574">
        <v>0.6</v>
      </c>
      <c r="AX574">
        <v>2.2999999999999998</v>
      </c>
    </row>
    <row r="575" spans="1:50" x14ac:dyDescent="0.2">
      <c r="A575" s="1" t="s">
        <v>527</v>
      </c>
      <c r="B575" s="1" t="s">
        <v>43</v>
      </c>
      <c r="C575">
        <v>20</v>
      </c>
      <c r="D575" s="1" t="s">
        <v>62</v>
      </c>
      <c r="E575">
        <v>42</v>
      </c>
      <c r="F575">
        <v>1</v>
      </c>
      <c r="G575">
        <v>7.1</v>
      </c>
      <c r="H575">
        <v>0.7</v>
      </c>
      <c r="I575">
        <v>2.4</v>
      </c>
      <c r="J575">
        <v>0.31</v>
      </c>
      <c r="K575">
        <v>0.1</v>
      </c>
      <c r="L575">
        <v>1</v>
      </c>
      <c r="M575">
        <v>0.11899999999999999</v>
      </c>
      <c r="N575">
        <v>0.7</v>
      </c>
      <c r="O575">
        <v>0.8</v>
      </c>
      <c r="P575">
        <v>0.82399999999999995</v>
      </c>
      <c r="Q575">
        <v>0.5</v>
      </c>
      <c r="R575">
        <v>1.1000000000000001</v>
      </c>
      <c r="S575">
        <v>1.5</v>
      </c>
      <c r="T575">
        <v>0.5</v>
      </c>
      <c r="U575">
        <v>0.1</v>
      </c>
      <c r="V575">
        <v>0.2</v>
      </c>
      <c r="W575">
        <v>0.8</v>
      </c>
      <c r="X575">
        <v>1</v>
      </c>
      <c r="Y575">
        <v>2.2999999999999998</v>
      </c>
      <c r="AP575">
        <v>0.7</v>
      </c>
      <c r="AQ575">
        <v>2.4</v>
      </c>
      <c r="AR575">
        <v>0.1</v>
      </c>
      <c r="AS575">
        <v>1</v>
      </c>
      <c r="AT575">
        <v>0.7</v>
      </c>
      <c r="AU575">
        <v>0.8</v>
      </c>
      <c r="AV575">
        <v>1.5</v>
      </c>
      <c r="AW575">
        <v>0.5</v>
      </c>
      <c r="AX575">
        <v>2.2999999999999998</v>
      </c>
    </row>
    <row r="576" spans="1:50" x14ac:dyDescent="0.2">
      <c r="A576" s="1" t="s">
        <v>528</v>
      </c>
      <c r="B576" s="1" t="s">
        <v>34</v>
      </c>
      <c r="C576">
        <v>23</v>
      </c>
      <c r="D576" s="1" t="s">
        <v>74</v>
      </c>
      <c r="E576">
        <v>18</v>
      </c>
      <c r="F576">
        <v>0</v>
      </c>
      <c r="G576">
        <v>4.2</v>
      </c>
      <c r="H576">
        <v>0.8</v>
      </c>
      <c r="I576">
        <v>1.4</v>
      </c>
      <c r="J576">
        <v>0.53800000000000003</v>
      </c>
      <c r="K576">
        <v>0.6</v>
      </c>
      <c r="L576">
        <v>1.2</v>
      </c>
      <c r="M576">
        <v>0.52400000000000002</v>
      </c>
      <c r="N576">
        <v>0.2</v>
      </c>
      <c r="O576">
        <v>0.2</v>
      </c>
      <c r="P576">
        <v>1</v>
      </c>
      <c r="Q576">
        <v>0.3</v>
      </c>
      <c r="R576">
        <v>0.3</v>
      </c>
      <c r="S576">
        <v>0.6</v>
      </c>
      <c r="T576">
        <v>0.2</v>
      </c>
      <c r="U576">
        <v>0.1</v>
      </c>
      <c r="V576">
        <v>0.1</v>
      </c>
      <c r="W576">
        <v>0.2</v>
      </c>
      <c r="X576">
        <v>0.6</v>
      </c>
      <c r="Y576">
        <v>2.2999999999999998</v>
      </c>
      <c r="AP576">
        <v>0.8</v>
      </c>
      <c r="AQ576">
        <v>1.4</v>
      </c>
      <c r="AR576">
        <v>0.6</v>
      </c>
      <c r="AS576">
        <v>1.2</v>
      </c>
      <c r="AT576">
        <v>0.2</v>
      </c>
      <c r="AU576">
        <v>0.2</v>
      </c>
      <c r="AV576">
        <v>0.6</v>
      </c>
      <c r="AW576">
        <v>0.2</v>
      </c>
      <c r="AX576">
        <v>2.2999999999999998</v>
      </c>
    </row>
    <row r="577" spans="1:50" x14ac:dyDescent="0.2">
      <c r="A577" s="1" t="s">
        <v>529</v>
      </c>
      <c r="B577" s="1" t="s">
        <v>31</v>
      </c>
      <c r="C577">
        <v>24</v>
      </c>
      <c r="D577" s="1" t="s">
        <v>41</v>
      </c>
      <c r="E577">
        <v>12</v>
      </c>
      <c r="F577">
        <v>0</v>
      </c>
      <c r="G577">
        <v>8.6</v>
      </c>
      <c r="H577">
        <v>0.8</v>
      </c>
      <c r="I577">
        <v>3</v>
      </c>
      <c r="J577">
        <v>0.25</v>
      </c>
      <c r="K577">
        <v>0.1</v>
      </c>
      <c r="L577">
        <v>1.3</v>
      </c>
      <c r="M577">
        <v>6.3E-2</v>
      </c>
      <c r="N577">
        <v>0.8</v>
      </c>
      <c r="O577">
        <v>0.8</v>
      </c>
      <c r="P577">
        <v>1</v>
      </c>
      <c r="Q577">
        <v>0.8</v>
      </c>
      <c r="R577">
        <v>1.3</v>
      </c>
      <c r="S577">
        <v>2</v>
      </c>
      <c r="T577">
        <v>0.8</v>
      </c>
      <c r="U577">
        <v>0.6</v>
      </c>
      <c r="V577">
        <v>0.3</v>
      </c>
      <c r="W577">
        <v>0.3</v>
      </c>
      <c r="X577">
        <v>0.5</v>
      </c>
      <c r="Y577">
        <v>2.2999999999999998</v>
      </c>
      <c r="AP577">
        <v>0.8</v>
      </c>
      <c r="AQ577">
        <v>3</v>
      </c>
      <c r="AR577">
        <v>0.1</v>
      </c>
      <c r="AS577">
        <v>1.3</v>
      </c>
      <c r="AT577">
        <v>0.8</v>
      </c>
      <c r="AU577">
        <v>0.8</v>
      </c>
      <c r="AV577">
        <v>2</v>
      </c>
      <c r="AW577">
        <v>0.8</v>
      </c>
      <c r="AX577">
        <v>2.2999999999999998</v>
      </c>
    </row>
    <row r="578" spans="1:50" x14ac:dyDescent="0.2">
      <c r="A578" s="1" t="s">
        <v>530</v>
      </c>
      <c r="B578" s="1" t="s">
        <v>26</v>
      </c>
      <c r="C578">
        <v>23</v>
      </c>
      <c r="D578" s="1" t="s">
        <v>57</v>
      </c>
      <c r="E578">
        <v>27</v>
      </c>
      <c r="F578">
        <v>0</v>
      </c>
      <c r="G578">
        <v>7.1</v>
      </c>
      <c r="H578">
        <v>0.8</v>
      </c>
      <c r="I578">
        <v>2</v>
      </c>
      <c r="J578">
        <v>0.4</v>
      </c>
      <c r="K578">
        <v>0.3</v>
      </c>
      <c r="L578">
        <v>1</v>
      </c>
      <c r="M578">
        <v>0.28599999999999998</v>
      </c>
      <c r="N578">
        <v>0.3</v>
      </c>
      <c r="O578">
        <v>0.5</v>
      </c>
      <c r="P578">
        <v>0.61499999999999999</v>
      </c>
      <c r="Q578">
        <v>0.1</v>
      </c>
      <c r="R578">
        <v>0.8</v>
      </c>
      <c r="S578">
        <v>0.9</v>
      </c>
      <c r="T578">
        <v>1</v>
      </c>
      <c r="U578">
        <v>0.2</v>
      </c>
      <c r="V578">
        <v>0.1</v>
      </c>
      <c r="W578">
        <v>0.3</v>
      </c>
      <c r="X578">
        <v>0.6</v>
      </c>
      <c r="Y578">
        <v>2.2000000000000002</v>
      </c>
      <c r="AP578">
        <v>0.8</v>
      </c>
      <c r="AQ578">
        <v>2</v>
      </c>
      <c r="AR578">
        <v>0.3</v>
      </c>
      <c r="AS578">
        <v>1</v>
      </c>
      <c r="AT578">
        <v>0.3</v>
      </c>
      <c r="AU578">
        <v>0.5</v>
      </c>
      <c r="AV578">
        <v>0.9</v>
      </c>
      <c r="AW578">
        <v>1</v>
      </c>
      <c r="AX578">
        <v>2.2000000000000002</v>
      </c>
    </row>
    <row r="579" spans="1:50" x14ac:dyDescent="0.2">
      <c r="A579" s="1" t="s">
        <v>531</v>
      </c>
      <c r="B579" s="1" t="s">
        <v>31</v>
      </c>
      <c r="C579">
        <v>24</v>
      </c>
      <c r="D579" s="1" t="s">
        <v>46</v>
      </c>
      <c r="E579">
        <v>47</v>
      </c>
      <c r="F579">
        <v>1</v>
      </c>
      <c r="G579">
        <v>8</v>
      </c>
      <c r="H579">
        <v>0.8</v>
      </c>
      <c r="I579">
        <v>2.2999999999999998</v>
      </c>
      <c r="J579">
        <v>0.33</v>
      </c>
      <c r="K579">
        <v>0.3</v>
      </c>
      <c r="L579">
        <v>1.2</v>
      </c>
      <c r="M579">
        <v>0.25900000000000001</v>
      </c>
      <c r="N579">
        <v>0.4</v>
      </c>
      <c r="O579">
        <v>0.5</v>
      </c>
      <c r="P579">
        <v>0.70799999999999996</v>
      </c>
      <c r="Q579">
        <v>0.5</v>
      </c>
      <c r="R579">
        <v>0.9</v>
      </c>
      <c r="S579">
        <v>1.4</v>
      </c>
      <c r="T579">
        <v>0.9</v>
      </c>
      <c r="U579">
        <v>0.4</v>
      </c>
      <c r="V579">
        <v>0.1</v>
      </c>
      <c r="W579">
        <v>0.7</v>
      </c>
      <c r="X579">
        <v>0.9</v>
      </c>
      <c r="Y579">
        <v>2.2000000000000002</v>
      </c>
      <c r="AP579">
        <v>0.8</v>
      </c>
      <c r="AQ579">
        <v>2.2999999999999998</v>
      </c>
      <c r="AR579">
        <v>0.3</v>
      </c>
      <c r="AS579">
        <v>1.2</v>
      </c>
      <c r="AT579">
        <v>0.4</v>
      </c>
      <c r="AU579">
        <v>0.5</v>
      </c>
      <c r="AV579">
        <v>1.4</v>
      </c>
      <c r="AW579">
        <v>0.9</v>
      </c>
      <c r="AX579">
        <v>2.2000000000000002</v>
      </c>
    </row>
    <row r="580" spans="1:50" x14ac:dyDescent="0.2">
      <c r="A580" s="1" t="s">
        <v>532</v>
      </c>
      <c r="B580" s="1" t="s">
        <v>31</v>
      </c>
      <c r="C580">
        <v>24</v>
      </c>
      <c r="D580" s="1" t="s">
        <v>83</v>
      </c>
      <c r="E580">
        <v>23</v>
      </c>
      <c r="F580">
        <v>0</v>
      </c>
      <c r="G580">
        <v>6.3</v>
      </c>
      <c r="H580">
        <v>0.7</v>
      </c>
      <c r="I580">
        <v>2.2000000000000002</v>
      </c>
      <c r="J580">
        <v>0.32</v>
      </c>
      <c r="K580">
        <v>0.2</v>
      </c>
      <c r="L580">
        <v>0.9</v>
      </c>
      <c r="M580">
        <v>0.19</v>
      </c>
      <c r="N580">
        <v>0.7</v>
      </c>
      <c r="O580">
        <v>0.8</v>
      </c>
      <c r="P580">
        <v>0.78900000000000003</v>
      </c>
      <c r="Q580">
        <v>0.4</v>
      </c>
      <c r="R580">
        <v>0.5</v>
      </c>
      <c r="S580">
        <v>0.9</v>
      </c>
      <c r="T580">
        <v>0.5</v>
      </c>
      <c r="U580">
        <v>0.3</v>
      </c>
      <c r="V580">
        <v>0.2</v>
      </c>
      <c r="W580">
        <v>0.3</v>
      </c>
      <c r="X580">
        <v>0.5</v>
      </c>
      <c r="Y580">
        <v>2.2000000000000002</v>
      </c>
      <c r="AP580">
        <v>0.7</v>
      </c>
      <c r="AQ580">
        <v>2.2000000000000002</v>
      </c>
      <c r="AR580">
        <v>0.2</v>
      </c>
      <c r="AS580">
        <v>0.9</v>
      </c>
      <c r="AT580">
        <v>0.7</v>
      </c>
      <c r="AU580">
        <v>0.8</v>
      </c>
      <c r="AV580">
        <v>0.9</v>
      </c>
      <c r="AW580">
        <v>0.5</v>
      </c>
      <c r="AX580">
        <v>2.2000000000000002</v>
      </c>
    </row>
    <row r="581" spans="1:50" x14ac:dyDescent="0.2">
      <c r="A581" s="1" t="s">
        <v>533</v>
      </c>
      <c r="B581" s="1" t="s">
        <v>43</v>
      </c>
      <c r="C581">
        <v>22</v>
      </c>
      <c r="D581" s="1" t="s">
        <v>128</v>
      </c>
      <c r="E581">
        <v>36</v>
      </c>
      <c r="F581">
        <v>1</v>
      </c>
      <c r="G581">
        <v>8.6999999999999993</v>
      </c>
      <c r="H581">
        <v>0.9</v>
      </c>
      <c r="I581">
        <v>1.9</v>
      </c>
      <c r="J581">
        <v>0.45700000000000002</v>
      </c>
      <c r="K581">
        <v>0.1</v>
      </c>
      <c r="L581">
        <v>0.5</v>
      </c>
      <c r="M581">
        <v>0.105</v>
      </c>
      <c r="N581">
        <v>0.4</v>
      </c>
      <c r="O581">
        <v>1.1000000000000001</v>
      </c>
      <c r="P581">
        <v>0.34200000000000003</v>
      </c>
      <c r="Q581">
        <v>1.1000000000000001</v>
      </c>
      <c r="R581">
        <v>1.6</v>
      </c>
      <c r="S581">
        <v>2.7</v>
      </c>
      <c r="T581">
        <v>0.9</v>
      </c>
      <c r="U581">
        <v>0.3</v>
      </c>
      <c r="V581">
        <v>0.2</v>
      </c>
      <c r="W581">
        <v>0.4</v>
      </c>
      <c r="X581">
        <v>1.3</v>
      </c>
      <c r="Y581">
        <v>2.2000000000000002</v>
      </c>
      <c r="AP581">
        <v>0.9</v>
      </c>
      <c r="AQ581">
        <v>1.9</v>
      </c>
      <c r="AR581">
        <v>0.1</v>
      </c>
      <c r="AS581">
        <v>0.5</v>
      </c>
      <c r="AT581">
        <v>0.4</v>
      </c>
      <c r="AU581">
        <v>1.1000000000000001</v>
      </c>
      <c r="AV581">
        <v>2.7</v>
      </c>
      <c r="AW581">
        <v>0.9</v>
      </c>
      <c r="AX581">
        <v>2.2000000000000002</v>
      </c>
    </row>
    <row r="582" spans="1:50" x14ac:dyDescent="0.2">
      <c r="A582" s="1" t="s">
        <v>534</v>
      </c>
      <c r="B582" s="1" t="s">
        <v>23</v>
      </c>
      <c r="C582">
        <v>25</v>
      </c>
      <c r="D582" s="1" t="s">
        <v>44</v>
      </c>
      <c r="E582">
        <v>21</v>
      </c>
      <c r="F582">
        <v>2</v>
      </c>
      <c r="G582">
        <v>7.7</v>
      </c>
      <c r="H582">
        <v>0.7</v>
      </c>
      <c r="I582">
        <v>2.5</v>
      </c>
      <c r="J582">
        <v>0.26900000000000002</v>
      </c>
      <c r="K582">
        <v>0.3</v>
      </c>
      <c r="L582">
        <v>1.6</v>
      </c>
      <c r="M582">
        <v>0.21199999999999999</v>
      </c>
      <c r="N582">
        <v>0.5</v>
      </c>
      <c r="O582">
        <v>0.6</v>
      </c>
      <c r="P582">
        <v>0.84599999999999997</v>
      </c>
      <c r="Q582">
        <v>0.2</v>
      </c>
      <c r="R582">
        <v>1.5</v>
      </c>
      <c r="S582">
        <v>1.7</v>
      </c>
      <c r="T582">
        <v>0.8</v>
      </c>
      <c r="U582">
        <v>0.1</v>
      </c>
      <c r="V582">
        <v>0</v>
      </c>
      <c r="W582">
        <v>0.2</v>
      </c>
      <c r="X582">
        <v>0.6</v>
      </c>
      <c r="Y582">
        <v>2.2000000000000002</v>
      </c>
      <c r="AP582">
        <v>0.7</v>
      </c>
      <c r="AQ582">
        <v>2.5</v>
      </c>
      <c r="AR582">
        <v>0.3</v>
      </c>
      <c r="AS582">
        <v>1.6</v>
      </c>
      <c r="AT582">
        <v>0.5</v>
      </c>
      <c r="AU582">
        <v>0.6</v>
      </c>
      <c r="AV582">
        <v>1.7</v>
      </c>
      <c r="AW582">
        <v>0.8</v>
      </c>
      <c r="AX582">
        <v>2.2000000000000002</v>
      </c>
    </row>
    <row r="583" spans="1:50" x14ac:dyDescent="0.2">
      <c r="A583" s="1" t="s">
        <v>535</v>
      </c>
      <c r="B583" s="1" t="s">
        <v>31</v>
      </c>
      <c r="C583">
        <v>23</v>
      </c>
      <c r="D583" s="1" t="s">
        <v>70</v>
      </c>
      <c r="E583">
        <v>34</v>
      </c>
      <c r="F583">
        <v>0</v>
      </c>
      <c r="G583">
        <v>5.4</v>
      </c>
      <c r="H583">
        <v>0.6</v>
      </c>
      <c r="I583">
        <v>1.9</v>
      </c>
      <c r="J583">
        <v>0.34899999999999998</v>
      </c>
      <c r="K583">
        <v>0.5</v>
      </c>
      <c r="L583">
        <v>1.6</v>
      </c>
      <c r="M583">
        <v>0.33300000000000002</v>
      </c>
      <c r="N583">
        <v>0.3</v>
      </c>
      <c r="O583">
        <v>0.3</v>
      </c>
      <c r="P583">
        <v>0.9</v>
      </c>
      <c r="Q583">
        <v>0.2</v>
      </c>
      <c r="R583">
        <v>0.6</v>
      </c>
      <c r="S583">
        <v>0.8</v>
      </c>
      <c r="T583">
        <v>0.4</v>
      </c>
      <c r="U583">
        <v>0.1</v>
      </c>
      <c r="V583">
        <v>0.1</v>
      </c>
      <c r="W583">
        <v>0.1</v>
      </c>
      <c r="X583">
        <v>0.6</v>
      </c>
      <c r="Y583">
        <v>2.1</v>
      </c>
      <c r="AP583">
        <v>0.6</v>
      </c>
      <c r="AQ583">
        <v>1.9</v>
      </c>
      <c r="AR583">
        <v>0.5</v>
      </c>
      <c r="AS583">
        <v>1.6</v>
      </c>
      <c r="AT583">
        <v>0.3</v>
      </c>
      <c r="AU583">
        <v>0.3</v>
      </c>
      <c r="AV583">
        <v>0.8</v>
      </c>
      <c r="AW583">
        <v>0.4</v>
      </c>
      <c r="AX583">
        <v>2.1</v>
      </c>
    </row>
    <row r="584" spans="1:50" x14ac:dyDescent="0.2">
      <c r="A584" s="1" t="s">
        <v>535</v>
      </c>
      <c r="B584" s="1" t="s">
        <v>31</v>
      </c>
      <c r="C584">
        <v>23</v>
      </c>
      <c r="D584" s="1" t="s">
        <v>29</v>
      </c>
      <c r="E584">
        <v>32</v>
      </c>
      <c r="F584">
        <v>0</v>
      </c>
      <c r="G584">
        <v>5.4</v>
      </c>
      <c r="H584">
        <v>0.6</v>
      </c>
      <c r="I584">
        <v>1.9</v>
      </c>
      <c r="J584">
        <v>0.33300000000000002</v>
      </c>
      <c r="K584">
        <v>0.5</v>
      </c>
      <c r="L584">
        <v>1.6</v>
      </c>
      <c r="M584">
        <v>0.314</v>
      </c>
      <c r="N584">
        <v>0.3</v>
      </c>
      <c r="O584">
        <v>0.3</v>
      </c>
      <c r="P584">
        <v>0.9</v>
      </c>
      <c r="Q584">
        <v>0.2</v>
      </c>
      <c r="R584">
        <v>0.7</v>
      </c>
      <c r="S584">
        <v>0.9</v>
      </c>
      <c r="T584">
        <v>0.3</v>
      </c>
      <c r="U584">
        <v>0.1</v>
      </c>
      <c r="V584">
        <v>0.1</v>
      </c>
      <c r="W584">
        <v>0.1</v>
      </c>
      <c r="X584">
        <v>0.6</v>
      </c>
      <c r="Y584">
        <v>2</v>
      </c>
      <c r="AP584">
        <v>0.6</v>
      </c>
      <c r="AQ584">
        <v>1.9</v>
      </c>
      <c r="AR584">
        <v>0.5</v>
      </c>
      <c r="AS584">
        <v>1.6</v>
      </c>
      <c r="AT584">
        <v>0.3</v>
      </c>
      <c r="AU584">
        <v>0.3</v>
      </c>
      <c r="AV584">
        <v>0.9</v>
      </c>
      <c r="AW584">
        <v>0.3</v>
      </c>
      <c r="AX584">
        <v>2</v>
      </c>
    </row>
    <row r="585" spans="1:50" x14ac:dyDescent="0.2">
      <c r="A585" s="1" t="s">
        <v>536</v>
      </c>
      <c r="B585" s="1" t="s">
        <v>23</v>
      </c>
      <c r="C585">
        <v>39</v>
      </c>
      <c r="D585" s="1" t="s">
        <v>57</v>
      </c>
      <c r="E585">
        <v>29</v>
      </c>
      <c r="F585">
        <v>0</v>
      </c>
      <c r="G585">
        <v>5.2</v>
      </c>
      <c r="H585">
        <v>0.8</v>
      </c>
      <c r="I585">
        <v>2.1</v>
      </c>
      <c r="J585">
        <v>0.38300000000000001</v>
      </c>
      <c r="K585">
        <v>0.4</v>
      </c>
      <c r="L585">
        <v>1.4</v>
      </c>
      <c r="M585">
        <v>0.3</v>
      </c>
      <c r="N585">
        <v>0.1</v>
      </c>
      <c r="O585">
        <v>0.1</v>
      </c>
      <c r="P585">
        <v>1</v>
      </c>
      <c r="Q585">
        <v>0.2</v>
      </c>
      <c r="R585">
        <v>0.5</v>
      </c>
      <c r="S585">
        <v>0.7</v>
      </c>
      <c r="T585">
        <v>0.2</v>
      </c>
      <c r="U585">
        <v>0</v>
      </c>
      <c r="V585">
        <v>0</v>
      </c>
      <c r="W585">
        <v>0</v>
      </c>
      <c r="X585">
        <v>0.3</v>
      </c>
      <c r="Y585">
        <v>2.1</v>
      </c>
      <c r="AP585">
        <v>0.8</v>
      </c>
      <c r="AQ585">
        <v>2.1</v>
      </c>
      <c r="AR585">
        <v>0.4</v>
      </c>
      <c r="AS585">
        <v>1.4</v>
      </c>
      <c r="AT585">
        <v>0.1</v>
      </c>
      <c r="AU585">
        <v>0.1</v>
      </c>
      <c r="AV585">
        <v>0.7</v>
      </c>
      <c r="AW585">
        <v>0.2</v>
      </c>
      <c r="AX585">
        <v>2.1</v>
      </c>
    </row>
    <row r="586" spans="1:50" x14ac:dyDescent="0.2">
      <c r="A586" s="1" t="s">
        <v>537</v>
      </c>
      <c r="B586" s="1" t="s">
        <v>43</v>
      </c>
      <c r="C586">
        <v>23</v>
      </c>
      <c r="D586" s="1" t="s">
        <v>55</v>
      </c>
      <c r="E586">
        <v>53</v>
      </c>
      <c r="F586">
        <v>4</v>
      </c>
      <c r="G586">
        <v>8.8000000000000007</v>
      </c>
      <c r="H586">
        <v>0.8</v>
      </c>
      <c r="I586">
        <v>1.4</v>
      </c>
      <c r="J586">
        <v>0.56899999999999995</v>
      </c>
      <c r="K586">
        <v>0</v>
      </c>
      <c r="L586">
        <v>0.1</v>
      </c>
      <c r="M586">
        <v>0.25</v>
      </c>
      <c r="N586">
        <v>0.5</v>
      </c>
      <c r="O586">
        <v>0.6</v>
      </c>
      <c r="P586">
        <v>0.78800000000000003</v>
      </c>
      <c r="Q586">
        <v>1</v>
      </c>
      <c r="R586">
        <v>1.8</v>
      </c>
      <c r="S586">
        <v>2.8</v>
      </c>
      <c r="T586">
        <v>0.5</v>
      </c>
      <c r="U586">
        <v>0.2</v>
      </c>
      <c r="V586">
        <v>0.5</v>
      </c>
      <c r="W586">
        <v>0.5</v>
      </c>
      <c r="X586">
        <v>1.2</v>
      </c>
      <c r="Y586">
        <v>2.1</v>
      </c>
      <c r="AP586">
        <v>0.8</v>
      </c>
      <c r="AQ586">
        <v>1.4</v>
      </c>
      <c r="AR586">
        <v>0</v>
      </c>
      <c r="AS586">
        <v>0.1</v>
      </c>
      <c r="AT586">
        <v>0.5</v>
      </c>
      <c r="AU586">
        <v>0.6</v>
      </c>
      <c r="AV586">
        <v>2.8</v>
      </c>
      <c r="AW586">
        <v>0.5</v>
      </c>
      <c r="AX586">
        <v>2.1</v>
      </c>
    </row>
    <row r="587" spans="1:50" x14ac:dyDescent="0.2">
      <c r="A587" s="1" t="s">
        <v>538</v>
      </c>
      <c r="B587" s="1" t="s">
        <v>31</v>
      </c>
      <c r="C587">
        <v>24</v>
      </c>
      <c r="D587" s="1" t="s">
        <v>32</v>
      </c>
      <c r="E587">
        <v>21</v>
      </c>
      <c r="F587">
        <v>0</v>
      </c>
      <c r="G587">
        <v>4.2</v>
      </c>
      <c r="H587">
        <v>0.8</v>
      </c>
      <c r="I587">
        <v>1.8</v>
      </c>
      <c r="J587">
        <v>0.42099999999999999</v>
      </c>
      <c r="K587">
        <v>0.3</v>
      </c>
      <c r="L587">
        <v>1.1000000000000001</v>
      </c>
      <c r="M587">
        <v>0.25</v>
      </c>
      <c r="N587">
        <v>0.2</v>
      </c>
      <c r="O587">
        <v>0.4</v>
      </c>
      <c r="P587">
        <v>0.625</v>
      </c>
      <c r="Q587">
        <v>0.2</v>
      </c>
      <c r="R587">
        <v>0.6</v>
      </c>
      <c r="S587">
        <v>0.8</v>
      </c>
      <c r="T587">
        <v>0.3</v>
      </c>
      <c r="U587">
        <v>0.1</v>
      </c>
      <c r="V587">
        <v>0</v>
      </c>
      <c r="W587">
        <v>0.2</v>
      </c>
      <c r="X587">
        <v>0.1</v>
      </c>
      <c r="Y587">
        <v>2</v>
      </c>
      <c r="AP587">
        <v>0.8</v>
      </c>
      <c r="AQ587">
        <v>1.8</v>
      </c>
      <c r="AR587">
        <v>0.3</v>
      </c>
      <c r="AS587">
        <v>1.1000000000000001</v>
      </c>
      <c r="AT587">
        <v>0.2</v>
      </c>
      <c r="AU587">
        <v>0.4</v>
      </c>
      <c r="AV587">
        <v>0.8</v>
      </c>
      <c r="AW587">
        <v>0.3</v>
      </c>
      <c r="AX587">
        <v>2</v>
      </c>
    </row>
    <row r="588" spans="1:50" x14ac:dyDescent="0.2">
      <c r="A588" s="1" t="s">
        <v>539</v>
      </c>
      <c r="B588" s="1" t="s">
        <v>23</v>
      </c>
      <c r="C588">
        <v>34</v>
      </c>
      <c r="D588" s="1" t="s">
        <v>27</v>
      </c>
      <c r="E588">
        <v>42</v>
      </c>
      <c r="F588">
        <v>1</v>
      </c>
      <c r="G588">
        <v>10.6</v>
      </c>
      <c r="H588">
        <v>0.8</v>
      </c>
      <c r="I588">
        <v>1.7</v>
      </c>
      <c r="J588">
        <v>0.45100000000000001</v>
      </c>
      <c r="K588">
        <v>0.1</v>
      </c>
      <c r="L588">
        <v>0.6</v>
      </c>
      <c r="M588">
        <v>0.23100000000000001</v>
      </c>
      <c r="N588">
        <v>0.3</v>
      </c>
      <c r="O588">
        <v>0.6</v>
      </c>
      <c r="P588">
        <v>0.53800000000000003</v>
      </c>
      <c r="Q588">
        <v>0.8</v>
      </c>
      <c r="R588">
        <v>1.1000000000000001</v>
      </c>
      <c r="S588">
        <v>1.9</v>
      </c>
      <c r="T588">
        <v>0.6</v>
      </c>
      <c r="U588">
        <v>0.4</v>
      </c>
      <c r="V588">
        <v>0.2</v>
      </c>
      <c r="W588">
        <v>0.4</v>
      </c>
      <c r="X588">
        <v>1.4</v>
      </c>
      <c r="Y588">
        <v>2</v>
      </c>
      <c r="AP588">
        <v>0.8</v>
      </c>
      <c r="AQ588">
        <v>1.7</v>
      </c>
      <c r="AR588">
        <v>0.1</v>
      </c>
      <c r="AS588">
        <v>0.6</v>
      </c>
      <c r="AT588">
        <v>0.3</v>
      </c>
      <c r="AU588">
        <v>0.6</v>
      </c>
      <c r="AV588">
        <v>1.9</v>
      </c>
      <c r="AW588">
        <v>0.6</v>
      </c>
      <c r="AX588">
        <v>2</v>
      </c>
    </row>
    <row r="589" spans="1:50" x14ac:dyDescent="0.2">
      <c r="A589" s="1" t="s">
        <v>540</v>
      </c>
      <c r="B589" s="1" t="s">
        <v>26</v>
      </c>
      <c r="C589">
        <v>29</v>
      </c>
      <c r="D589" s="1" t="s">
        <v>60</v>
      </c>
      <c r="E589">
        <v>43</v>
      </c>
      <c r="F589">
        <v>0</v>
      </c>
      <c r="G589">
        <v>6.5</v>
      </c>
      <c r="H589">
        <v>0.7</v>
      </c>
      <c r="I589">
        <v>1.8</v>
      </c>
      <c r="J589">
        <v>0.41</v>
      </c>
      <c r="K589">
        <v>0.4</v>
      </c>
      <c r="L589">
        <v>0.9</v>
      </c>
      <c r="M589">
        <v>0.42499999999999999</v>
      </c>
      <c r="N589">
        <v>0.1</v>
      </c>
      <c r="O589">
        <v>0.2</v>
      </c>
      <c r="P589">
        <v>0.85699999999999998</v>
      </c>
      <c r="Q589">
        <v>0.1</v>
      </c>
      <c r="R589">
        <v>0.6</v>
      </c>
      <c r="S589">
        <v>0.7</v>
      </c>
      <c r="T589">
        <v>0.9</v>
      </c>
      <c r="U589">
        <v>0.5</v>
      </c>
      <c r="V589">
        <v>0</v>
      </c>
      <c r="W589">
        <v>0.3</v>
      </c>
      <c r="X589">
        <v>0.3</v>
      </c>
      <c r="Y589">
        <v>2</v>
      </c>
      <c r="AP589">
        <v>0.7</v>
      </c>
      <c r="AQ589">
        <v>1.8</v>
      </c>
      <c r="AR589">
        <v>0.4</v>
      </c>
      <c r="AS589">
        <v>0.9</v>
      </c>
      <c r="AT589">
        <v>0.1</v>
      </c>
      <c r="AU589">
        <v>0.2</v>
      </c>
      <c r="AV589">
        <v>0.7</v>
      </c>
      <c r="AW589">
        <v>0.9</v>
      </c>
      <c r="AX589">
        <v>2</v>
      </c>
    </row>
    <row r="590" spans="1:50" x14ac:dyDescent="0.2">
      <c r="A590" s="1" t="s">
        <v>541</v>
      </c>
      <c r="B590" s="1" t="s">
        <v>34</v>
      </c>
      <c r="C590">
        <v>22</v>
      </c>
      <c r="D590" s="1" t="s">
        <v>64</v>
      </c>
      <c r="E590">
        <v>12</v>
      </c>
      <c r="F590">
        <v>0</v>
      </c>
      <c r="G590">
        <v>5.9</v>
      </c>
      <c r="H590">
        <v>0.8</v>
      </c>
      <c r="I590">
        <v>2.2999999999999998</v>
      </c>
      <c r="J590">
        <v>0.33300000000000002</v>
      </c>
      <c r="K590">
        <v>0.3</v>
      </c>
      <c r="L590">
        <v>1.1000000000000001</v>
      </c>
      <c r="M590">
        <v>0.308</v>
      </c>
      <c r="N590">
        <v>0</v>
      </c>
      <c r="O590">
        <v>0.3</v>
      </c>
      <c r="P590">
        <v>0</v>
      </c>
      <c r="Q590">
        <v>0.4</v>
      </c>
      <c r="R590">
        <v>1.2</v>
      </c>
      <c r="S590">
        <v>1.6</v>
      </c>
      <c r="T590">
        <v>0.5</v>
      </c>
      <c r="U590">
        <v>0.3</v>
      </c>
      <c r="V590">
        <v>0</v>
      </c>
      <c r="W590">
        <v>0.5</v>
      </c>
      <c r="X590">
        <v>0.9</v>
      </c>
      <c r="Y590">
        <v>1.8</v>
      </c>
      <c r="AP590">
        <v>0.8</v>
      </c>
      <c r="AQ590">
        <v>2.2999999999999998</v>
      </c>
      <c r="AR590">
        <v>0.3</v>
      </c>
      <c r="AS590">
        <v>1.1000000000000001</v>
      </c>
      <c r="AT590">
        <v>0</v>
      </c>
      <c r="AU590">
        <v>0.3</v>
      </c>
      <c r="AV590">
        <v>1.6</v>
      </c>
      <c r="AW590">
        <v>0.5</v>
      </c>
      <c r="AX590">
        <v>1.8</v>
      </c>
    </row>
    <row r="591" spans="1:50" x14ac:dyDescent="0.2">
      <c r="A591" s="1" t="s">
        <v>542</v>
      </c>
      <c r="B591" s="1" t="s">
        <v>23</v>
      </c>
      <c r="C591">
        <v>27</v>
      </c>
      <c r="D591" s="1" t="s">
        <v>53</v>
      </c>
      <c r="E591">
        <v>36</v>
      </c>
      <c r="F591">
        <v>0</v>
      </c>
      <c r="G591">
        <v>9.6</v>
      </c>
      <c r="H591">
        <v>0.6</v>
      </c>
      <c r="I591">
        <v>1.8</v>
      </c>
      <c r="J591">
        <v>0.34399999999999997</v>
      </c>
      <c r="K591">
        <v>0.3</v>
      </c>
      <c r="L591">
        <v>1.1000000000000001</v>
      </c>
      <c r="M591">
        <v>0.3</v>
      </c>
      <c r="N591">
        <v>0.3</v>
      </c>
      <c r="O591">
        <v>0.3</v>
      </c>
      <c r="P591">
        <v>0.75</v>
      </c>
      <c r="Q591">
        <v>0.5</v>
      </c>
      <c r="R591">
        <v>1.2</v>
      </c>
      <c r="S591">
        <v>1.7</v>
      </c>
      <c r="T591">
        <v>0.6</v>
      </c>
      <c r="U591">
        <v>0.4</v>
      </c>
      <c r="V591">
        <v>0.2</v>
      </c>
      <c r="W591">
        <v>0.3</v>
      </c>
      <c r="X591">
        <v>0.8</v>
      </c>
      <c r="Y591">
        <v>1.8</v>
      </c>
      <c r="AP591">
        <v>0.6</v>
      </c>
      <c r="AQ591">
        <v>1.8</v>
      </c>
      <c r="AR591">
        <v>0.3</v>
      </c>
      <c r="AS591">
        <v>1.1000000000000001</v>
      </c>
      <c r="AT591">
        <v>0.3</v>
      </c>
      <c r="AU591">
        <v>0.3</v>
      </c>
      <c r="AV591">
        <v>1.7</v>
      </c>
      <c r="AW591">
        <v>0.6</v>
      </c>
      <c r="AX591">
        <v>1.8</v>
      </c>
    </row>
    <row r="592" spans="1:50" x14ac:dyDescent="0.2">
      <c r="A592" s="1" t="s">
        <v>543</v>
      </c>
      <c r="B592" s="1" t="s">
        <v>34</v>
      </c>
      <c r="C592">
        <v>24</v>
      </c>
      <c r="D592" s="1" t="s">
        <v>55</v>
      </c>
      <c r="E592">
        <v>20</v>
      </c>
      <c r="F592">
        <v>0</v>
      </c>
      <c r="G592">
        <v>6.5</v>
      </c>
      <c r="H592">
        <v>0.7</v>
      </c>
      <c r="I592">
        <v>1.8</v>
      </c>
      <c r="J592">
        <v>0.38900000000000001</v>
      </c>
      <c r="K592">
        <v>0.3</v>
      </c>
      <c r="L592">
        <v>0.9</v>
      </c>
      <c r="M592">
        <v>0.33300000000000002</v>
      </c>
      <c r="N592">
        <v>0.1</v>
      </c>
      <c r="O592">
        <v>0.3</v>
      </c>
      <c r="P592">
        <v>0.4</v>
      </c>
      <c r="Q592">
        <v>0.5</v>
      </c>
      <c r="R592">
        <v>0.8</v>
      </c>
      <c r="S592">
        <v>1.3</v>
      </c>
      <c r="T592">
        <v>1</v>
      </c>
      <c r="U592">
        <v>0.4</v>
      </c>
      <c r="V592">
        <v>0</v>
      </c>
      <c r="W592">
        <v>0.6</v>
      </c>
      <c r="X592">
        <v>0.9</v>
      </c>
      <c r="Y592">
        <v>1.8</v>
      </c>
      <c r="AP592">
        <v>0.7</v>
      </c>
      <c r="AQ592">
        <v>1.8</v>
      </c>
      <c r="AR592">
        <v>0.3</v>
      </c>
      <c r="AS592">
        <v>0.9</v>
      </c>
      <c r="AT592">
        <v>0.1</v>
      </c>
      <c r="AU592">
        <v>0.3</v>
      </c>
      <c r="AV592">
        <v>1.3</v>
      </c>
      <c r="AW592">
        <v>1</v>
      </c>
      <c r="AX592">
        <v>1.8</v>
      </c>
    </row>
    <row r="593" spans="1:50" x14ac:dyDescent="0.2">
      <c r="A593" s="1" t="s">
        <v>544</v>
      </c>
      <c r="B593" s="1" t="s">
        <v>26</v>
      </c>
      <c r="C593">
        <v>25</v>
      </c>
      <c r="D593" s="1" t="s">
        <v>79</v>
      </c>
      <c r="E593">
        <v>13</v>
      </c>
      <c r="F593">
        <v>0</v>
      </c>
      <c r="G593">
        <v>4.2</v>
      </c>
      <c r="H593">
        <v>0.7</v>
      </c>
      <c r="I593">
        <v>1.8</v>
      </c>
      <c r="J593">
        <v>0.375</v>
      </c>
      <c r="K593">
        <v>0.2</v>
      </c>
      <c r="L593">
        <v>0.6</v>
      </c>
      <c r="M593">
        <v>0.25</v>
      </c>
      <c r="N593">
        <v>0.2</v>
      </c>
      <c r="O593">
        <v>0.2</v>
      </c>
      <c r="P593">
        <v>1</v>
      </c>
      <c r="Q593">
        <v>0.2</v>
      </c>
      <c r="R593">
        <v>0.2</v>
      </c>
      <c r="S593">
        <v>0.3</v>
      </c>
      <c r="T593">
        <v>0.6</v>
      </c>
      <c r="U593">
        <v>0.1</v>
      </c>
      <c r="V593">
        <v>0</v>
      </c>
      <c r="W593">
        <v>0.2</v>
      </c>
      <c r="X593">
        <v>0.5</v>
      </c>
      <c r="Y593">
        <v>1.7</v>
      </c>
      <c r="AP593">
        <v>0.7</v>
      </c>
      <c r="AQ593">
        <v>1.8</v>
      </c>
      <c r="AR593">
        <v>0.2</v>
      </c>
      <c r="AS593">
        <v>0.6</v>
      </c>
      <c r="AT593">
        <v>0.2</v>
      </c>
      <c r="AU593">
        <v>0.2</v>
      </c>
      <c r="AV593">
        <v>0.3</v>
      </c>
      <c r="AW593">
        <v>0.6</v>
      </c>
      <c r="AX593">
        <v>1.7</v>
      </c>
    </row>
    <row r="594" spans="1:50" x14ac:dyDescent="0.2">
      <c r="A594" s="1" t="s">
        <v>545</v>
      </c>
      <c r="B594" s="1" t="s">
        <v>31</v>
      </c>
      <c r="C594">
        <v>23</v>
      </c>
      <c r="D594" s="1" t="s">
        <v>29</v>
      </c>
      <c r="E594">
        <v>39</v>
      </c>
      <c r="F594">
        <v>0</v>
      </c>
      <c r="G594">
        <v>8.3000000000000007</v>
      </c>
      <c r="H594">
        <v>0.6</v>
      </c>
      <c r="I594">
        <v>1.6</v>
      </c>
      <c r="J594">
        <v>0.39700000000000002</v>
      </c>
      <c r="K594">
        <v>0.2</v>
      </c>
      <c r="L594">
        <v>0.5</v>
      </c>
      <c r="M594">
        <v>0.3</v>
      </c>
      <c r="N594">
        <v>0.2</v>
      </c>
      <c r="O594">
        <v>0.3</v>
      </c>
      <c r="P594">
        <v>0.7</v>
      </c>
      <c r="Q594">
        <v>0.5</v>
      </c>
      <c r="R594">
        <v>1.5</v>
      </c>
      <c r="S594">
        <v>1.9</v>
      </c>
      <c r="T594">
        <v>0.5</v>
      </c>
      <c r="U594">
        <v>0.2</v>
      </c>
      <c r="V594">
        <v>0.1</v>
      </c>
      <c r="W594">
        <v>0.3</v>
      </c>
      <c r="X594">
        <v>0.7</v>
      </c>
      <c r="Y594">
        <v>1.6</v>
      </c>
      <c r="AP594">
        <v>0.6</v>
      </c>
      <c r="AQ594">
        <v>1.6</v>
      </c>
      <c r="AR594">
        <v>0.2</v>
      </c>
      <c r="AS594">
        <v>0.5</v>
      </c>
      <c r="AT594">
        <v>0.2</v>
      </c>
      <c r="AU594">
        <v>0.3</v>
      </c>
      <c r="AV594">
        <v>1.9</v>
      </c>
      <c r="AW594">
        <v>0.5</v>
      </c>
      <c r="AX594">
        <v>1.6</v>
      </c>
    </row>
    <row r="595" spans="1:50" x14ac:dyDescent="0.2">
      <c r="A595" s="1" t="s">
        <v>546</v>
      </c>
      <c r="B595" s="1" t="s">
        <v>34</v>
      </c>
      <c r="C595">
        <v>21</v>
      </c>
      <c r="D595" s="1" t="s">
        <v>27</v>
      </c>
      <c r="E595">
        <v>24</v>
      </c>
      <c r="F595">
        <v>0</v>
      </c>
      <c r="G595">
        <v>5.7</v>
      </c>
      <c r="H595">
        <v>0.5</v>
      </c>
      <c r="I595">
        <v>1.1000000000000001</v>
      </c>
      <c r="J595">
        <v>0.44400000000000001</v>
      </c>
      <c r="K595">
        <v>0</v>
      </c>
      <c r="L595">
        <v>0.1</v>
      </c>
      <c r="M595">
        <v>0.33300000000000002</v>
      </c>
      <c r="N595">
        <v>0.6</v>
      </c>
      <c r="O595">
        <v>0.9</v>
      </c>
      <c r="P595">
        <v>0.63600000000000001</v>
      </c>
      <c r="Q595">
        <v>0.3</v>
      </c>
      <c r="R595">
        <v>0.7</v>
      </c>
      <c r="S595">
        <v>1</v>
      </c>
      <c r="T595">
        <v>0.3</v>
      </c>
      <c r="U595">
        <v>0.3</v>
      </c>
      <c r="V595">
        <v>0.1</v>
      </c>
      <c r="W595">
        <v>0.3</v>
      </c>
      <c r="X595">
        <v>0.7</v>
      </c>
      <c r="Y595">
        <v>1.6</v>
      </c>
      <c r="AP595">
        <v>0.5</v>
      </c>
      <c r="AQ595">
        <v>1.1000000000000001</v>
      </c>
      <c r="AR595">
        <v>0</v>
      </c>
      <c r="AS595">
        <v>0.1</v>
      </c>
      <c r="AT595">
        <v>0.6</v>
      </c>
      <c r="AU595">
        <v>0.9</v>
      </c>
      <c r="AV595">
        <v>1</v>
      </c>
      <c r="AW595">
        <v>0.3</v>
      </c>
      <c r="AX595">
        <v>1.6</v>
      </c>
    </row>
    <row r="596" spans="1:50" x14ac:dyDescent="0.2">
      <c r="A596" s="1" t="s">
        <v>547</v>
      </c>
      <c r="B596" s="1" t="s">
        <v>43</v>
      </c>
      <c r="C596">
        <v>27</v>
      </c>
      <c r="D596" s="1" t="s">
        <v>70</v>
      </c>
      <c r="E596">
        <v>30</v>
      </c>
      <c r="F596">
        <v>1</v>
      </c>
      <c r="G596">
        <v>6.1</v>
      </c>
      <c r="H596">
        <v>0.7</v>
      </c>
      <c r="I596">
        <v>1.5</v>
      </c>
      <c r="J596">
        <v>0.435</v>
      </c>
      <c r="K596">
        <v>0.1</v>
      </c>
      <c r="L596">
        <v>0.6</v>
      </c>
      <c r="M596">
        <v>0.16700000000000001</v>
      </c>
      <c r="N596">
        <v>0</v>
      </c>
      <c r="O596">
        <v>0.1</v>
      </c>
      <c r="P596">
        <v>0.25</v>
      </c>
      <c r="Q596">
        <v>0.6</v>
      </c>
      <c r="R596">
        <v>0.8</v>
      </c>
      <c r="S596">
        <v>1.4</v>
      </c>
      <c r="T596">
        <v>0.4</v>
      </c>
      <c r="U596">
        <v>0.3</v>
      </c>
      <c r="V596">
        <v>0.2</v>
      </c>
      <c r="W596">
        <v>0.3</v>
      </c>
      <c r="X596">
        <v>0.5</v>
      </c>
      <c r="Y596">
        <v>1.5</v>
      </c>
      <c r="AP596">
        <v>0.7</v>
      </c>
      <c r="AQ596">
        <v>1.5</v>
      </c>
      <c r="AR596">
        <v>0.1</v>
      </c>
      <c r="AS596">
        <v>0.6</v>
      </c>
      <c r="AT596">
        <v>0</v>
      </c>
      <c r="AU596">
        <v>0.1</v>
      </c>
      <c r="AV596">
        <v>1.4</v>
      </c>
      <c r="AW596">
        <v>0.4</v>
      </c>
      <c r="AX596">
        <v>1.5</v>
      </c>
    </row>
    <row r="597" spans="1:50" x14ac:dyDescent="0.2">
      <c r="A597" s="1" t="s">
        <v>547</v>
      </c>
      <c r="B597" s="1" t="s">
        <v>43</v>
      </c>
      <c r="C597">
        <v>27</v>
      </c>
      <c r="D597" s="1" t="s">
        <v>35</v>
      </c>
      <c r="E597">
        <v>14</v>
      </c>
      <c r="F597">
        <v>1</v>
      </c>
      <c r="G597">
        <v>7.9</v>
      </c>
      <c r="H597">
        <v>1</v>
      </c>
      <c r="I597">
        <v>2.2000000000000002</v>
      </c>
      <c r="J597">
        <v>0.45200000000000001</v>
      </c>
      <c r="K597">
        <v>0.2</v>
      </c>
      <c r="L597">
        <v>1.1000000000000001</v>
      </c>
      <c r="M597">
        <v>0.2</v>
      </c>
      <c r="N597">
        <v>0</v>
      </c>
      <c r="O597">
        <v>0</v>
      </c>
      <c r="Q597">
        <v>0.7</v>
      </c>
      <c r="R597">
        <v>1.1000000000000001</v>
      </c>
      <c r="S597">
        <v>1.8</v>
      </c>
      <c r="T597">
        <v>0.4</v>
      </c>
      <c r="U597">
        <v>0.4</v>
      </c>
      <c r="V597">
        <v>0.1</v>
      </c>
      <c r="W597">
        <v>0.4</v>
      </c>
      <c r="X597">
        <v>0.6</v>
      </c>
      <c r="Y597">
        <v>2.2000000000000002</v>
      </c>
      <c r="AP597">
        <v>1</v>
      </c>
      <c r="AQ597">
        <v>2.2000000000000002</v>
      </c>
      <c r="AR597">
        <v>0.2</v>
      </c>
      <c r="AS597">
        <v>1.1000000000000001</v>
      </c>
      <c r="AT597">
        <v>0</v>
      </c>
      <c r="AU597">
        <v>0</v>
      </c>
      <c r="AV597">
        <v>1.8</v>
      </c>
      <c r="AW597">
        <v>0.4</v>
      </c>
      <c r="AX597">
        <v>2.2000000000000002</v>
      </c>
    </row>
    <row r="598" spans="1:50" x14ac:dyDescent="0.2">
      <c r="A598" s="1" t="s">
        <v>547</v>
      </c>
      <c r="B598" s="1" t="s">
        <v>43</v>
      </c>
      <c r="C598">
        <v>27</v>
      </c>
      <c r="D598" s="1" t="s">
        <v>98</v>
      </c>
      <c r="E598">
        <v>16</v>
      </c>
      <c r="F598">
        <v>0</v>
      </c>
      <c r="G598">
        <v>4.5</v>
      </c>
      <c r="H598">
        <v>0.4</v>
      </c>
      <c r="I598">
        <v>0.9</v>
      </c>
      <c r="J598">
        <v>0.4</v>
      </c>
      <c r="K598">
        <v>0</v>
      </c>
      <c r="L598">
        <v>0.2</v>
      </c>
      <c r="M598">
        <v>0</v>
      </c>
      <c r="N598">
        <v>0.1</v>
      </c>
      <c r="O598">
        <v>0.3</v>
      </c>
      <c r="P598">
        <v>0.25</v>
      </c>
      <c r="Q598">
        <v>0.6</v>
      </c>
      <c r="R598">
        <v>0.6</v>
      </c>
      <c r="S598">
        <v>1.1000000000000001</v>
      </c>
      <c r="T598">
        <v>0.5</v>
      </c>
      <c r="U598">
        <v>0.2</v>
      </c>
      <c r="V598">
        <v>0.2</v>
      </c>
      <c r="W598">
        <v>0.2</v>
      </c>
      <c r="X598">
        <v>0.4</v>
      </c>
      <c r="Y598">
        <v>0.8</v>
      </c>
      <c r="AP598">
        <v>0.4</v>
      </c>
      <c r="AQ598">
        <v>0.9</v>
      </c>
      <c r="AR598">
        <v>0</v>
      </c>
      <c r="AS598">
        <v>0.2</v>
      </c>
      <c r="AT598">
        <v>0.1</v>
      </c>
      <c r="AU598">
        <v>0.3</v>
      </c>
      <c r="AV598">
        <v>1.1000000000000001</v>
      </c>
      <c r="AW598">
        <v>0.5</v>
      </c>
      <c r="AX598">
        <v>0.8</v>
      </c>
    </row>
    <row r="599" spans="1:50" x14ac:dyDescent="0.2">
      <c r="A599" s="1" t="s">
        <v>548</v>
      </c>
      <c r="B599" s="1" t="s">
        <v>43</v>
      </c>
      <c r="C599">
        <v>35</v>
      </c>
      <c r="D599" s="1" t="s">
        <v>70</v>
      </c>
      <c r="E599">
        <v>19</v>
      </c>
      <c r="F599">
        <v>2</v>
      </c>
      <c r="G599">
        <v>8.1999999999999993</v>
      </c>
      <c r="H599">
        <v>0.5</v>
      </c>
      <c r="I599">
        <v>0.7</v>
      </c>
      <c r="J599">
        <v>0.76900000000000002</v>
      </c>
      <c r="K599">
        <v>0</v>
      </c>
      <c r="L599">
        <v>0</v>
      </c>
      <c r="N599">
        <v>0.5</v>
      </c>
      <c r="O599">
        <v>0.7</v>
      </c>
      <c r="P599">
        <v>0.64300000000000002</v>
      </c>
      <c r="Q599">
        <v>0.8</v>
      </c>
      <c r="R599">
        <v>1.8</v>
      </c>
      <c r="S599">
        <v>2.6</v>
      </c>
      <c r="T599">
        <v>1</v>
      </c>
      <c r="U599">
        <v>0.5</v>
      </c>
      <c r="V599">
        <v>0</v>
      </c>
      <c r="W599">
        <v>0.6</v>
      </c>
      <c r="X599">
        <v>0.8</v>
      </c>
      <c r="Y599">
        <v>1.5</v>
      </c>
      <c r="AP599">
        <v>0.5</v>
      </c>
      <c r="AQ599">
        <v>0.7</v>
      </c>
      <c r="AR599">
        <v>0</v>
      </c>
      <c r="AS599">
        <v>0</v>
      </c>
      <c r="AT599">
        <v>0.5</v>
      </c>
      <c r="AU599">
        <v>0.7</v>
      </c>
      <c r="AV599">
        <v>2.6</v>
      </c>
      <c r="AW599">
        <v>1</v>
      </c>
      <c r="AX599">
        <v>1.5</v>
      </c>
    </row>
    <row r="600" spans="1:50" x14ac:dyDescent="0.2">
      <c r="A600" s="1" t="s">
        <v>548</v>
      </c>
      <c r="B600" s="1" t="s">
        <v>43</v>
      </c>
      <c r="C600">
        <v>35</v>
      </c>
      <c r="D600" s="1" t="s">
        <v>98</v>
      </c>
      <c r="E600">
        <v>14</v>
      </c>
      <c r="F600">
        <v>2</v>
      </c>
      <c r="G600">
        <v>8.9</v>
      </c>
      <c r="H600">
        <v>0.6</v>
      </c>
      <c r="I600">
        <v>0.9</v>
      </c>
      <c r="J600">
        <v>0.75</v>
      </c>
      <c r="K600">
        <v>0</v>
      </c>
      <c r="L600">
        <v>0</v>
      </c>
      <c r="N600">
        <v>0.6</v>
      </c>
      <c r="O600">
        <v>0.9</v>
      </c>
      <c r="P600">
        <v>0.66700000000000004</v>
      </c>
      <c r="Q600">
        <v>0.7</v>
      </c>
      <c r="R600">
        <v>2.1</v>
      </c>
      <c r="S600">
        <v>2.9</v>
      </c>
      <c r="T600">
        <v>1.1000000000000001</v>
      </c>
      <c r="U600">
        <v>0.4</v>
      </c>
      <c r="V600">
        <v>0</v>
      </c>
      <c r="W600">
        <v>0.6</v>
      </c>
      <c r="X600">
        <v>0.7</v>
      </c>
      <c r="Y600">
        <v>1.9</v>
      </c>
      <c r="AP600">
        <v>0.6</v>
      </c>
      <c r="AQ600">
        <v>0.9</v>
      </c>
      <c r="AR600">
        <v>0</v>
      </c>
      <c r="AS600">
        <v>0</v>
      </c>
      <c r="AT600">
        <v>0.6</v>
      </c>
      <c r="AU600">
        <v>0.9</v>
      </c>
      <c r="AV600">
        <v>2.9</v>
      </c>
      <c r="AW600">
        <v>1.1000000000000001</v>
      </c>
      <c r="AX600">
        <v>1.9</v>
      </c>
    </row>
    <row r="601" spans="1:50" x14ac:dyDescent="0.2">
      <c r="A601" s="1" t="s">
        <v>549</v>
      </c>
      <c r="B601" s="1" t="s">
        <v>23</v>
      </c>
      <c r="C601">
        <v>24</v>
      </c>
      <c r="D601" s="1" t="s">
        <v>83</v>
      </c>
      <c r="E601">
        <v>39</v>
      </c>
      <c r="F601">
        <v>0</v>
      </c>
      <c r="G601">
        <v>6.3</v>
      </c>
      <c r="H601">
        <v>0.6</v>
      </c>
      <c r="I601">
        <v>1.1000000000000001</v>
      </c>
      <c r="J601">
        <v>0.58099999999999996</v>
      </c>
      <c r="K601">
        <v>0</v>
      </c>
      <c r="L601">
        <v>0</v>
      </c>
      <c r="M601">
        <v>0</v>
      </c>
      <c r="N601">
        <v>0.2</v>
      </c>
      <c r="O601">
        <v>0.4</v>
      </c>
      <c r="P601">
        <v>0.64300000000000002</v>
      </c>
      <c r="Q601">
        <v>0.5</v>
      </c>
      <c r="R601">
        <v>1.2</v>
      </c>
      <c r="S601">
        <v>1.7</v>
      </c>
      <c r="T601">
        <v>0.6</v>
      </c>
      <c r="U601">
        <v>0.3</v>
      </c>
      <c r="V601">
        <v>0.2</v>
      </c>
      <c r="W601">
        <v>0.4</v>
      </c>
      <c r="X601">
        <v>0.7</v>
      </c>
      <c r="Y601">
        <v>1.5</v>
      </c>
      <c r="AP601">
        <v>0.6</v>
      </c>
      <c r="AQ601">
        <v>1.1000000000000001</v>
      </c>
      <c r="AR601">
        <v>0</v>
      </c>
      <c r="AS601">
        <v>0</v>
      </c>
      <c r="AT601">
        <v>0.2</v>
      </c>
      <c r="AU601">
        <v>0.4</v>
      </c>
      <c r="AV601">
        <v>1.7</v>
      </c>
      <c r="AW601">
        <v>0.6</v>
      </c>
      <c r="AX601">
        <v>1.5</v>
      </c>
    </row>
    <row r="602" spans="1:50" x14ac:dyDescent="0.2">
      <c r="A602" s="1" t="s">
        <v>550</v>
      </c>
      <c r="B602" s="1" t="s">
        <v>34</v>
      </c>
      <c r="C602">
        <v>24</v>
      </c>
      <c r="D602" s="1" t="s">
        <v>57</v>
      </c>
      <c r="E602">
        <v>13</v>
      </c>
      <c r="F602">
        <v>0</v>
      </c>
      <c r="G602">
        <v>5.8</v>
      </c>
      <c r="H602">
        <v>0.5</v>
      </c>
      <c r="I602">
        <v>1.4</v>
      </c>
      <c r="J602">
        <v>0.33300000000000002</v>
      </c>
      <c r="K602">
        <v>0.2</v>
      </c>
      <c r="L602">
        <v>0.8</v>
      </c>
      <c r="M602">
        <v>0.2</v>
      </c>
      <c r="N602">
        <v>0.2</v>
      </c>
      <c r="O602">
        <v>0.3</v>
      </c>
      <c r="P602">
        <v>0.75</v>
      </c>
      <c r="Q602">
        <v>0.2</v>
      </c>
      <c r="R602">
        <v>0.6</v>
      </c>
      <c r="S602">
        <v>0.8</v>
      </c>
      <c r="T602">
        <v>0.3</v>
      </c>
      <c r="U602">
        <v>0.2</v>
      </c>
      <c r="V602">
        <v>0.2</v>
      </c>
      <c r="W602">
        <v>0.2</v>
      </c>
      <c r="X602">
        <v>0.2</v>
      </c>
      <c r="Y602">
        <v>1.3</v>
      </c>
      <c r="AP602">
        <v>0.5</v>
      </c>
      <c r="AQ602">
        <v>1.4</v>
      </c>
      <c r="AR602">
        <v>0.2</v>
      </c>
      <c r="AS602">
        <v>0.8</v>
      </c>
      <c r="AT602">
        <v>0.2</v>
      </c>
      <c r="AU602">
        <v>0.3</v>
      </c>
      <c r="AV602">
        <v>0.8</v>
      </c>
      <c r="AW602">
        <v>0.3</v>
      </c>
      <c r="AX602">
        <v>1.3</v>
      </c>
    </row>
    <row r="603" spans="1:50" x14ac:dyDescent="0.2">
      <c r="A603" s="1" t="s">
        <v>551</v>
      </c>
      <c r="B603" s="1" t="s">
        <v>31</v>
      </c>
      <c r="C603">
        <v>20</v>
      </c>
      <c r="D603" s="1" t="s">
        <v>55</v>
      </c>
      <c r="E603">
        <v>28</v>
      </c>
      <c r="F603">
        <v>0</v>
      </c>
      <c r="G603">
        <v>3.9</v>
      </c>
      <c r="H603">
        <v>0.4</v>
      </c>
      <c r="I603">
        <v>1.3</v>
      </c>
      <c r="J603">
        <v>0.29699999999999999</v>
      </c>
      <c r="K603">
        <v>0.2</v>
      </c>
      <c r="L603">
        <v>1</v>
      </c>
      <c r="M603">
        <v>0.222</v>
      </c>
      <c r="N603">
        <v>0.3</v>
      </c>
      <c r="O603">
        <v>0.3</v>
      </c>
      <c r="P603">
        <v>1</v>
      </c>
      <c r="Q603">
        <v>0.1</v>
      </c>
      <c r="R603">
        <v>0.7</v>
      </c>
      <c r="S603">
        <v>0.8</v>
      </c>
      <c r="T603">
        <v>0.4</v>
      </c>
      <c r="U603">
        <v>0.1</v>
      </c>
      <c r="V603">
        <v>0</v>
      </c>
      <c r="W603">
        <v>0.1</v>
      </c>
      <c r="X603">
        <v>0.2</v>
      </c>
      <c r="Y603">
        <v>1.3</v>
      </c>
      <c r="AP603">
        <v>0.4</v>
      </c>
      <c r="AQ603">
        <v>1.3</v>
      </c>
      <c r="AR603">
        <v>0.2</v>
      </c>
      <c r="AS603">
        <v>1</v>
      </c>
      <c r="AT603">
        <v>0.3</v>
      </c>
      <c r="AU603">
        <v>0.3</v>
      </c>
      <c r="AV603">
        <v>0.8</v>
      </c>
      <c r="AW603">
        <v>0.4</v>
      </c>
      <c r="AX603">
        <v>1.3</v>
      </c>
    </row>
    <row r="604" spans="1:50" x14ac:dyDescent="0.2">
      <c r="A604" s="1" t="s">
        <v>552</v>
      </c>
      <c r="B604" s="1" t="s">
        <v>34</v>
      </c>
      <c r="C604">
        <v>31</v>
      </c>
      <c r="D604" s="1" t="s">
        <v>53</v>
      </c>
      <c r="E604">
        <v>27</v>
      </c>
      <c r="F604">
        <v>0</v>
      </c>
      <c r="G604">
        <v>7.2</v>
      </c>
      <c r="H604">
        <v>0.6</v>
      </c>
      <c r="I604">
        <v>1.7</v>
      </c>
      <c r="J604">
        <v>0.32600000000000001</v>
      </c>
      <c r="K604">
        <v>0.1</v>
      </c>
      <c r="L604">
        <v>0.6</v>
      </c>
      <c r="M604">
        <v>0.125</v>
      </c>
      <c r="N604">
        <v>0.1</v>
      </c>
      <c r="O604">
        <v>0.1</v>
      </c>
      <c r="P604">
        <v>0.5</v>
      </c>
      <c r="Q604">
        <v>0.4</v>
      </c>
      <c r="R604">
        <v>0.8</v>
      </c>
      <c r="S604">
        <v>1.2</v>
      </c>
      <c r="T604">
        <v>0.3</v>
      </c>
      <c r="U604">
        <v>0.3</v>
      </c>
      <c r="V604">
        <v>0.1</v>
      </c>
      <c r="W604">
        <v>0.3</v>
      </c>
      <c r="X604">
        <v>0.6</v>
      </c>
      <c r="Y604">
        <v>1.3</v>
      </c>
      <c r="AP604">
        <v>0.6</v>
      </c>
      <c r="AQ604">
        <v>1.7</v>
      </c>
      <c r="AR604">
        <v>0.1</v>
      </c>
      <c r="AS604">
        <v>0.6</v>
      </c>
      <c r="AT604">
        <v>0.1</v>
      </c>
      <c r="AU604">
        <v>0.1</v>
      </c>
      <c r="AV604">
        <v>1.2</v>
      </c>
      <c r="AW604">
        <v>0.3</v>
      </c>
      <c r="AX604">
        <v>1.3</v>
      </c>
    </row>
    <row r="605" spans="1:50" x14ac:dyDescent="0.2">
      <c r="A605" s="1" t="s">
        <v>553</v>
      </c>
      <c r="B605" s="1" t="s">
        <v>26</v>
      </c>
      <c r="C605">
        <v>39</v>
      </c>
      <c r="D605" s="1" t="s">
        <v>37</v>
      </c>
      <c r="E605">
        <v>13</v>
      </c>
      <c r="F605">
        <v>0</v>
      </c>
      <c r="G605">
        <v>8.6999999999999993</v>
      </c>
      <c r="H605">
        <v>0.3</v>
      </c>
      <c r="I605">
        <v>1.5</v>
      </c>
      <c r="J605">
        <v>0.2</v>
      </c>
      <c r="K605">
        <v>0.3</v>
      </c>
      <c r="L605">
        <v>1.5</v>
      </c>
      <c r="M605">
        <v>0.2</v>
      </c>
      <c r="N605">
        <v>0.4</v>
      </c>
      <c r="O605">
        <v>0.5</v>
      </c>
      <c r="P605">
        <v>0.83299999999999996</v>
      </c>
      <c r="Q605">
        <v>0</v>
      </c>
      <c r="R605">
        <v>0.7</v>
      </c>
      <c r="S605">
        <v>0.7</v>
      </c>
      <c r="T605">
        <v>0.8</v>
      </c>
      <c r="U605">
        <v>0.2</v>
      </c>
      <c r="V605">
        <v>0.2</v>
      </c>
      <c r="W605">
        <v>0.3</v>
      </c>
      <c r="X605">
        <v>0.6</v>
      </c>
      <c r="Y605">
        <v>1.3</v>
      </c>
      <c r="AP605">
        <v>0.3</v>
      </c>
      <c r="AQ605">
        <v>1.5</v>
      </c>
      <c r="AR605">
        <v>0.3</v>
      </c>
      <c r="AS605">
        <v>1.5</v>
      </c>
      <c r="AT605">
        <v>0.4</v>
      </c>
      <c r="AU605">
        <v>0.5</v>
      </c>
      <c r="AV605">
        <v>0.7</v>
      </c>
      <c r="AW605">
        <v>0.8</v>
      </c>
      <c r="AX605">
        <v>1.3</v>
      </c>
    </row>
    <row r="606" spans="1:50" x14ac:dyDescent="0.2">
      <c r="A606" s="1" t="s">
        <v>554</v>
      </c>
      <c r="B606" s="1" t="s">
        <v>26</v>
      </c>
      <c r="C606">
        <v>24</v>
      </c>
      <c r="D606" s="1" t="s">
        <v>39</v>
      </c>
      <c r="E606">
        <v>16</v>
      </c>
      <c r="F606">
        <v>0</v>
      </c>
      <c r="G606">
        <v>5.5</v>
      </c>
      <c r="H606">
        <v>0.6</v>
      </c>
      <c r="I606">
        <v>1.2</v>
      </c>
      <c r="J606">
        <v>0.47399999999999998</v>
      </c>
      <c r="K606">
        <v>0.2</v>
      </c>
      <c r="L606">
        <v>0.5</v>
      </c>
      <c r="M606">
        <v>0.375</v>
      </c>
      <c r="N606">
        <v>0</v>
      </c>
      <c r="O606">
        <v>0</v>
      </c>
      <c r="Q606">
        <v>0.1</v>
      </c>
      <c r="R606">
        <v>0.3</v>
      </c>
      <c r="S606">
        <v>0.4</v>
      </c>
      <c r="T606">
        <v>1.1000000000000001</v>
      </c>
      <c r="U606">
        <v>0.4</v>
      </c>
      <c r="V606">
        <v>0.2</v>
      </c>
      <c r="W606">
        <v>0.2</v>
      </c>
      <c r="X606">
        <v>0.4</v>
      </c>
      <c r="Y606">
        <v>1.3</v>
      </c>
      <c r="AP606">
        <v>0.6</v>
      </c>
      <c r="AQ606">
        <v>1.2</v>
      </c>
      <c r="AR606">
        <v>0.2</v>
      </c>
      <c r="AS606">
        <v>0.5</v>
      </c>
      <c r="AT606">
        <v>0</v>
      </c>
      <c r="AU606">
        <v>0</v>
      </c>
      <c r="AV606">
        <v>0.4</v>
      </c>
      <c r="AW606">
        <v>1.1000000000000001</v>
      </c>
      <c r="AX606">
        <v>1.3</v>
      </c>
    </row>
    <row r="607" spans="1:50" x14ac:dyDescent="0.2">
      <c r="A607" s="1" t="s">
        <v>555</v>
      </c>
      <c r="B607" s="1" t="s">
        <v>23</v>
      </c>
      <c r="C607">
        <v>24</v>
      </c>
      <c r="D607" s="1" t="s">
        <v>35</v>
      </c>
      <c r="E607">
        <v>21</v>
      </c>
      <c r="F607">
        <v>2</v>
      </c>
      <c r="G607">
        <v>6.5</v>
      </c>
      <c r="H607">
        <v>0.4</v>
      </c>
      <c r="I607">
        <v>0.9</v>
      </c>
      <c r="J607">
        <v>0.47399999999999998</v>
      </c>
      <c r="K607">
        <v>0</v>
      </c>
      <c r="L607">
        <v>0</v>
      </c>
      <c r="N607">
        <v>0.5</v>
      </c>
      <c r="O607">
        <v>0.7</v>
      </c>
      <c r="P607">
        <v>0.71399999999999997</v>
      </c>
      <c r="Q607">
        <v>0.4</v>
      </c>
      <c r="R607">
        <v>1.4</v>
      </c>
      <c r="S607">
        <v>1.9</v>
      </c>
      <c r="T607">
        <v>0.4</v>
      </c>
      <c r="U607">
        <v>0.1</v>
      </c>
      <c r="V607">
        <v>0.5</v>
      </c>
      <c r="W607">
        <v>0.5</v>
      </c>
      <c r="X607">
        <v>0.8</v>
      </c>
      <c r="Y607">
        <v>1.3</v>
      </c>
      <c r="AP607">
        <v>0.4</v>
      </c>
      <c r="AQ607">
        <v>0.9</v>
      </c>
      <c r="AR607">
        <v>0</v>
      </c>
      <c r="AS607">
        <v>0</v>
      </c>
      <c r="AT607">
        <v>0.5</v>
      </c>
      <c r="AU607">
        <v>0.7</v>
      </c>
      <c r="AV607">
        <v>1.9</v>
      </c>
      <c r="AW607">
        <v>0.4</v>
      </c>
      <c r="AX607">
        <v>1.3</v>
      </c>
    </row>
    <row r="608" spans="1:50" x14ac:dyDescent="0.2">
      <c r="A608" s="1" t="s">
        <v>556</v>
      </c>
      <c r="B608" s="1" t="s">
        <v>34</v>
      </c>
      <c r="C608">
        <v>33</v>
      </c>
      <c r="D608" s="1" t="s">
        <v>46</v>
      </c>
      <c r="E608">
        <v>33</v>
      </c>
      <c r="F608">
        <v>0</v>
      </c>
      <c r="G608">
        <v>3.7</v>
      </c>
      <c r="H608">
        <v>0.4</v>
      </c>
      <c r="I608">
        <v>0.8</v>
      </c>
      <c r="J608">
        <v>0.46200000000000002</v>
      </c>
      <c r="K608">
        <v>0</v>
      </c>
      <c r="L608">
        <v>0.1</v>
      </c>
      <c r="M608">
        <v>0</v>
      </c>
      <c r="N608">
        <v>0.5</v>
      </c>
      <c r="O608">
        <v>0.8</v>
      </c>
      <c r="P608">
        <v>0.57699999999999996</v>
      </c>
      <c r="Q608">
        <v>0.3</v>
      </c>
      <c r="R608">
        <v>0.5</v>
      </c>
      <c r="S608">
        <v>0.8</v>
      </c>
      <c r="T608">
        <v>0.3</v>
      </c>
      <c r="U608">
        <v>0.4</v>
      </c>
      <c r="V608">
        <v>0.2</v>
      </c>
      <c r="W608">
        <v>0.3</v>
      </c>
      <c r="X608">
        <v>0.4</v>
      </c>
      <c r="Y608">
        <v>1.2</v>
      </c>
      <c r="AP608">
        <v>0.4</v>
      </c>
      <c r="AQ608">
        <v>0.8</v>
      </c>
      <c r="AR608">
        <v>0</v>
      </c>
      <c r="AS608">
        <v>0.1</v>
      </c>
      <c r="AT608">
        <v>0.5</v>
      </c>
      <c r="AU608">
        <v>0.8</v>
      </c>
      <c r="AV608">
        <v>0.8</v>
      </c>
      <c r="AW608">
        <v>0.3</v>
      </c>
      <c r="AX608">
        <v>1.2</v>
      </c>
    </row>
    <row r="609" spans="1:50" x14ac:dyDescent="0.2">
      <c r="A609" s="1" t="s">
        <v>557</v>
      </c>
      <c r="B609" s="1" t="s">
        <v>31</v>
      </c>
      <c r="C609">
        <v>26</v>
      </c>
      <c r="D609" s="1" t="s">
        <v>62</v>
      </c>
      <c r="E609">
        <v>19</v>
      </c>
      <c r="F609">
        <v>0</v>
      </c>
      <c r="G609">
        <v>4.9000000000000004</v>
      </c>
      <c r="H609">
        <v>0.5</v>
      </c>
      <c r="I609">
        <v>2.2000000000000002</v>
      </c>
      <c r="J609">
        <v>0.22</v>
      </c>
      <c r="K609">
        <v>0.2</v>
      </c>
      <c r="L609">
        <v>1.2</v>
      </c>
      <c r="M609">
        <v>0.13</v>
      </c>
      <c r="N609">
        <v>0.1</v>
      </c>
      <c r="O609">
        <v>0.1</v>
      </c>
      <c r="P609">
        <v>1</v>
      </c>
      <c r="Q609">
        <v>0.2</v>
      </c>
      <c r="R609">
        <v>0.8</v>
      </c>
      <c r="S609">
        <v>1</v>
      </c>
      <c r="T609">
        <v>0.4</v>
      </c>
      <c r="U609">
        <v>0.3</v>
      </c>
      <c r="V609">
        <v>0</v>
      </c>
      <c r="W609">
        <v>0.5</v>
      </c>
      <c r="X609">
        <v>0.3</v>
      </c>
      <c r="Y609">
        <v>1.2</v>
      </c>
      <c r="AP609">
        <v>0.5</v>
      </c>
      <c r="AQ609">
        <v>2.2000000000000002</v>
      </c>
      <c r="AR609">
        <v>0.2</v>
      </c>
      <c r="AS609">
        <v>1.2</v>
      </c>
      <c r="AT609">
        <v>0.1</v>
      </c>
      <c r="AU609">
        <v>0.1</v>
      </c>
      <c r="AV609">
        <v>1</v>
      </c>
      <c r="AW609">
        <v>0.4</v>
      </c>
      <c r="AX609">
        <v>1.2</v>
      </c>
    </row>
    <row r="610" spans="1:50" x14ac:dyDescent="0.2">
      <c r="A610" s="1" t="s">
        <v>558</v>
      </c>
      <c r="B610" s="1" t="s">
        <v>34</v>
      </c>
      <c r="C610">
        <v>38</v>
      </c>
      <c r="D610" s="1" t="s">
        <v>32</v>
      </c>
      <c r="E610">
        <v>26</v>
      </c>
      <c r="F610">
        <v>1</v>
      </c>
      <c r="G610">
        <v>4.5999999999999996</v>
      </c>
      <c r="H610">
        <v>0.4</v>
      </c>
      <c r="I610">
        <v>0.7</v>
      </c>
      <c r="J610">
        <v>0.58799999999999997</v>
      </c>
      <c r="K610">
        <v>0.2</v>
      </c>
      <c r="L610">
        <v>0.4</v>
      </c>
      <c r="M610">
        <v>0.4</v>
      </c>
      <c r="N610">
        <v>0.1</v>
      </c>
      <c r="O610">
        <v>0.1</v>
      </c>
      <c r="P610">
        <v>1</v>
      </c>
      <c r="Q610">
        <v>0</v>
      </c>
      <c r="R610">
        <v>0.5</v>
      </c>
      <c r="S610">
        <v>0.5</v>
      </c>
      <c r="T610">
        <v>0.9</v>
      </c>
      <c r="U610">
        <v>0.3</v>
      </c>
      <c r="V610">
        <v>0</v>
      </c>
      <c r="W610">
        <v>0.4</v>
      </c>
      <c r="X610">
        <v>0.2</v>
      </c>
      <c r="Y610">
        <v>1</v>
      </c>
      <c r="AP610">
        <v>0.4</v>
      </c>
      <c r="AQ610">
        <v>0.7</v>
      </c>
      <c r="AR610">
        <v>0.2</v>
      </c>
      <c r="AS610">
        <v>0.4</v>
      </c>
      <c r="AT610">
        <v>0.1</v>
      </c>
      <c r="AU610">
        <v>0.1</v>
      </c>
      <c r="AV610">
        <v>0.5</v>
      </c>
      <c r="AW610">
        <v>0.9</v>
      </c>
      <c r="AX610">
        <v>1</v>
      </c>
    </row>
    <row r="611" spans="1:50" x14ac:dyDescent="0.2">
      <c r="A611" s="1" t="s">
        <v>559</v>
      </c>
      <c r="B611" s="1" t="s">
        <v>43</v>
      </c>
      <c r="C611">
        <v>33</v>
      </c>
      <c r="D611" s="1" t="s">
        <v>60</v>
      </c>
      <c r="E611">
        <v>24</v>
      </c>
      <c r="F611">
        <v>1</v>
      </c>
      <c r="G611">
        <v>5.7</v>
      </c>
      <c r="H611">
        <v>0.3</v>
      </c>
      <c r="I611">
        <v>0.6</v>
      </c>
      <c r="J611">
        <v>0.57099999999999995</v>
      </c>
      <c r="K611">
        <v>0</v>
      </c>
      <c r="L611">
        <v>0</v>
      </c>
      <c r="N611">
        <v>0.2</v>
      </c>
      <c r="O611">
        <v>0.3</v>
      </c>
      <c r="P611">
        <v>0.71399999999999997</v>
      </c>
      <c r="Q611">
        <v>0.2</v>
      </c>
      <c r="R611">
        <v>0.8</v>
      </c>
      <c r="S611">
        <v>1</v>
      </c>
      <c r="T611">
        <v>0.2</v>
      </c>
      <c r="U611">
        <v>0.2</v>
      </c>
      <c r="V611">
        <v>0.1</v>
      </c>
      <c r="W611">
        <v>0.3</v>
      </c>
      <c r="X611">
        <v>1.1000000000000001</v>
      </c>
      <c r="Y611">
        <v>0.9</v>
      </c>
      <c r="AP611">
        <v>0.3</v>
      </c>
      <c r="AQ611">
        <v>0.6</v>
      </c>
      <c r="AR611">
        <v>0</v>
      </c>
      <c r="AS611">
        <v>0</v>
      </c>
      <c r="AT611">
        <v>0.2</v>
      </c>
      <c r="AU611">
        <v>0.3</v>
      </c>
      <c r="AV611">
        <v>1</v>
      </c>
      <c r="AW611">
        <v>0.2</v>
      </c>
      <c r="AX611">
        <v>0.9</v>
      </c>
    </row>
    <row r="612" spans="1:50" x14ac:dyDescent="0.2">
      <c r="A612" s="1" t="s">
        <v>560</v>
      </c>
      <c r="B612" s="1" t="s">
        <v>43</v>
      </c>
      <c r="C612">
        <v>23</v>
      </c>
      <c r="D612" s="1" t="s">
        <v>37</v>
      </c>
      <c r="E612">
        <v>11</v>
      </c>
      <c r="F612">
        <v>0</v>
      </c>
      <c r="G612">
        <v>5</v>
      </c>
      <c r="H612">
        <v>0.4</v>
      </c>
      <c r="I612">
        <v>2.2000000000000002</v>
      </c>
      <c r="J612">
        <v>0.16700000000000001</v>
      </c>
      <c r="K612">
        <v>0</v>
      </c>
      <c r="L612">
        <v>0.5</v>
      </c>
      <c r="M612">
        <v>0</v>
      </c>
      <c r="N612">
        <v>0.2</v>
      </c>
      <c r="O612">
        <v>0.5</v>
      </c>
      <c r="P612">
        <v>0.33300000000000002</v>
      </c>
      <c r="Q612">
        <v>0.6</v>
      </c>
      <c r="R612">
        <v>0.8</v>
      </c>
      <c r="S612">
        <v>1.5</v>
      </c>
      <c r="T612">
        <v>0.4</v>
      </c>
      <c r="U612">
        <v>0.3</v>
      </c>
      <c r="V612">
        <v>0.2</v>
      </c>
      <c r="W612">
        <v>0.3</v>
      </c>
      <c r="X612">
        <v>0.6</v>
      </c>
      <c r="Y612">
        <v>0.9</v>
      </c>
      <c r="AP612">
        <v>0.4</v>
      </c>
      <c r="AQ612">
        <v>2.2000000000000002</v>
      </c>
      <c r="AR612">
        <v>0</v>
      </c>
      <c r="AS612">
        <v>0.5</v>
      </c>
      <c r="AT612">
        <v>0.2</v>
      </c>
      <c r="AU612">
        <v>0.5</v>
      </c>
      <c r="AV612">
        <v>1.5</v>
      </c>
      <c r="AW612">
        <v>0.4</v>
      </c>
      <c r="AX612">
        <v>0.9</v>
      </c>
    </row>
    <row r="613" spans="1:50" x14ac:dyDescent="0.2">
      <c r="A613" s="1" t="s">
        <v>561</v>
      </c>
      <c r="B613" s="1" t="s">
        <v>43</v>
      </c>
      <c r="C613">
        <v>26</v>
      </c>
      <c r="D613" s="1" t="s">
        <v>55</v>
      </c>
      <c r="E613">
        <v>12</v>
      </c>
      <c r="F613">
        <v>0</v>
      </c>
      <c r="G613">
        <v>5.3</v>
      </c>
      <c r="H613">
        <v>0.3</v>
      </c>
      <c r="I613">
        <v>0.6</v>
      </c>
      <c r="J613">
        <v>0.57099999999999995</v>
      </c>
      <c r="K613">
        <v>0</v>
      </c>
      <c r="L613">
        <v>0</v>
      </c>
      <c r="N613">
        <v>0.1</v>
      </c>
      <c r="O613">
        <v>0.1</v>
      </c>
      <c r="P613">
        <v>1</v>
      </c>
      <c r="Q613">
        <v>0.7</v>
      </c>
      <c r="R613">
        <v>0.7</v>
      </c>
      <c r="S613">
        <v>1.3</v>
      </c>
      <c r="T613">
        <v>0.3</v>
      </c>
      <c r="U613">
        <v>0.1</v>
      </c>
      <c r="V613">
        <v>0.2</v>
      </c>
      <c r="W613">
        <v>0.6</v>
      </c>
      <c r="X613">
        <v>0.8</v>
      </c>
      <c r="Y613">
        <v>0.8</v>
      </c>
      <c r="AP613">
        <v>0.3</v>
      </c>
      <c r="AQ613">
        <v>0.6</v>
      </c>
      <c r="AR613">
        <v>0</v>
      </c>
      <c r="AS613">
        <v>0</v>
      </c>
      <c r="AT613">
        <v>0.1</v>
      </c>
      <c r="AU613">
        <v>0.1</v>
      </c>
      <c r="AV613">
        <v>1.3</v>
      </c>
      <c r="AW613">
        <v>0.3</v>
      </c>
      <c r="AX613">
        <v>0.8</v>
      </c>
    </row>
    <row r="614" spans="1:50" x14ac:dyDescent="0.2">
      <c r="A614" s="1" t="s">
        <v>562</v>
      </c>
      <c r="B614" s="1" t="s">
        <v>31</v>
      </c>
      <c r="C614">
        <v>39</v>
      </c>
      <c r="D614" s="1" t="s">
        <v>83</v>
      </c>
      <c r="E614">
        <v>21</v>
      </c>
      <c r="F614">
        <v>0</v>
      </c>
      <c r="G614">
        <v>3.3</v>
      </c>
      <c r="H614">
        <v>0.1</v>
      </c>
      <c r="I614">
        <v>0.7</v>
      </c>
      <c r="J614">
        <v>0.214</v>
      </c>
      <c r="K614">
        <v>0.1</v>
      </c>
      <c r="L614">
        <v>0.5</v>
      </c>
      <c r="M614">
        <v>0.182</v>
      </c>
      <c r="N614">
        <v>0.3</v>
      </c>
      <c r="O614">
        <v>0.4</v>
      </c>
      <c r="P614">
        <v>0.66700000000000004</v>
      </c>
      <c r="Q614">
        <v>0</v>
      </c>
      <c r="R614">
        <v>0.3</v>
      </c>
      <c r="S614">
        <v>0.4</v>
      </c>
      <c r="T614">
        <v>0.4</v>
      </c>
      <c r="U614">
        <v>0.1</v>
      </c>
      <c r="V614">
        <v>0.1</v>
      </c>
      <c r="W614">
        <v>0.3</v>
      </c>
      <c r="X614">
        <v>0.3</v>
      </c>
      <c r="Y614">
        <v>0.7</v>
      </c>
      <c r="AP614">
        <v>0.1</v>
      </c>
      <c r="AQ614">
        <v>0.7</v>
      </c>
      <c r="AR614">
        <v>0.1</v>
      </c>
      <c r="AS614">
        <v>0.5</v>
      </c>
      <c r="AT614">
        <v>0.3</v>
      </c>
      <c r="AU614">
        <v>0.4</v>
      </c>
      <c r="AV614">
        <v>0.4</v>
      </c>
      <c r="AW614">
        <v>0.4</v>
      </c>
      <c r="AX614">
        <v>0.7</v>
      </c>
    </row>
    <row r="615" spans="1:50" x14ac:dyDescent="0.2">
      <c r="A615" s="1" t="s">
        <v>563</v>
      </c>
      <c r="B615" s="1" t="s">
        <v>31</v>
      </c>
      <c r="C615">
        <v>23</v>
      </c>
      <c r="D615" s="1" t="s">
        <v>35</v>
      </c>
      <c r="E615">
        <v>10</v>
      </c>
      <c r="F615">
        <v>0</v>
      </c>
      <c r="G615">
        <v>1.8</v>
      </c>
      <c r="H615">
        <v>0.1</v>
      </c>
      <c r="I615">
        <v>0.4</v>
      </c>
      <c r="J615">
        <v>0.25</v>
      </c>
      <c r="K615">
        <v>0</v>
      </c>
      <c r="L615">
        <v>0.1</v>
      </c>
      <c r="M615">
        <v>0</v>
      </c>
      <c r="N615">
        <v>0.2</v>
      </c>
      <c r="O615">
        <v>0.2</v>
      </c>
      <c r="P615">
        <v>1</v>
      </c>
      <c r="Q615">
        <v>0.2</v>
      </c>
      <c r="R615">
        <v>0.1</v>
      </c>
      <c r="S615">
        <v>0.3</v>
      </c>
      <c r="T615">
        <v>0.2</v>
      </c>
      <c r="U615">
        <v>0</v>
      </c>
      <c r="V615">
        <v>0</v>
      </c>
      <c r="W615">
        <v>0.2</v>
      </c>
      <c r="X615">
        <v>0.6</v>
      </c>
      <c r="Y615">
        <v>0.4</v>
      </c>
      <c r="AP615">
        <v>0.1</v>
      </c>
      <c r="AQ615">
        <v>0.4</v>
      </c>
      <c r="AR615">
        <v>0</v>
      </c>
      <c r="AS615">
        <v>0.1</v>
      </c>
      <c r="AT615">
        <v>0.2</v>
      </c>
      <c r="AU615">
        <v>0.2</v>
      </c>
      <c r="AV615">
        <v>0.3</v>
      </c>
      <c r="AW615">
        <v>0.2</v>
      </c>
      <c r="AX615">
        <v>0.4</v>
      </c>
    </row>
  </sheetData>
  <conditionalFormatting sqref="AB63:AB70">
    <cfRule type="cellIs" dxfId="38" priority="29" operator="greaterThan">
      <formula>0.6</formula>
    </cfRule>
    <cfRule type="cellIs" dxfId="37" priority="30" operator="greaterThan">
      <formula>60</formula>
    </cfRule>
  </conditionalFormatting>
  <conditionalFormatting sqref="AC64:AC69">
    <cfRule type="cellIs" dxfId="24" priority="15" operator="greaterThan">
      <formula>0.6</formula>
    </cfRule>
    <cfRule type="cellIs" dxfId="23" priority="16" operator="greaterThan">
      <formula>60</formula>
    </cfRule>
  </conditionalFormatting>
  <conditionalFormatting sqref="AD65:AD69">
    <cfRule type="cellIs" dxfId="22" priority="13" operator="greaterThan">
      <formula>0.6</formula>
    </cfRule>
    <cfRule type="cellIs" dxfId="21" priority="14" operator="greaterThan">
      <formula>60</formula>
    </cfRule>
  </conditionalFormatting>
  <conditionalFormatting sqref="AE66:AE69">
    <cfRule type="cellIs" dxfId="20" priority="11" operator="greaterThan">
      <formula>0.6</formula>
    </cfRule>
    <cfRule type="cellIs" dxfId="19" priority="12" operator="greaterThan">
      <formula>60</formula>
    </cfRule>
  </conditionalFormatting>
  <conditionalFormatting sqref="AF67:AF69">
    <cfRule type="cellIs" dxfId="18" priority="9" operator="greaterThan">
      <formula>0.6</formula>
    </cfRule>
    <cfRule type="cellIs" dxfId="17" priority="10" operator="greaterThan">
      <formula>60</formula>
    </cfRule>
  </conditionalFormatting>
  <conditionalFormatting sqref="AG68:AG69">
    <cfRule type="cellIs" dxfId="16" priority="7" operator="greaterThan">
      <formula>0.6</formula>
    </cfRule>
    <cfRule type="cellIs" dxfId="15" priority="8" operator="greaterThan">
      <formula>60</formula>
    </cfRule>
  </conditionalFormatting>
  <conditionalFormatting sqref="AH69">
    <cfRule type="cellIs" dxfId="14" priority="5" operator="greaterThan">
      <formula>0.6</formula>
    </cfRule>
    <cfRule type="cellIs" dxfId="13" priority="6" operator="greaterThan">
      <formula>60</formula>
    </cfRule>
  </conditionalFormatting>
  <conditionalFormatting sqref="AI71">
    <cfRule type="cellIs" dxfId="12" priority="3" operator="greaterThan">
      <formula>0.6</formula>
    </cfRule>
    <cfRule type="cellIs" dxfId="11" priority="4" operator="greaterThan">
      <formula>60</formula>
    </cfRule>
  </conditionalFormatting>
  <conditionalFormatting sqref="AC70:AI70">
    <cfRule type="cellIs" dxfId="10" priority="1" operator="greaterThan">
      <formula>0.6</formula>
    </cfRule>
    <cfRule type="cellIs" dxfId="9" priority="2" operator="greaterThan">
      <formula>60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1E6F-0636-E047-AE04-85D667777206}">
  <dimension ref="A1:N22"/>
  <sheetViews>
    <sheetView tabSelected="1" workbookViewId="0">
      <selection activeCell="L26" sqref="L26"/>
    </sheetView>
  </sheetViews>
  <sheetFormatPr baseColWidth="10" defaultRowHeight="16" x14ac:dyDescent="0.2"/>
  <cols>
    <col min="1" max="1" width="23.5" bestFit="1" customWidth="1"/>
    <col min="2" max="2" width="6.33203125" bestFit="1" customWidth="1"/>
    <col min="3" max="3" width="5.33203125" bestFit="1" customWidth="1"/>
    <col min="4" max="4" width="5" bestFit="1" customWidth="1"/>
    <col min="5" max="5" width="4.6640625" bestFit="1" customWidth="1"/>
    <col min="6" max="6" width="6" bestFit="1" customWidth="1"/>
    <col min="7" max="7" width="6.1640625" bestFit="1" customWidth="1"/>
    <col min="8" max="8" width="6.33203125" bestFit="1" customWidth="1"/>
    <col min="9" max="9" width="6.5" bestFit="1" customWidth="1"/>
    <col min="10" max="10" width="14.5" bestFit="1" customWidth="1"/>
    <col min="11" max="11" width="31.1640625" bestFit="1" customWidth="1"/>
    <col min="12" max="12" width="35.6640625" bestFit="1" customWidth="1"/>
    <col min="13" max="13" width="15.6640625" bestFit="1" customWidth="1"/>
  </cols>
  <sheetData>
    <row r="1" spans="1:14" x14ac:dyDescent="0.2">
      <c r="A1" t="s">
        <v>566</v>
      </c>
      <c r="B1" t="s">
        <v>6</v>
      </c>
      <c r="C1" t="s">
        <v>567</v>
      </c>
      <c r="D1" t="s">
        <v>568</v>
      </c>
      <c r="E1" t="s">
        <v>569</v>
      </c>
      <c r="F1" t="s">
        <v>570</v>
      </c>
      <c r="G1" t="s">
        <v>571</v>
      </c>
      <c r="H1" t="s">
        <v>572</v>
      </c>
      <c r="I1" t="s">
        <v>573</v>
      </c>
      <c r="J1" t="s">
        <v>594</v>
      </c>
      <c r="K1" t="s">
        <v>595</v>
      </c>
      <c r="L1" t="s">
        <v>596</v>
      </c>
      <c r="M1" t="s">
        <v>597</v>
      </c>
      <c r="N1" t="s">
        <v>598</v>
      </c>
    </row>
    <row r="2" spans="1:14" x14ac:dyDescent="0.2">
      <c r="A2" s="1" t="s">
        <v>574</v>
      </c>
      <c r="B2">
        <v>32</v>
      </c>
      <c r="C2">
        <v>21</v>
      </c>
      <c r="D2">
        <v>7</v>
      </c>
      <c r="E2">
        <v>4</v>
      </c>
      <c r="F2">
        <v>62</v>
      </c>
      <c r="G2">
        <v>24</v>
      </c>
      <c r="H2">
        <v>38</v>
      </c>
      <c r="I2">
        <v>70</v>
      </c>
      <c r="J2">
        <f t="shared" ref="J2:J21" si="0">F2/G2</f>
        <v>2.5833333333333335</v>
      </c>
      <c r="K2">
        <f t="shared" ref="K2:K21" si="1">J2^2/(J2^2+1)</f>
        <v>0.86968325791855206</v>
      </c>
      <c r="L2">
        <f t="shared" ref="L2:L21" si="2">F2^2/(F2^2+G2^2)</f>
        <v>0.86968325791855206</v>
      </c>
      <c r="M2" s="1">
        <f t="shared" ref="M2:M21" si="3">C2/B2</f>
        <v>0.65625</v>
      </c>
      <c r="N2" s="1">
        <f>K2-M2</f>
        <v>0.21343325791855206</v>
      </c>
    </row>
    <row r="3" spans="1:14" x14ac:dyDescent="0.2">
      <c r="A3" s="1" t="s">
        <v>575</v>
      </c>
      <c r="B3">
        <v>31</v>
      </c>
      <c r="C3">
        <v>19</v>
      </c>
      <c r="D3">
        <v>7</v>
      </c>
      <c r="E3">
        <v>5</v>
      </c>
      <c r="F3">
        <v>63</v>
      </c>
      <c r="G3">
        <v>28</v>
      </c>
      <c r="H3">
        <v>35</v>
      </c>
      <c r="I3">
        <v>64</v>
      </c>
      <c r="J3">
        <f t="shared" si="0"/>
        <v>2.25</v>
      </c>
      <c r="K3">
        <f t="shared" si="1"/>
        <v>0.83505154639175261</v>
      </c>
      <c r="L3">
        <f t="shared" si="2"/>
        <v>0.83505154639175261</v>
      </c>
      <c r="M3" s="1">
        <f t="shared" si="3"/>
        <v>0.61290322580645162</v>
      </c>
      <c r="N3" s="1">
        <f t="shared" ref="N2:N21" si="4">K3-M3</f>
        <v>0.22214832058530098</v>
      </c>
    </row>
    <row r="4" spans="1:14" x14ac:dyDescent="0.2">
      <c r="A4" s="1" t="s">
        <v>576</v>
      </c>
      <c r="B4">
        <v>31</v>
      </c>
      <c r="C4">
        <v>15</v>
      </c>
      <c r="D4">
        <v>10</v>
      </c>
      <c r="E4">
        <v>6</v>
      </c>
      <c r="F4">
        <v>56</v>
      </c>
      <c r="G4">
        <v>43</v>
      </c>
      <c r="H4">
        <v>13</v>
      </c>
      <c r="I4">
        <v>55</v>
      </c>
      <c r="J4">
        <f t="shared" si="0"/>
        <v>1.3023255813953489</v>
      </c>
      <c r="K4">
        <f t="shared" si="1"/>
        <v>0.62908726178535612</v>
      </c>
      <c r="L4">
        <f t="shared" si="2"/>
        <v>0.62908726178535612</v>
      </c>
      <c r="M4" s="1">
        <f t="shared" si="3"/>
        <v>0.4838709677419355</v>
      </c>
      <c r="N4" s="1">
        <f t="shared" si="4"/>
        <v>0.14521629404342062</v>
      </c>
    </row>
    <row r="5" spans="1:14" x14ac:dyDescent="0.2">
      <c r="A5" s="1" t="s">
        <v>577</v>
      </c>
      <c r="B5">
        <v>32</v>
      </c>
      <c r="C5">
        <v>16</v>
      </c>
      <c r="D5">
        <v>7</v>
      </c>
      <c r="E5">
        <v>9</v>
      </c>
      <c r="F5">
        <v>43</v>
      </c>
      <c r="G5">
        <v>38</v>
      </c>
      <c r="H5">
        <v>5</v>
      </c>
      <c r="I5">
        <v>55</v>
      </c>
      <c r="J5">
        <f t="shared" si="0"/>
        <v>1.131578947368421</v>
      </c>
      <c r="K5">
        <f t="shared" si="1"/>
        <v>0.56149407834801091</v>
      </c>
      <c r="L5">
        <f t="shared" si="2"/>
        <v>0.56149407834801091</v>
      </c>
      <c r="M5" s="1">
        <f t="shared" si="3"/>
        <v>0.5</v>
      </c>
      <c r="N5" s="1">
        <f t="shared" si="4"/>
        <v>6.1494078348010905E-2</v>
      </c>
    </row>
    <row r="6" spans="1:14" x14ac:dyDescent="0.2">
      <c r="A6" s="1" t="s">
        <v>578</v>
      </c>
      <c r="B6">
        <v>32</v>
      </c>
      <c r="C6">
        <v>15</v>
      </c>
      <c r="D6">
        <v>7</v>
      </c>
      <c r="E6">
        <v>10</v>
      </c>
      <c r="F6">
        <v>52</v>
      </c>
      <c r="G6">
        <v>42</v>
      </c>
      <c r="H6">
        <v>10</v>
      </c>
      <c r="I6">
        <v>52</v>
      </c>
      <c r="J6">
        <f t="shared" si="0"/>
        <v>1.2380952380952381</v>
      </c>
      <c r="K6">
        <f t="shared" si="1"/>
        <v>0.60519247985675917</v>
      </c>
      <c r="L6">
        <f t="shared" si="2"/>
        <v>0.60519247985675917</v>
      </c>
      <c r="M6" s="1">
        <f t="shared" si="3"/>
        <v>0.46875</v>
      </c>
      <c r="N6" s="1">
        <f t="shared" si="4"/>
        <v>0.13644247985675917</v>
      </c>
    </row>
    <row r="7" spans="1:14" x14ac:dyDescent="0.2">
      <c r="A7" s="1" t="s">
        <v>579</v>
      </c>
      <c r="B7">
        <v>32</v>
      </c>
      <c r="C7">
        <v>13</v>
      </c>
      <c r="D7">
        <v>9</v>
      </c>
      <c r="E7">
        <v>10</v>
      </c>
      <c r="F7">
        <v>53</v>
      </c>
      <c r="G7">
        <v>41</v>
      </c>
      <c r="H7">
        <v>12</v>
      </c>
      <c r="I7">
        <v>48</v>
      </c>
      <c r="J7">
        <f t="shared" si="0"/>
        <v>1.2926829268292683</v>
      </c>
      <c r="K7">
        <f t="shared" si="1"/>
        <v>0.62561247216035631</v>
      </c>
      <c r="L7">
        <f t="shared" si="2"/>
        <v>0.62561247216035631</v>
      </c>
      <c r="M7" s="1">
        <f t="shared" si="3"/>
        <v>0.40625</v>
      </c>
      <c r="N7" s="1">
        <f t="shared" si="4"/>
        <v>0.21936247216035631</v>
      </c>
    </row>
    <row r="8" spans="1:14" x14ac:dyDescent="0.2">
      <c r="A8" s="1" t="s">
        <v>580</v>
      </c>
      <c r="B8">
        <v>32</v>
      </c>
      <c r="C8">
        <v>13</v>
      </c>
      <c r="D8">
        <v>8</v>
      </c>
      <c r="E8">
        <v>11</v>
      </c>
      <c r="F8">
        <v>48</v>
      </c>
      <c r="G8">
        <v>44</v>
      </c>
      <c r="H8">
        <v>4</v>
      </c>
      <c r="I8">
        <v>47</v>
      </c>
      <c r="J8">
        <f t="shared" si="0"/>
        <v>1.0909090909090908</v>
      </c>
      <c r="K8">
        <f t="shared" si="1"/>
        <v>0.54339622641509433</v>
      </c>
      <c r="L8">
        <f t="shared" si="2"/>
        <v>0.54339622641509433</v>
      </c>
      <c r="M8" s="1">
        <f t="shared" si="3"/>
        <v>0.40625</v>
      </c>
      <c r="N8" s="1">
        <f t="shared" si="4"/>
        <v>0.13714622641509433</v>
      </c>
    </row>
    <row r="9" spans="1:14" x14ac:dyDescent="0.2">
      <c r="A9" s="1" t="s">
        <v>581</v>
      </c>
      <c r="B9">
        <v>32</v>
      </c>
      <c r="C9">
        <v>13</v>
      </c>
      <c r="D9">
        <v>8</v>
      </c>
      <c r="E9">
        <v>11</v>
      </c>
      <c r="F9">
        <v>39</v>
      </c>
      <c r="G9">
        <v>37</v>
      </c>
      <c r="H9">
        <v>2</v>
      </c>
      <c r="I9">
        <v>47</v>
      </c>
      <c r="J9">
        <f t="shared" si="0"/>
        <v>1.0540540540540539</v>
      </c>
      <c r="K9">
        <f t="shared" si="1"/>
        <v>0.52629757785467124</v>
      </c>
      <c r="L9">
        <f t="shared" si="2"/>
        <v>0.52629757785467124</v>
      </c>
      <c r="M9" s="1">
        <f t="shared" si="3"/>
        <v>0.40625</v>
      </c>
      <c r="N9" s="1">
        <f t="shared" si="4"/>
        <v>0.12004757785467124</v>
      </c>
    </row>
    <row r="10" spans="1:14" x14ac:dyDescent="0.2">
      <c r="A10" s="1" t="s">
        <v>582</v>
      </c>
      <c r="B10">
        <v>32</v>
      </c>
      <c r="C10">
        <v>12</v>
      </c>
      <c r="D10">
        <v>10</v>
      </c>
      <c r="E10">
        <v>10</v>
      </c>
      <c r="F10">
        <v>43</v>
      </c>
      <c r="G10">
        <v>37</v>
      </c>
      <c r="H10">
        <v>6</v>
      </c>
      <c r="I10">
        <v>46</v>
      </c>
      <c r="J10">
        <f t="shared" si="0"/>
        <v>1.1621621621621621</v>
      </c>
      <c r="K10">
        <f t="shared" si="1"/>
        <v>0.57458048477315093</v>
      </c>
      <c r="L10">
        <f t="shared" si="2"/>
        <v>0.57458048477315105</v>
      </c>
      <c r="M10" s="1">
        <f t="shared" si="3"/>
        <v>0.375</v>
      </c>
      <c r="N10" s="1">
        <f t="shared" si="4"/>
        <v>0.19958048477315093</v>
      </c>
    </row>
    <row r="11" spans="1:14" x14ac:dyDescent="0.2">
      <c r="A11" s="1" t="s">
        <v>583</v>
      </c>
      <c r="B11">
        <v>32</v>
      </c>
      <c r="C11">
        <v>12</v>
      </c>
      <c r="D11">
        <v>10</v>
      </c>
      <c r="E11">
        <v>10</v>
      </c>
      <c r="F11">
        <v>33</v>
      </c>
      <c r="G11">
        <v>36</v>
      </c>
      <c r="H11">
        <v>-3</v>
      </c>
      <c r="I11">
        <v>46</v>
      </c>
      <c r="J11">
        <f t="shared" si="0"/>
        <v>0.91666666666666663</v>
      </c>
      <c r="K11">
        <f t="shared" si="1"/>
        <v>0.45660377358490561</v>
      </c>
      <c r="L11">
        <f t="shared" si="2"/>
        <v>0.45660377358490567</v>
      </c>
      <c r="M11" s="1">
        <f t="shared" si="3"/>
        <v>0.375</v>
      </c>
      <c r="N11" s="1">
        <f t="shared" si="4"/>
        <v>8.1603773584905615E-2</v>
      </c>
    </row>
    <row r="12" spans="1:14" x14ac:dyDescent="0.2">
      <c r="A12" s="1" t="s">
        <v>584</v>
      </c>
      <c r="B12">
        <v>32</v>
      </c>
      <c r="C12">
        <v>10</v>
      </c>
      <c r="D12">
        <v>15</v>
      </c>
      <c r="E12">
        <v>7</v>
      </c>
      <c r="F12">
        <v>48</v>
      </c>
      <c r="G12">
        <v>49</v>
      </c>
      <c r="H12">
        <v>-1</v>
      </c>
      <c r="I12">
        <v>45</v>
      </c>
      <c r="J12">
        <f t="shared" si="0"/>
        <v>0.97959183673469385</v>
      </c>
      <c r="K12">
        <f t="shared" si="1"/>
        <v>0.48969181721572796</v>
      </c>
      <c r="L12">
        <f t="shared" si="2"/>
        <v>0.48969181721572796</v>
      </c>
      <c r="M12" s="1">
        <f t="shared" si="3"/>
        <v>0.3125</v>
      </c>
      <c r="N12" s="1">
        <f t="shared" si="4"/>
        <v>0.17719181721572796</v>
      </c>
    </row>
    <row r="13" spans="1:14" x14ac:dyDescent="0.2">
      <c r="A13" s="1" t="s">
        <v>585</v>
      </c>
      <c r="B13">
        <v>32</v>
      </c>
      <c r="C13">
        <v>13</v>
      </c>
      <c r="D13">
        <v>5</v>
      </c>
      <c r="E13">
        <v>14</v>
      </c>
      <c r="F13">
        <v>43</v>
      </c>
      <c r="G13">
        <v>46</v>
      </c>
      <c r="H13">
        <v>-3</v>
      </c>
      <c r="I13">
        <v>44</v>
      </c>
      <c r="J13">
        <f t="shared" si="0"/>
        <v>0.93478260869565222</v>
      </c>
      <c r="K13">
        <f t="shared" si="1"/>
        <v>0.46633039092055484</v>
      </c>
      <c r="L13">
        <f t="shared" si="2"/>
        <v>0.46633039092055484</v>
      </c>
      <c r="M13" s="1">
        <f t="shared" si="3"/>
        <v>0.40625</v>
      </c>
      <c r="N13" s="1">
        <f t="shared" si="4"/>
        <v>6.0080390920554838E-2</v>
      </c>
    </row>
    <row r="14" spans="1:14" x14ac:dyDescent="0.2">
      <c r="A14" s="1" t="s">
        <v>586</v>
      </c>
      <c r="B14">
        <v>31</v>
      </c>
      <c r="C14">
        <v>11</v>
      </c>
      <c r="D14">
        <v>9</v>
      </c>
      <c r="E14">
        <v>11</v>
      </c>
      <c r="F14">
        <v>35</v>
      </c>
      <c r="G14">
        <v>36</v>
      </c>
      <c r="H14">
        <v>-1</v>
      </c>
      <c r="I14">
        <v>42</v>
      </c>
      <c r="J14">
        <f t="shared" si="0"/>
        <v>0.97222222222222221</v>
      </c>
      <c r="K14">
        <f t="shared" si="1"/>
        <v>0.48591828639428797</v>
      </c>
      <c r="L14">
        <f t="shared" si="2"/>
        <v>0.48591828639428797</v>
      </c>
      <c r="M14" s="1">
        <f t="shared" si="3"/>
        <v>0.35483870967741937</v>
      </c>
      <c r="N14" s="1">
        <f t="shared" si="4"/>
        <v>0.1310795767168686</v>
      </c>
    </row>
    <row r="15" spans="1:14" x14ac:dyDescent="0.2">
      <c r="A15" s="1" t="s">
        <v>587</v>
      </c>
      <c r="B15">
        <v>32</v>
      </c>
      <c r="C15">
        <v>12</v>
      </c>
      <c r="D15">
        <v>6</v>
      </c>
      <c r="E15">
        <v>14</v>
      </c>
      <c r="F15">
        <v>45</v>
      </c>
      <c r="G15">
        <v>47</v>
      </c>
      <c r="H15">
        <v>-2</v>
      </c>
      <c r="I15">
        <v>42</v>
      </c>
      <c r="J15">
        <f t="shared" si="0"/>
        <v>0.95744680851063835</v>
      </c>
      <c r="K15">
        <f t="shared" si="1"/>
        <v>0.47827113840340107</v>
      </c>
      <c r="L15">
        <f t="shared" si="2"/>
        <v>0.47827113840340102</v>
      </c>
      <c r="M15" s="1">
        <f t="shared" si="3"/>
        <v>0.375</v>
      </c>
      <c r="N15" s="1">
        <f t="shared" si="4"/>
        <v>0.10327113840340107</v>
      </c>
    </row>
    <row r="16" spans="1:14" x14ac:dyDescent="0.2">
      <c r="A16" s="1" t="s">
        <v>588</v>
      </c>
      <c r="B16">
        <v>31</v>
      </c>
      <c r="C16">
        <v>7</v>
      </c>
      <c r="D16">
        <v>12</v>
      </c>
      <c r="E16">
        <v>12</v>
      </c>
      <c r="F16">
        <v>37</v>
      </c>
      <c r="G16">
        <v>48</v>
      </c>
      <c r="H16">
        <v>-11</v>
      </c>
      <c r="I16">
        <v>33</v>
      </c>
      <c r="J16">
        <f t="shared" si="0"/>
        <v>0.77083333333333337</v>
      </c>
      <c r="K16">
        <f t="shared" si="1"/>
        <v>0.37271984753607407</v>
      </c>
      <c r="L16">
        <f t="shared" si="2"/>
        <v>0.37271984753607407</v>
      </c>
      <c r="M16" s="1">
        <f t="shared" si="3"/>
        <v>0.22580645161290322</v>
      </c>
      <c r="N16" s="1">
        <f t="shared" si="4"/>
        <v>0.14691339592317085</v>
      </c>
    </row>
    <row r="17" spans="1:14" x14ac:dyDescent="0.2">
      <c r="A17" s="1" t="s">
        <v>589</v>
      </c>
      <c r="B17">
        <v>32</v>
      </c>
      <c r="C17">
        <v>8</v>
      </c>
      <c r="D17">
        <v>9</v>
      </c>
      <c r="E17">
        <v>15</v>
      </c>
      <c r="F17">
        <v>32</v>
      </c>
      <c r="G17">
        <v>44</v>
      </c>
      <c r="H17">
        <v>-12</v>
      </c>
      <c r="I17">
        <v>33</v>
      </c>
      <c r="J17">
        <f t="shared" si="0"/>
        <v>0.72727272727272729</v>
      </c>
      <c r="K17">
        <f t="shared" si="1"/>
        <v>0.34594594594594597</v>
      </c>
      <c r="L17">
        <f t="shared" si="2"/>
        <v>0.34594594594594597</v>
      </c>
      <c r="M17" s="1">
        <f t="shared" si="3"/>
        <v>0.25</v>
      </c>
      <c r="N17" s="1">
        <f t="shared" si="4"/>
        <v>9.5945945945945965E-2</v>
      </c>
    </row>
    <row r="18" spans="1:14" x14ac:dyDescent="0.2">
      <c r="A18" s="1" t="s">
        <v>590</v>
      </c>
      <c r="B18">
        <v>32</v>
      </c>
      <c r="C18">
        <v>8</v>
      </c>
      <c r="D18">
        <v>8</v>
      </c>
      <c r="E18">
        <v>16</v>
      </c>
      <c r="F18">
        <v>40</v>
      </c>
      <c r="G18">
        <v>57</v>
      </c>
      <c r="H18">
        <v>-17</v>
      </c>
      <c r="I18">
        <v>32</v>
      </c>
      <c r="J18">
        <f t="shared" si="0"/>
        <v>0.70175438596491224</v>
      </c>
      <c r="K18">
        <f t="shared" si="1"/>
        <v>0.32996494122499481</v>
      </c>
      <c r="L18">
        <f t="shared" si="2"/>
        <v>0.32996494122499487</v>
      </c>
      <c r="M18" s="1">
        <f t="shared" si="3"/>
        <v>0.25</v>
      </c>
      <c r="N18" s="1">
        <f t="shared" si="4"/>
        <v>7.9964941224994812E-2</v>
      </c>
    </row>
    <row r="19" spans="1:14" x14ac:dyDescent="0.2">
      <c r="A19" s="1" t="s">
        <v>591</v>
      </c>
      <c r="B19">
        <v>32</v>
      </c>
      <c r="C19">
        <v>7</v>
      </c>
      <c r="D19">
        <v>9</v>
      </c>
      <c r="E19">
        <v>16</v>
      </c>
      <c r="F19">
        <v>40</v>
      </c>
      <c r="G19">
        <v>51</v>
      </c>
      <c r="H19">
        <v>-11</v>
      </c>
      <c r="I19">
        <v>30</v>
      </c>
      <c r="J19">
        <f t="shared" si="0"/>
        <v>0.78431372549019607</v>
      </c>
      <c r="K19">
        <f t="shared" si="1"/>
        <v>0.38086169959533445</v>
      </c>
      <c r="L19">
        <f t="shared" si="2"/>
        <v>0.38086169959533445</v>
      </c>
      <c r="M19" s="1">
        <f t="shared" si="3"/>
        <v>0.21875</v>
      </c>
      <c r="N19" s="1">
        <f t="shared" si="4"/>
        <v>0.16211169959533445</v>
      </c>
    </row>
    <row r="20" spans="1:14" x14ac:dyDescent="0.2">
      <c r="A20" s="1" t="s">
        <v>592</v>
      </c>
      <c r="B20">
        <v>32</v>
      </c>
      <c r="C20">
        <v>4</v>
      </c>
      <c r="D20">
        <v>8</v>
      </c>
      <c r="E20">
        <v>20</v>
      </c>
      <c r="F20">
        <v>33</v>
      </c>
      <c r="G20">
        <v>63</v>
      </c>
      <c r="H20">
        <v>-30</v>
      </c>
      <c r="I20">
        <v>20</v>
      </c>
      <c r="J20">
        <f t="shared" si="0"/>
        <v>0.52380952380952384</v>
      </c>
      <c r="K20">
        <f t="shared" si="1"/>
        <v>0.21530249110320285</v>
      </c>
      <c r="L20">
        <f t="shared" si="2"/>
        <v>0.21530249110320285</v>
      </c>
      <c r="M20" s="1">
        <f t="shared" si="3"/>
        <v>0.125</v>
      </c>
      <c r="N20" s="1">
        <f t="shared" si="4"/>
        <v>9.0302491103202848E-2</v>
      </c>
    </row>
    <row r="21" spans="1:14" x14ac:dyDescent="0.2">
      <c r="A21" s="1" t="s">
        <v>593</v>
      </c>
      <c r="B21">
        <v>32</v>
      </c>
      <c r="C21">
        <v>3</v>
      </c>
      <c r="D21">
        <v>8</v>
      </c>
      <c r="E21">
        <v>21</v>
      </c>
      <c r="F21">
        <v>24</v>
      </c>
      <c r="G21">
        <v>58</v>
      </c>
      <c r="H21">
        <v>-34</v>
      </c>
      <c r="I21">
        <v>17</v>
      </c>
      <c r="J21">
        <f t="shared" si="0"/>
        <v>0.41379310344827586</v>
      </c>
      <c r="K21">
        <f t="shared" si="1"/>
        <v>0.14619289340101521</v>
      </c>
      <c r="L21">
        <f t="shared" si="2"/>
        <v>0.14619289340101524</v>
      </c>
      <c r="M21" s="1">
        <f t="shared" si="3"/>
        <v>9.375E-2</v>
      </c>
      <c r="N21" s="1">
        <f t="shared" si="4"/>
        <v>5.2442893401015211E-2</v>
      </c>
    </row>
    <row r="22" spans="1:14" x14ac:dyDescent="0.2">
      <c r="A22" s="1"/>
      <c r="J22" s="1"/>
      <c r="K22" s="1"/>
      <c r="L22" s="1"/>
      <c r="M22" s="1" t="s">
        <v>599</v>
      </c>
      <c r="N22" s="1">
        <f>SUM(N2:N21)</f>
        <v>2.6357792559904385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6E9EE4-16CD-854D-83D3-4AA90229BA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NBA_Correlation</vt:lpstr>
      <vt:lpstr>EPL_2026_Standings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 Santoso</dc:creator>
  <cp:lastModifiedBy>Benedict  Santoso</cp:lastModifiedBy>
  <dcterms:created xsi:type="dcterms:W3CDTF">2026-04-14T19:24:01Z</dcterms:created>
  <dcterms:modified xsi:type="dcterms:W3CDTF">2026-04-14T21:48:27Z</dcterms:modified>
</cp:coreProperties>
</file>